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VHL\biology\Metadata\GGA\File excel\"/>
    </mc:Choice>
  </mc:AlternateContent>
  <xr:revisionPtr revIDLastSave="0" documentId="8_{1CF98AE3-6E9C-454A-BB19-BC4957848192}" xr6:coauthVersionLast="47" xr6:coauthVersionMax="47" xr10:uidLastSave="{00000000-0000-0000-0000-000000000000}"/>
  <bookViews>
    <workbookView xWindow="-108" yWindow="-108" windowWidth="23256" windowHeight="12456" firstSheet="74" activeTab="76" xr2:uid="{00000000-000D-0000-FFFF-FFFF00000000}"/>
  </bookViews>
  <sheets>
    <sheet name="N4-25.03.2024" sheetId="1" r:id="rId1"/>
    <sheet name="U1-26.03.2024" sheetId="2" r:id="rId2"/>
    <sheet name="U2-03.04.2024" sheetId="3" r:id="rId3"/>
    <sheet name="U4-15.04.2024" sheetId="4" r:id="rId4"/>
    <sheet name="U1-VS2-21.04.2024" sheetId="5" r:id="rId5"/>
    <sheet name="U10-VS1-25.04.2024" sheetId="6" r:id="rId6"/>
    <sheet name="U4-VS2-26.04.2024" sheetId="7" r:id="rId7"/>
    <sheet name="U11-VS1-29.04.2024" sheetId="8" r:id="rId8"/>
    <sheet name="U6-VSV2-03.05.2024" sheetId="9" r:id="rId9"/>
    <sheet name="U7-VSV2-03.05.2024 " sheetId="10" r:id="rId10"/>
    <sheet name="U8-VS2-03.05.2024" sheetId="11" r:id="rId11"/>
    <sheet name="U10-VS2-06.05.2024" sheetId="12" r:id="rId12"/>
    <sheet name="U12-VS2-07.05.2024" sheetId="13" r:id="rId13"/>
    <sheet name="U13-VS2-07.05.2024" sheetId="14" r:id="rId14"/>
    <sheet name="U15-VS2-08.05.2024" sheetId="15" r:id="rId15"/>
    <sheet name="U16-VS2-08.05.2024" sheetId="16" r:id="rId16"/>
    <sheet name="U18-VS2-09.05.2024" sheetId="17" r:id="rId17"/>
    <sheet name="U19-H1-VS2-10.05.2024" sheetId="18" r:id="rId18"/>
    <sheet name="U20-H2-VS2-10.05.2024" sheetId="19" r:id="rId19"/>
    <sheet name="U21-H1-VS2-12.05.2024" sheetId="20" r:id="rId20"/>
    <sheet name="U22-H2-VS2-12.05.2024" sheetId="21" r:id="rId21"/>
    <sheet name="U23-H1-VS2-12.05.2024" sheetId="22" r:id="rId22"/>
    <sheet name="U25-H1-VS2-13.05.2024" sheetId="23" r:id="rId23"/>
    <sheet name="U27-H1-VS2-14.05.2024" sheetId="24" r:id="rId24"/>
    <sheet name="U28-H2-VS2-14.05.2024" sheetId="25" r:id="rId25"/>
    <sheet name="U29-H1-VS2-15.05.2024" sheetId="26" r:id="rId26"/>
    <sheet name="U30-H2-VS2-15052024" sheetId="27" r:id="rId27"/>
    <sheet name="U31-H1-VS2-18.05.2024" sheetId="28" r:id="rId28"/>
    <sheet name="U33-H1-VS2-18.05.2024" sheetId="29" r:id="rId29"/>
    <sheet name="U34-H2-VS2-18.05.2024" sheetId="30" r:id="rId30"/>
    <sheet name="U35-H1-VS2-20.05.2024" sheetId="31" r:id="rId31"/>
    <sheet name="U36-H2-VS2-20.05.2024" sheetId="32" r:id="rId32"/>
    <sheet name="U37-H1-VS2-21.05.2024" sheetId="33" r:id="rId33"/>
    <sheet name="U39-H1-VS2-22.05.2024" sheetId="34" r:id="rId34"/>
    <sheet name="U40-H2-VS2-22.05.2024" sheetId="35" r:id="rId35"/>
    <sheet name="U41-H1-VS2-24.05.2024" sheetId="36" r:id="rId36"/>
    <sheet name="U42-H2-VS2-24.05.2024" sheetId="37" r:id="rId37"/>
    <sheet name="U43-H1-VS2-24.05.2024" sheetId="38" r:id="rId38"/>
    <sheet name="U44-H2-VS2-24.05.2024" sheetId="39" r:id="rId39"/>
    <sheet name="U45-H1-VS2-26.05.2024" sheetId="40" r:id="rId40"/>
    <sheet name="U46-H2-VS2-26.05.2024" sheetId="41" r:id="rId41"/>
    <sheet name="U47-H1-VS2-27.05.2024" sheetId="42" r:id="rId42"/>
    <sheet name="U48-H2-VS2-27.05.2024" sheetId="43" r:id="rId43"/>
    <sheet name="U49-H1-VS2-28.05.2024" sheetId="44" r:id="rId44"/>
    <sheet name="U50-H2-VS2-28.05.2024" sheetId="45" r:id="rId45"/>
    <sheet name="U51-H1-VS2-29.05.2024" sheetId="46" r:id="rId46"/>
    <sheet name="U52-28.05.2024" sheetId="47" r:id="rId47"/>
    <sheet name="U53-H1-VS2-30.05.2024" sheetId="48" r:id="rId48"/>
    <sheet name="U54-H3-VS2-31.05.2024" sheetId="49" r:id="rId49"/>
    <sheet name="U55-H1-VS2-31.05.2024" sheetId="50" r:id="rId50"/>
    <sheet name="U57-H1-VS2-03.06.2024" sheetId="51" r:id="rId51"/>
    <sheet name="U59-H1-VS2-04.06.2024" sheetId="52" r:id="rId52"/>
    <sheet name="U61-H1-VS2-05.06.2024" sheetId="53" r:id="rId53"/>
    <sheet name="U62-H3-VS2-05.06.2024" sheetId="54" r:id="rId54"/>
    <sheet name="U63-H1-VS2-06.06.2024" sheetId="55" r:id="rId55"/>
    <sheet name="U65-H1-VS2-07.06.2024" sheetId="56" r:id="rId56"/>
    <sheet name="U67-H1-VS2-10.06.2024" sheetId="57" r:id="rId57"/>
    <sheet name="U69-H1-VS2-11.06.2024" sheetId="58" r:id="rId58"/>
    <sheet name="U71-H1-VS2-12.06.2024" sheetId="59" r:id="rId59"/>
    <sheet name="U72-H3-VS2-12.06.2024" sheetId="60" r:id="rId60"/>
    <sheet name="U73-H1-VS2-14.06.2024" sheetId="61" r:id="rId61"/>
    <sheet name="U74-H3-VS2-14.06.2024" sheetId="62" r:id="rId62"/>
    <sheet name="U75-H1-VS2-14.06.2024" sheetId="63" r:id="rId63"/>
    <sheet name="U76-H3-VS2-14.06.2024" sheetId="64" r:id="rId64"/>
    <sheet name="U77-H1-VS2-16.06.2024" sheetId="65" r:id="rId65"/>
    <sheet name="U78-H3-VS2-16.06.2024" sheetId="66" r:id="rId66"/>
    <sheet name="U79-H1-VS2-17.06.2024" sheetId="67" r:id="rId67"/>
    <sheet name="U80-H3-VS2-17.06.2024" sheetId="68" r:id="rId68"/>
    <sheet name="U81-H1-VS2-18.06.2024" sheetId="69" r:id="rId69"/>
    <sheet name="U82-H3-VS2-18.06.2024" sheetId="70" r:id="rId70"/>
    <sheet name="U83-H1-VS2-19.06.2024" sheetId="71" r:id="rId71"/>
    <sheet name="U84-H3-VS2-19.06.2024" sheetId="72" r:id="rId72"/>
    <sheet name="U85-H1-VS2-20.06.2024" sheetId="73" r:id="rId73"/>
    <sheet name="U86-H3-VS2-20.06.2024" sheetId="74" r:id="rId74"/>
    <sheet name="U87-H1-VS2-21062024" sheetId="75" r:id="rId75"/>
    <sheet name="U88-H3-VS2-21062024" sheetId="76" r:id="rId76"/>
    <sheet name="U90-H3-VS2-24062024" sheetId="77" r:id="rId77"/>
    <sheet name="U89-H1-VS2-24062024" sheetId="78" r:id="rId78"/>
    <sheet name="U92-H3-VS2-25.06.2024" sheetId="79" r:id="rId79"/>
    <sheet name="U93-H1-VS2-26.06.2024" sheetId="80" r:id="rId80"/>
    <sheet name="U94-H3-VS2-26.06.2024" sheetId="81" r:id="rId81"/>
    <sheet name="U95-H1-VS2-27.06.2024" sheetId="82" r:id="rId82"/>
    <sheet name="U98-H3-VS2-28.06.2024" sheetId="83" r:id="rId83"/>
    <sheet name="U99-H1-VS2-01.07.2024" sheetId="84" r:id="rId84"/>
    <sheet name="U100-H3-VS2-01.07.2024" sheetId="85" r:id="rId85"/>
    <sheet name="U101-H1-VS2-01.07.2024" sheetId="86" r:id="rId86"/>
    <sheet name="U103-H1-VS2-03.07.2024" sheetId="87" r:id="rId87"/>
    <sheet name="U165-H1-VS2-16.08.2024" sheetId="88" r:id="rId88"/>
    <sheet name="U167-H1-VS2-19.08.2024" sheetId="89" r:id="rId89"/>
    <sheet name="U173-H1-VS2-22.08.2024" sheetId="90" r:id="rId90"/>
    <sheet name="U174-H3-VS2-22.08.2024" sheetId="91" r:id="rId91"/>
    <sheet name="U175-H1-VS2-23.08.2024" sheetId="92" r:id="rId92"/>
    <sheet name="U176-H3-VS2-23.08.2024" sheetId="93" r:id="rId9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7" roundtripDataChecksum="pvcX2iGXbNYl4gVIQy1jLHB5sNY2DbQZsAJq5xPy1kY="/>
    </ext>
  </extLst>
</workbook>
</file>

<file path=xl/calcChain.xml><?xml version="1.0" encoding="utf-8"?>
<calcChain xmlns="http://schemas.openxmlformats.org/spreadsheetml/2006/main">
  <c r="O16" i="6" l="1"/>
  <c r="O15" i="6"/>
  <c r="O14" i="6"/>
  <c r="O13" i="6"/>
  <c r="O12" i="6"/>
  <c r="O11" i="6"/>
  <c r="O10" i="6"/>
  <c r="O9" i="6"/>
  <c r="O8" i="6"/>
  <c r="O7" i="6"/>
  <c r="O6" i="6"/>
  <c r="O5" i="6"/>
  <c r="O4" i="6"/>
  <c r="F15" i="5"/>
  <c r="F14" i="5"/>
  <c r="F13" i="5"/>
  <c r="F12" i="5"/>
  <c r="F11" i="5"/>
  <c r="F10" i="5"/>
  <c r="F9" i="5"/>
  <c r="F8" i="5"/>
  <c r="F7" i="5"/>
  <c r="F6" i="5"/>
  <c r="F5" i="5"/>
  <c r="F4" i="5"/>
  <c r="AH17" i="4"/>
  <c r="AH16" i="4"/>
  <c r="AH15" i="4"/>
  <c r="AB15" i="4"/>
  <c r="AH14" i="4"/>
  <c r="AB14" i="4"/>
  <c r="AH13" i="4"/>
  <c r="AB13" i="4"/>
  <c r="AH12" i="4"/>
  <c r="AB12" i="4"/>
  <c r="AH11" i="4"/>
  <c r="AB11" i="4"/>
  <c r="AH10" i="4"/>
  <c r="AB10" i="4"/>
  <c r="AH9" i="4"/>
  <c r="AB9" i="4"/>
  <c r="AH8" i="4"/>
  <c r="AB8" i="4"/>
  <c r="AH7" i="4"/>
  <c r="AB7" i="4"/>
  <c r="AH6" i="4"/>
  <c r="AB6" i="4"/>
  <c r="AH5" i="4"/>
  <c r="AB5" i="4"/>
  <c r="AH4" i="4"/>
  <c r="AB4" i="4"/>
  <c r="I17" i="3"/>
  <c r="I16" i="3"/>
  <c r="O15" i="3"/>
  <c r="I15" i="3"/>
  <c r="O14" i="3"/>
  <c r="I14" i="3"/>
  <c r="O13" i="3"/>
  <c r="I13" i="3"/>
  <c r="O12" i="3"/>
  <c r="I12" i="3"/>
  <c r="O11" i="3"/>
  <c r="I11" i="3"/>
  <c r="O10" i="3"/>
  <c r="I10" i="3"/>
  <c r="O9" i="3"/>
  <c r="I9" i="3"/>
  <c r="O8" i="3"/>
  <c r="I8" i="3"/>
  <c r="O7" i="3"/>
  <c r="I7" i="3"/>
  <c r="O6" i="3"/>
  <c r="I6" i="3"/>
  <c r="O5" i="3"/>
  <c r="I5" i="3"/>
  <c r="O4" i="3"/>
  <c r="I4" i="3"/>
  <c r="CI22" i="2"/>
  <c r="CC22" i="2"/>
  <c r="BE22" i="2"/>
  <c r="AR22" i="2"/>
  <c r="AL22" i="2"/>
  <c r="T22" i="2"/>
  <c r="H22" i="2"/>
  <c r="CI21" i="2"/>
  <c r="CC21" i="2"/>
  <c r="BK21" i="2"/>
  <c r="BE21" i="2"/>
  <c r="AR21" i="2"/>
  <c r="AL21" i="2"/>
  <c r="T21" i="2"/>
  <c r="H21" i="2"/>
  <c r="CI20" i="2"/>
  <c r="CC20" i="2"/>
  <c r="BK20" i="2"/>
  <c r="BE20" i="2"/>
  <c r="AR20" i="2"/>
  <c r="AL20" i="2"/>
  <c r="T20" i="2"/>
  <c r="H20" i="2"/>
  <c r="DG19" i="2"/>
  <c r="DA19" i="2"/>
  <c r="CI19" i="2"/>
  <c r="CC19" i="2"/>
  <c r="BK19" i="2"/>
  <c r="BE19" i="2"/>
  <c r="AX19" i="2"/>
  <c r="AR19" i="2"/>
  <c r="AL19" i="2"/>
  <c r="T19" i="2"/>
  <c r="H19" i="2"/>
  <c r="DG18" i="2"/>
  <c r="DA18" i="2"/>
  <c r="CU18" i="2"/>
  <c r="CI18" i="2"/>
  <c r="CC18" i="2"/>
  <c r="BK18" i="2"/>
  <c r="BE18" i="2"/>
  <c r="AX18" i="2"/>
  <c r="AR18" i="2"/>
  <c r="AL18" i="2"/>
  <c r="T18" i="2"/>
  <c r="H18" i="2"/>
  <c r="DG17" i="2"/>
  <c r="DA17" i="2"/>
  <c r="CU17" i="2"/>
  <c r="CI17" i="2"/>
  <c r="CC17" i="2"/>
  <c r="BK17" i="2"/>
  <c r="BE17" i="2"/>
  <c r="AX17" i="2"/>
  <c r="AR17" i="2"/>
  <c r="AL17" i="2"/>
  <c r="T17" i="2"/>
  <c r="H17" i="2"/>
  <c r="DG16" i="2"/>
  <c r="DA16" i="2"/>
  <c r="CU16" i="2"/>
  <c r="CI16" i="2"/>
  <c r="CC16" i="2"/>
  <c r="BK16" i="2"/>
  <c r="BE16" i="2"/>
  <c r="AX16" i="2"/>
  <c r="AR16" i="2"/>
  <c r="AL16" i="2"/>
  <c r="T16" i="2"/>
  <c r="H16" i="2"/>
  <c r="DG15" i="2"/>
  <c r="DA15" i="2"/>
  <c r="CU15" i="2"/>
  <c r="CI15" i="2"/>
  <c r="CC15" i="2"/>
  <c r="BK15" i="2"/>
  <c r="BE15" i="2"/>
  <c r="AX15" i="2"/>
  <c r="AR15" i="2"/>
  <c r="AL15" i="2"/>
  <c r="T15" i="2"/>
  <c r="H15" i="2"/>
  <c r="DG14" i="2"/>
  <c r="DA14" i="2"/>
  <c r="CU14" i="2"/>
  <c r="CI14" i="2"/>
  <c r="CC14" i="2"/>
  <c r="BK14" i="2"/>
  <c r="BE14" i="2"/>
  <c r="AX14" i="2"/>
  <c r="AR14" i="2"/>
  <c r="AL14" i="2"/>
  <c r="T14" i="2"/>
  <c r="H14" i="2"/>
  <c r="DG13" i="2"/>
  <c r="DA13" i="2"/>
  <c r="CU13" i="2"/>
  <c r="CI13" i="2"/>
  <c r="CC13" i="2"/>
  <c r="BK13" i="2"/>
  <c r="BE13" i="2"/>
  <c r="AX13" i="2"/>
  <c r="AR13" i="2"/>
  <c r="AL13" i="2"/>
  <c r="T13" i="2"/>
  <c r="H13" i="2"/>
  <c r="DG12" i="2"/>
  <c r="DA12" i="2"/>
  <c r="CU12" i="2"/>
  <c r="CI12" i="2"/>
  <c r="CC12" i="2"/>
  <c r="BK12" i="2"/>
  <c r="BE12" i="2"/>
  <c r="AX12" i="2"/>
  <c r="AR12" i="2"/>
  <c r="AL12" i="2"/>
  <c r="T12" i="2"/>
  <c r="H12" i="2"/>
  <c r="DG11" i="2"/>
  <c r="DA11" i="2"/>
  <c r="CU11" i="2"/>
  <c r="CI11" i="2"/>
  <c r="CC11" i="2"/>
  <c r="BK11" i="2"/>
  <c r="BE11" i="2"/>
  <c r="AX11" i="2"/>
  <c r="AR11" i="2"/>
  <c r="AL11" i="2"/>
  <c r="T11" i="2"/>
  <c r="H11" i="2"/>
  <c r="DG10" i="2"/>
  <c r="DA10" i="2"/>
  <c r="CU10" i="2"/>
  <c r="CI10" i="2"/>
  <c r="CC10" i="2"/>
  <c r="BK10" i="2"/>
  <c r="BE10" i="2"/>
  <c r="AX10" i="2"/>
  <c r="AR10" i="2"/>
  <c r="AL10" i="2"/>
  <c r="T10" i="2"/>
  <c r="H10" i="2"/>
  <c r="DG9" i="2"/>
  <c r="DA9" i="2"/>
  <c r="CU9" i="2"/>
  <c r="CI9" i="2"/>
  <c r="CC9" i="2"/>
  <c r="BK9" i="2"/>
  <c r="BE9" i="2"/>
  <c r="AX9" i="2"/>
  <c r="AR9" i="2"/>
  <c r="AL9" i="2"/>
  <c r="T9" i="2"/>
  <c r="H9" i="2"/>
  <c r="DG8" i="2"/>
  <c r="DA8" i="2"/>
  <c r="CU8" i="2"/>
  <c r="CI8" i="2"/>
  <c r="CC8" i="2"/>
  <c r="BK8" i="2"/>
  <c r="BE8" i="2"/>
  <c r="AX8" i="2"/>
  <c r="AR8" i="2"/>
  <c r="AL8" i="2"/>
  <c r="T8" i="2"/>
  <c r="H8" i="2"/>
  <c r="DG7" i="2"/>
  <c r="DA7" i="2"/>
  <c r="CU7" i="2"/>
  <c r="CI7" i="2"/>
  <c r="CC7" i="2"/>
  <c r="BK7" i="2"/>
  <c r="BE7" i="2"/>
  <c r="AX7" i="2"/>
  <c r="AR7" i="2"/>
  <c r="AL7" i="2"/>
  <c r="T7" i="2"/>
  <c r="H7" i="2"/>
  <c r="DG6" i="2"/>
  <c r="DA6" i="2"/>
  <c r="CU6" i="2"/>
  <c r="CI6" i="2"/>
  <c r="CC6" i="2"/>
  <c r="BK6" i="2"/>
  <c r="BE6" i="2"/>
  <c r="AX6" i="2"/>
  <c r="AR6" i="2"/>
  <c r="AL6" i="2"/>
  <c r="T6" i="2"/>
  <c r="H6" i="2"/>
  <c r="DG5" i="2"/>
  <c r="DA5" i="2"/>
  <c r="CU5" i="2"/>
  <c r="CI5" i="2"/>
  <c r="CC5" i="2"/>
  <c r="BK5" i="2"/>
  <c r="BE5" i="2"/>
  <c r="AX5" i="2"/>
  <c r="AR5" i="2"/>
  <c r="AL5" i="2"/>
  <c r="T5" i="2"/>
  <c r="H5" i="2"/>
  <c r="DG4" i="2"/>
  <c r="DA4" i="2"/>
  <c r="CU4" i="2"/>
  <c r="CI4" i="2"/>
  <c r="CC4" i="2"/>
  <c r="BK4" i="2"/>
  <c r="BE4" i="2"/>
  <c r="AX4" i="2"/>
  <c r="AR4" i="2"/>
  <c r="AL4" i="2"/>
  <c r="T4" i="2"/>
  <c r="H4" i="2"/>
  <c r="AO23" i="1"/>
  <c r="V23" i="1"/>
  <c r="AO22" i="1"/>
  <c r="V22" i="1"/>
  <c r="AO21" i="1"/>
  <c r="V21" i="1"/>
  <c r="AO20" i="1"/>
  <c r="V20" i="1"/>
  <c r="AO19" i="1"/>
  <c r="V19" i="1"/>
  <c r="AO18" i="1"/>
  <c r="AB18" i="1"/>
  <c r="V18" i="1"/>
  <c r="AO17" i="1"/>
  <c r="AB17" i="1"/>
  <c r="V17" i="1"/>
  <c r="AO16" i="1"/>
  <c r="AB16" i="1"/>
  <c r="V16" i="1"/>
  <c r="AO15" i="1"/>
  <c r="AB15" i="1"/>
  <c r="V15" i="1"/>
  <c r="AO14" i="1"/>
  <c r="AB14" i="1"/>
  <c r="V14" i="1"/>
  <c r="AO13" i="1"/>
  <c r="AB13" i="1"/>
  <c r="V13" i="1"/>
  <c r="AO12" i="1"/>
  <c r="AB12" i="1"/>
  <c r="V12" i="1"/>
  <c r="AO11" i="1"/>
  <c r="AB11" i="1"/>
  <c r="V11" i="1"/>
  <c r="AO10" i="1"/>
  <c r="AB10" i="1"/>
  <c r="V10" i="1"/>
  <c r="AO9" i="1"/>
  <c r="AB9" i="1"/>
  <c r="V9" i="1"/>
  <c r="AO8" i="1"/>
  <c r="AB8" i="1"/>
  <c r="V8" i="1"/>
  <c r="AO7" i="1"/>
  <c r="AB7" i="1"/>
  <c r="V7" i="1"/>
  <c r="AO6" i="1"/>
  <c r="AB6" i="1"/>
  <c r="V6" i="1"/>
  <c r="AO5" i="1"/>
  <c r="AB5" i="1"/>
  <c r="V5" i="1"/>
  <c r="AO4" i="1"/>
  <c r="AB4" i="1"/>
  <c r="V4" i="1"/>
</calcChain>
</file>

<file path=xl/sharedStrings.xml><?xml version="1.0" encoding="utf-8"?>
<sst xmlns="http://schemas.openxmlformats.org/spreadsheetml/2006/main" count="1489" uniqueCount="339">
  <si>
    <t>Tên cell: N4</t>
  </si>
  <si>
    <t>27032024-BOD-15-10-Q=49.66mL/phút-1</t>
  </si>
  <si>
    <t>27032024-BOD-10-5-Q=50.45mL/phút-1</t>
  </si>
  <si>
    <t>29032024-BOD-10-5-Q=50.81mL/phút-2</t>
  </si>
  <si>
    <t>29032024-BOD-5-0-Q=50.19mL/phút-1</t>
  </si>
  <si>
    <t>01042024-BOD-15-10-Q=49.88mL/phút-2</t>
  </si>
  <si>
    <t>01042024-BOD-10-5-Q=49.81mL/phút-3</t>
  </si>
  <si>
    <t>01042024-BOD-5-0-Q49.99=mL/phút-2</t>
  </si>
  <si>
    <t>Ngày cấy: 25/03/2024</t>
  </si>
  <si>
    <t>Điều kiện cấy: 11 biochips/400 mL bùn</t>
  </si>
  <si>
    <t>Doin (mV)</t>
  </si>
  <si>
    <t>No.peak</t>
  </si>
  <si>
    <t>DOmin (mV)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</si>
  <si>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</si>
  <si>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</si>
  <si>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</si>
  <si>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</si>
  <si>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rgb="FF000000"/>
        <rFont val="Noto Sans Symbols"/>
      </rPr>
      <t>D</t>
    </r>
    <r>
      <rPr>
        <sz val="11"/>
        <color rgb="FF000000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</si>
  <si>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</si>
  <si>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</si>
  <si>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 xml:space="preserve">                        BOD 100mg/L/ cấy 2 ngày</t>
  </si>
  <si>
    <t>BOD15</t>
  </si>
  <si>
    <t>BOD10</t>
  </si>
  <si>
    <t>BOD5</t>
  </si>
  <si>
    <t>BOD0</t>
  </si>
  <si>
    <t>Tên cell: U1</t>
  </si>
  <si>
    <t>02042024-BOD-20-15-Q=49.83mL/phút-1</t>
  </si>
  <si>
    <t xml:space="preserve"> </t>
  </si>
  <si>
    <t>02042024-BOD-15-10-Q=49.81mL/phút-3</t>
  </si>
  <si>
    <t>02042024-BOD-10-5-Q=49.74mL/phút-4</t>
  </si>
  <si>
    <t>02042024-BOD-5-0-Q=50.01mL/phút-3</t>
  </si>
  <si>
    <t>03042024-BOD-20-15-Q=50.46mL/phút-2</t>
  </si>
  <si>
    <t>03042024-BOD-15-10-Q=50.76mL/phút-4</t>
  </si>
  <si>
    <t>03042024-BOD-10-5-Q=50.41mL/phút-5</t>
  </si>
  <si>
    <t>03042024-BOD-5-0-Q=50.30mL/phút-4</t>
  </si>
  <si>
    <t>04042024-BOD-12.5-7.5-Q=49.9mL/phút-1</t>
  </si>
  <si>
    <t>04042024-BOD-7.5-2.5-Q=49.93mL/phút-1</t>
  </si>
  <si>
    <t>04042024-BOD-2.5-0-Q=49.96mL/phút-1</t>
  </si>
  <si>
    <t>05042024-BOD-17.5-12.5-Q=49.88mL/phút-1</t>
  </si>
  <si>
    <t>05042024-BOD-7.5-2.5-Q=49.84mL/phút-2</t>
  </si>
  <si>
    <t>05042024-BOD-2.5-0-Q=49.63mL/phút-2</t>
  </si>
  <si>
    <t>08042024-BOD-17.5-12.5-Q=50.04mL/phút-2</t>
  </si>
  <si>
    <t>08042024-BOD-12.5-7.5-Q=50mL/phút-2</t>
  </si>
  <si>
    <t>08042024-BOD-7.5-2.5-Q=49.62mL/phút-3</t>
  </si>
  <si>
    <t>08042024-BOD-2.5-0-Q=49.85mL/phút-3</t>
  </si>
  <si>
    <t>Ngày cấy: 26/03/2024</t>
  </si>
  <si>
    <t>Điều kiện cấy: 100 biochips/BOD 100mg/L/ cấy 7 ngày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</si>
  <si>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</si>
  <si>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</si>
  <si>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</si>
  <si>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</si>
  <si>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</si>
  <si>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</si>
  <si>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</si>
  <si>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</si>
  <si>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</si>
  <si>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</si>
  <si>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</si>
  <si>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</si>
  <si>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</si>
  <si>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</si>
  <si>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</si>
  <si>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</si>
  <si>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</si>
  <si>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</si>
  <si>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>BOD20</t>
  </si>
  <si>
    <t>BOD12.5</t>
  </si>
  <si>
    <t>BOD7.5</t>
  </si>
  <si>
    <t>BOD2.5</t>
  </si>
  <si>
    <t>BOD17.5</t>
  </si>
  <si>
    <t>Tên cell: U2</t>
  </si>
  <si>
    <t>09042024-BOD-10-5-Q=49.78mL/phút-6</t>
  </si>
  <si>
    <t>09042024-BOD-5-0-Q=49.76mL/phút-5</t>
  </si>
  <si>
    <t>Ngày cấy: 03/04/2024</t>
  </si>
  <si>
    <t>Điều kiện cấy: 100 biochips/BOD 100mg/L/cấy 6 ngày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</si>
  <si>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</si>
  <si>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</si>
  <si>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>Tên cell: U4</t>
  </si>
  <si>
    <t>U4-20-10-18042024-Q=49.73mL/phút-1</t>
  </si>
  <si>
    <t>U4-10-0-18042024-Q=49.70mL/phút-1</t>
  </si>
  <si>
    <t>U4-12.5-7.5-18042024-Q=49.88mL/phút-1</t>
  </si>
  <si>
    <t>U4-20-10-19042024-Q=50.28mL/phút-2</t>
  </si>
  <si>
    <t>U4-10-0-19042024=50.32mL/phút-2</t>
  </si>
  <si>
    <t>Ngày cấy: 15/04/2024</t>
  </si>
  <si>
    <t>Điều kiện cấy: 100 biochips/BOD 100mg/L/cấy 2 ngày</t>
  </si>
  <si>
    <t>DDO (mV)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</si>
  <si>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</si>
  <si>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</si>
  <si>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>U1-VS2- Ngày cấy: 21/04/2024</t>
  </si>
  <si>
    <t>U1-VS2-20-10-23042024-Q=49.43mL/phút-3</t>
  </si>
  <si>
    <t>Điều kiện cấy: 100 biochips</t>
  </si>
  <si>
    <t xml:space="preserve">                              BOD 100mg/L</t>
  </si>
  <si>
    <r>
      <rPr>
        <sz val="11"/>
        <color theme="1"/>
        <rFont val="&quot;Noto Sans Symbols&quot;, Arial"/>
      </rPr>
      <t>D</t>
    </r>
    <r>
      <rPr>
        <sz val="11"/>
        <color rgb="FF000000"/>
        <rFont val="Calibri"/>
      </rPr>
      <t>DO (mV)</t>
    </r>
  </si>
  <si>
    <t xml:space="preserve">                              cấy 1 ngày</t>
  </si>
  <si>
    <t>GGA10</t>
  </si>
  <si>
    <t>GGA20</t>
  </si>
  <si>
    <t>U10-VS1- Ngày cấy: 25/04/2024</t>
  </si>
  <si>
    <t>U10-17,5-10-29042024-Q50.18mLmin-1</t>
  </si>
  <si>
    <t>U10-10-0-29042024-Q50.18mLmin-3</t>
  </si>
  <si>
    <t>U10-17.5-10-30042024-Q52.11mLmin-2</t>
  </si>
  <si>
    <t>U10-10-2.5-30042024-Q52.11mLmin-1</t>
  </si>
  <si>
    <r>
      <rPr>
        <sz val="11"/>
        <color theme="1"/>
        <rFont val="&quot;Noto Sans Symbols&quot;, Arial"/>
      </rPr>
      <t>D</t>
    </r>
    <r>
      <rPr>
        <sz val="11"/>
        <color rgb="FF000000"/>
        <rFont val="Calibri"/>
      </rPr>
      <t>DO (mV)</t>
    </r>
  </si>
  <si>
    <r>
      <rPr>
        <sz val="11"/>
        <color theme="1"/>
        <rFont val="&quot;Noto Sans Symbols&quot;, Arial"/>
      </rPr>
      <t>D</t>
    </r>
    <r>
      <rPr>
        <sz val="11"/>
        <color rgb="FF000000"/>
        <rFont val="Calibri"/>
      </rPr>
      <t>DO (mV)</t>
    </r>
  </si>
  <si>
    <r>
      <rPr>
        <sz val="11"/>
        <color theme="1"/>
        <rFont val="Arial"/>
      </rPr>
      <t>D</t>
    </r>
    <r>
      <rPr>
        <sz val="11"/>
        <color rgb="FF000000"/>
        <rFont val="Arial"/>
      </rPr>
      <t>DO (mV)</t>
    </r>
  </si>
  <si>
    <r>
      <rPr>
        <sz val="11"/>
        <color theme="1"/>
        <rFont val="Arial"/>
      </rPr>
      <t>D</t>
    </r>
    <r>
      <rPr>
        <sz val="11"/>
        <color rgb="FF000000"/>
        <rFont val="Arial"/>
      </rPr>
      <t>DO (mV)</t>
    </r>
  </si>
  <si>
    <t xml:space="preserve">                              cấy 4 ngày</t>
  </si>
  <si>
    <t>GGA17,5</t>
  </si>
  <si>
    <t>GGA0</t>
  </si>
  <si>
    <t>U4-VS2- Ngày cấy: 26/04/2024</t>
  </si>
  <si>
    <t>U4-VS2-17.5-10-01052024-Q=50.16mL/phút-3</t>
  </si>
  <si>
    <t>U4-VS2-10-2.5-01052024-Q=50.17mL/phút-3</t>
  </si>
  <si>
    <t>BOD 100mg/L</t>
  </si>
  <si>
    <t>cấy 4 ngày</t>
  </si>
  <si>
    <t>GGA17.5</t>
  </si>
  <si>
    <t>GGA2.5</t>
  </si>
  <si>
    <t>U11-VS1- Ngày cấy: 29/04/2024</t>
  </si>
  <si>
    <t>U11-VS1-10-2.5-02052024-Q=50.17mL/phút-3</t>
  </si>
  <si>
    <t>U11-VS1-12.5-5-02052024-Q=49.92mL/phút-1</t>
  </si>
  <si>
    <t>cấy 2 ngày</t>
  </si>
  <si>
    <t>GGA12.5</t>
  </si>
  <si>
    <t>GGA5</t>
  </si>
  <si>
    <t>U6-VS2- Ngày cấy: 03/05/2024</t>
  </si>
  <si>
    <t>U6-VS2-12.5-5-05052024-Q=49.12mLphut-2</t>
  </si>
  <si>
    <t>U7-VS2- Ngày cấy: 03/05/2024</t>
  </si>
  <si>
    <t>U7-VS2-12.5-2.5-05052024-Q=49.81mLphut-1</t>
  </si>
  <si>
    <t>U8-VS2- Ngày cấy: 03/05/2024</t>
  </si>
  <si>
    <t>U8-VS2-12.5-0-06052024-Q=51.36mL/phút-1</t>
  </si>
  <si>
    <t>cấy 3 ngày</t>
  </si>
  <si>
    <t>U10-VS2- Ngày cấy: 06/05/2024</t>
  </si>
  <si>
    <t>U10-VS2-12.5-10-07052024-Q=49.84mL/phút-1</t>
  </si>
  <si>
    <t>U10-VS2-20-12.5-07052024-Q=51.44mL/phút-1</t>
  </si>
  <si>
    <t>cấy 1 ngày</t>
  </si>
  <si>
    <t>U12-VS2- Ngày cấy: 07/05/2024</t>
  </si>
  <si>
    <t>U12-VS2-20-12.5-08052024-Q=49.28mL/phút-2</t>
  </si>
  <si>
    <t>U13-VS2- Ngày cấy: 07/05/2024</t>
  </si>
  <si>
    <t>U13-VS2-20-12.5-08052024-Q=39.28mL/phút-3</t>
  </si>
  <si>
    <t>U15-VS2- Ngày cấy: 08/05/2024</t>
  </si>
  <si>
    <t>U15-VS2-17.5-7.5-09052024-Q=51.44mL/phút-3</t>
  </si>
  <si>
    <t>GGA7.5</t>
  </si>
  <si>
    <t>U16-VS2- Ngày cấy: 08/05/2024</t>
  </si>
  <si>
    <t>U16-VS2-12.5-10-09052024-Q=49.88mL/phút-1</t>
  </si>
  <si>
    <t>U18-VS2- Ngày cấy: 09/05/2024</t>
  </si>
  <si>
    <t>U18-VS2-15-7.5-10052024-Q=49.38mL/phút-1</t>
  </si>
  <si>
    <t>GGA15</t>
  </si>
  <si>
    <t>U19-VS2- Ngày cấy: 02/05/2024</t>
  </si>
  <si>
    <t>U19-VS2-12.5-10-12052024-Q=50.76mLphut-3</t>
  </si>
  <si>
    <t>U19-VS2-15-7.5-12052024-Q=50.56mLphut-2</t>
  </si>
  <si>
    <t>DeltaDO (mV)</t>
  </si>
  <si>
    <t>BOD 7.5</t>
  </si>
  <si>
    <t>U20-VS2- Ngày cấy: 10/05/2024</t>
  </si>
  <si>
    <t>U20-VS2-15-7.5-12052024-Q=40.11mLphut-3</t>
  </si>
  <si>
    <t>U20-VS2-12.5-2.5-12052024-Q=40.23mLphut-2</t>
  </si>
  <si>
    <t>Delta DO</t>
  </si>
  <si>
    <t>BOD 15</t>
  </si>
  <si>
    <t>BOD 12.5</t>
  </si>
  <si>
    <t>BOD 2.5</t>
  </si>
  <si>
    <t>U21-VS2- Ngày cấy: 12/05/2024</t>
  </si>
  <si>
    <t>U21-VS2-20-7.5-13052024-Q=49.52mLphut-2</t>
  </si>
  <si>
    <t>U21-VS2-17,5-7.5-13052024-Q=49.77mLphut-2</t>
  </si>
  <si>
    <t>BOD 17.5</t>
  </si>
  <si>
    <t>U22-VS2- Ngày cấy: 12/05/2024</t>
  </si>
  <si>
    <t>U22-VS2-20-7.5-13052024-Q=40.11mLphut-1</t>
  </si>
  <si>
    <t>U22-VS2-7.5-0-13052024-Q=39.58mLphut-1</t>
  </si>
  <si>
    <t>BOD 20</t>
  </si>
  <si>
    <t>BOD 0</t>
  </si>
  <si>
    <t>U23-VS2- Ngày cấy: 12/05/2024</t>
  </si>
  <si>
    <t>U23-H1-VS2-20-12.5-14052024-Q=50.6mL/phút-3</t>
  </si>
  <si>
    <t>U23-H1-VS2-12.5-0-14052024-Q=51.44mL/phút-2</t>
  </si>
  <si>
    <t>U25-VS2- Ngày cấy: 13/05/2024</t>
  </si>
  <si>
    <t>U25-H1-20-7.5-15052024-Q=50.72mL/phút-3</t>
  </si>
  <si>
    <t>U25-H1-VS2-12.5-0-15052024-Q=50.88mL/phút-3</t>
  </si>
  <si>
    <t>U27-VS2- Ngày cấy: 14/05/2024</t>
  </si>
  <si>
    <t>U27-H1-VS2-7.5-0-16052024-Q=51.72mL/phút-2</t>
  </si>
  <si>
    <t>U28-VS2- Ngày cấy: 14/05/2024</t>
  </si>
  <si>
    <t>U28-H2-VS2-17.5-15-16052024-Q=40.3mL/phút-2</t>
  </si>
  <si>
    <t>U29-VS2- Ngày cấy: 15/05/2024</t>
  </si>
  <si>
    <t>U29-H1-VS2-20-7.5-17052024-Q=50.18mL/phút-4</t>
  </si>
  <si>
    <t>U29-H1-VS2-12.5-2.5-17052024-Q=50.42mL/phút-3</t>
  </si>
  <si>
    <t>U30-VS2- Ngày cấy: 15/05/2024</t>
  </si>
  <si>
    <t>U30-H2-VS2-20-7.5-17052024-Q=41.2mL/phút-4</t>
  </si>
  <si>
    <t>U31-VS2- Ngày cấy: 18/05/2024</t>
  </si>
  <si>
    <t>U31-H1-VS2-17.5-12.5-20052024-Q=50.64mL-phút-4</t>
  </si>
  <si>
    <t>U33-VS2- Ngày cấy: 18/05/2024</t>
  </si>
  <si>
    <t>U33-H1-VS2-17.5-2.5-21052024-Q=49.86mL-phút-1</t>
  </si>
  <si>
    <t>U33-H1-VS2-7.5-0-21052024-Q=48.82mL-phút-3</t>
  </si>
  <si>
    <t>U34-VS2- Ngày cấy: 18/05/2024</t>
  </si>
  <si>
    <t>U34-H2-VS2-17.5-2.5-21052024-Q=39.14mL-phút-2</t>
  </si>
  <si>
    <t>U35-VS2- Ngày cấy: 20/05/2024</t>
  </si>
  <si>
    <t>U35-H1-VS2-17.5-2.5-22052024-Q=48.38mL-phút-3</t>
  </si>
  <si>
    <t>U36-VS2- Ngày cấy: 20/05/2024</t>
  </si>
  <si>
    <t>U36-H2-VS2-20-5-22052024-Q=40.52mL-phút-1</t>
  </si>
  <si>
    <t>U37-VS2- Ngày cấy: 21/05/2024</t>
  </si>
  <si>
    <t>U37-H1-VS2-20-5-23052024-Q=50.12mL-phút-2</t>
  </si>
  <si>
    <t>U37-H1-VS2-15-2.5-23052024-Q=50.04mL-phút-1</t>
  </si>
  <si>
    <t>U39-VS2- Ngày cấy: 22/05/2024</t>
  </si>
  <si>
    <t>U39-H1-VS2-15-2.5-24052024-Q=49.78mL-phút-2</t>
  </si>
  <si>
    <t>U39-H1-VS2-17.5-7.5-24052024-Q=51.74mL-phút-1</t>
  </si>
  <si>
    <t>U40-VS2- Ngày cấy: 22/05/2024</t>
  </si>
  <si>
    <t>U40-H2-VS2-15-2.5-24052024-Q=40.72mL-phút-3</t>
  </si>
  <si>
    <t>U41-VS2- Ngày cấy: 24/05/2024</t>
  </si>
  <si>
    <t>U41-h1-VS2-17.5-7.5-26052024-Q=49.83mLphut-2</t>
  </si>
  <si>
    <t>U42-VS2- Ngày cấy: 24/05/2024</t>
  </si>
  <si>
    <t>U42-h2-VS2-17.5-7.5-26052024-Q=39.54mLphut-3</t>
  </si>
  <si>
    <t>U43-VS2- Ngày cấy: 24/05/2024</t>
  </si>
  <si>
    <t>U43-H1-VS2-15-5-27052024-Q=49.80mL-phút-1</t>
  </si>
  <si>
    <t>U43-H1-VS2-20-2.5-27052024-Q=50.56mL-phút-1</t>
  </si>
  <si>
    <t>U44-VS2- Ngày cấy: 24/05/2024</t>
  </si>
  <si>
    <t>U44-H2-VS2-15-7.5-27052024-Q=40.2mL-phút-4</t>
  </si>
  <si>
    <t>U45-VS2- Ngày cấy: 26/05/2024</t>
  </si>
  <si>
    <t>U45-H1-VS2-20-2.5-28052024-Q=48.92mL-phút-2</t>
  </si>
  <si>
    <t>U46-VS2- Ngày cấy: 26/05/2024</t>
  </si>
  <si>
    <t>U46-H2-VS2-10-2.5-28052024-Q=38.96mL-phút-4</t>
  </si>
  <si>
    <t>U46-H2-VS2-17.5-7.5-28052024-Q=40.28mL-phút-3</t>
  </si>
  <si>
    <t>U47-VS2- Ngày cấy: 27/05/2024</t>
  </si>
  <si>
    <t>U47-H1-VS2-15-2.5-29052024-Q=50.48mL-phút-4</t>
  </si>
  <si>
    <t>U47-H1-VS2-20-2.5-29052024-Q=49.44mL-phút-3</t>
  </si>
  <si>
    <t>U48-VS2- Ngày cấy: 27/05/2024</t>
  </si>
  <si>
    <t>U48-H2-VS2-15-5-29052024-Q=36.56mL-phút-2</t>
  </si>
  <si>
    <t>U49-VS2- Ngày cấy: 28/05/2024</t>
  </si>
  <si>
    <t>U49-H1-VS2-17.5-5-30052024-Q=51.08mL-phút-1</t>
  </si>
  <si>
    <t>U49-H1-VS2-17.5-7.5-30052024-Q=50.28mL-phút-5</t>
  </si>
  <si>
    <t>U50-VS2- Ngày cấy: 28/05/2024</t>
  </si>
  <si>
    <t>U50-H2-VS2-15-5-30052024-Q=43.02mL-phút-3</t>
  </si>
  <si>
    <t>U51-VS2- Ngày cấy: 29/05/2024</t>
  </si>
  <si>
    <t>U51-H1-VS2-17.5-5-31052024-Q=49.62mL-phút-2</t>
  </si>
  <si>
    <t>U52-VS2- Ngày cấy: 28/05/2024</t>
  </si>
  <si>
    <t>U52-H2-VS2-17.5-5-31052024-Q=41.04mL-phút-3</t>
  </si>
  <si>
    <t>U53-VS2- Ngày cấy: 30/05/2024</t>
  </si>
  <si>
    <t>U53-H1-VS2-15-0-03062024-Q=49.8mL-phút-1</t>
  </si>
  <si>
    <t>U54-VS2- Ngày cấy: 31/05/2024</t>
  </si>
  <si>
    <t>U54-H3-VS2-12.5-7.5-03062024-Q=50.26mL-phút-3</t>
  </si>
  <si>
    <t>U55-VS2- Ngày cấy: 31/05/2024</t>
  </si>
  <si>
    <t>U55-H1-VS2-15-0-04062024-Q=51.44mL-phút-1</t>
  </si>
  <si>
    <t>U57-VS2- Ngày cấy: 03/06/2024</t>
  </si>
  <si>
    <t>U57-H1-12.5-2.5-L-05062024-Q=50.2mL-phút-4</t>
  </si>
  <si>
    <t>U59-VS2- Ngày cấy: 04/06/2024</t>
  </si>
  <si>
    <t>U59-H1-VS2-12.5-2.5-06062024-Q=49.54mL-phút-4</t>
  </si>
  <si>
    <t>U61-VS2- Ngày cấy: 05/06/2024</t>
  </si>
  <si>
    <t>U61-H1-VS2-12.5-5-07062024-Q=50.84mL-phút-4</t>
  </si>
  <si>
    <t>U62-VS2- Ngày cấy: 05/06/2024</t>
  </si>
  <si>
    <t>U62-H3-VS2-15-0-07062024-Q=51.16mL-phút-3</t>
  </si>
  <si>
    <t>U63-VS2- Ngày cấy: 06/06/2024</t>
  </si>
  <si>
    <t>U63-H1-VS2-12.5-7.5-10062024-Q=50.54mL-phút-4</t>
  </si>
  <si>
    <t>U63-H1-VS2-15-0-10062024-Q=50.28mL-phút-4</t>
  </si>
  <si>
    <t>U65-VS2- Ngày cấy: 07/06/2024</t>
  </si>
  <si>
    <t>U65-H1-VS2-15-5-1162024-Q=50.34mL-phút-5</t>
  </si>
  <si>
    <t>U65-H1-VS2-17.5-0-1162024-Q=50.96mL-phút-1</t>
  </si>
  <si>
    <t>U67-VS2- Ngày cấy: 10/06/2024</t>
  </si>
  <si>
    <t>U67-H1-VS2-17.5-2.5-12062024-Q=50.24mL-phút-4</t>
  </si>
  <si>
    <t>U69-VS2- Ngày cấy: 11/06/2024</t>
  </si>
  <si>
    <t>U69-H1-VS2-20-15-13062024-Q=50.10mL-phút-4</t>
  </si>
  <si>
    <t>U69-H1-VS2-17.5-0-13062024-Q=50.6mL-phút-2</t>
  </si>
  <si>
    <t>U71-VS2- Ngày cấy: 12/06/2024</t>
  </si>
  <si>
    <t>U71-H1-VS2-17.5-0-14062024-Q=50.2mL-phút-3</t>
  </si>
  <si>
    <t>U72-VS2- Ngày cấy: 12/06/2024</t>
  </si>
  <si>
    <t>U72-H3-VS2-17.5-0-14062024-Q=50.36mL-phút-4</t>
  </si>
  <si>
    <t>U73-VS2- Ngày cấy: 14/06/2024</t>
  </si>
  <si>
    <t>U73-H1-VS2-20-15-16062024-Q=49.88mLphut-5</t>
  </si>
  <si>
    <t>U74-VS2- Ngày cấy: 14/06/2024</t>
  </si>
  <si>
    <t>U74-H3-VS2-17.5-12.5-16062024-Q=50.42mLphut-4</t>
  </si>
  <si>
    <t>U74-H3-VS2-17.5-12.5-16062024-Q=50.14mLphut-5</t>
  </si>
  <si>
    <t>U75-VS2- Ngày cấy: 14/06/2024</t>
  </si>
  <si>
    <t>U75-H1-VS2-20-12.5-17062024-Q=50.36mL-phút-4</t>
  </si>
  <si>
    <t>U75-H1-VS2-10-0-17062024-Q=49.88mL-phút-4</t>
  </si>
  <si>
    <t>U76-VS2- Ngày cấy: 14/06/2024</t>
  </si>
  <si>
    <t>U76-H3-VS2-10-0-17062024-Q=50.92mL-phút-5</t>
  </si>
  <si>
    <t>U77-VS2- Ngày cấy: 16/06/2024</t>
  </si>
  <si>
    <t>U77-H1-VS2-17.5-5-18062024-Q=50.02mL-phút-4</t>
  </si>
  <si>
    <t>U78-VS2- Ngày cấy: 16/06/2024</t>
  </si>
  <si>
    <t>U78-H3-VS2-2.5-0-17062024-Q=49.68mL-phút-4</t>
  </si>
  <si>
    <t>U79-VS2- Ngày cấy: 17/06/2024</t>
  </si>
  <si>
    <t>U79-H1-VS2-20-12.5-19062024-Q=50.2mL-phút-3</t>
  </si>
  <si>
    <t>U79-H1-VS2-20-10-19062024-Q=50.22mL-phút-4</t>
  </si>
  <si>
    <t>U80-VS2- Ngày cấy: 17/06/2024</t>
  </si>
  <si>
    <t>U80-H3-VS2-20-10-19062024-Q=51.06mL-phút-5</t>
  </si>
  <si>
    <t>U81-VS2- Ngày cấy: 18/06/2024</t>
  </si>
  <si>
    <t>U81-H1-VS2-20-5-20062024-Q=50.28mL-phút-4</t>
  </si>
  <si>
    <t>U81-H1-VS2-20-0-20062024-Q=51.08mL-phút-1</t>
  </si>
  <si>
    <t>U82-VS2- Ngày cấy: 18/06/2024</t>
  </si>
  <si>
    <t>U82-H3-VS2-20-5-20062024-Q=50.92mL-phút-5</t>
  </si>
  <si>
    <t>U83-VS2- Ngày cấy: 19/06/2024</t>
  </si>
  <si>
    <t>U83-H1-VS2-17.5-5-L-21062024-Q=50.38mL-phút-5</t>
  </si>
  <si>
    <t>U84-VS2- Ngày cấy: 19/06/2024</t>
  </si>
  <si>
    <t>U84-H3-VS2-20-2.5-21062024-Q=50.58mL-phút-4</t>
  </si>
  <si>
    <t>U85-VS2- Ngày cấy: 20/06/2024</t>
  </si>
  <si>
    <t>U85-H1-VS2-15-5-24062024-Q=49.8mL-phút-5</t>
  </si>
  <si>
    <t>U85-H1-VS2-20-0-24062024-Q=50.2mL-phút-2</t>
  </si>
  <si>
    <t>U86-VS2- Ngày cấy: 20/06/2024</t>
  </si>
  <si>
    <t>U86-H3-VS2-20-2.5-24062024-Q=49.8mL-phút-5</t>
  </si>
  <si>
    <t>U87-VS2- Ngày cấy: 21/06/2024</t>
  </si>
  <si>
    <t>U87-H1-VS2-15-5-25062024-Q=49,33mLphut-5</t>
  </si>
  <si>
    <t>U87-H1-VS2-15-0-25062024-Q=49,58mLphut-5</t>
  </si>
  <si>
    <t>Doin</t>
  </si>
  <si>
    <t>No-peak</t>
  </si>
  <si>
    <t>DOmin</t>
  </si>
  <si>
    <t>Hpeak</t>
  </si>
  <si>
    <t>U88-VS2- Ngày cấy: 21/06/2024</t>
  </si>
  <si>
    <t>U88-H3-VS2-7.5-2.5-25062024-Q=51.14mLphut-4</t>
  </si>
  <si>
    <t>U90-VS2- Ngày cấy: 24/06/2024</t>
  </si>
  <si>
    <t>U90-H3-VS2-17,5-10-26062024-Q=51.52mLphut-5</t>
  </si>
  <si>
    <t>U90-H3-VS2-10-2.5-26062024-Q=51.44mLphut-5</t>
  </si>
  <si>
    <t>U89-VS2- Ngày cấy: 24/06/2024</t>
  </si>
  <si>
    <t>U89-H1-VS2-12.5-5-26062024-Q=49.63mLphut-5</t>
  </si>
  <si>
    <t>U89-H1-VS2-17,5-10-26062024-Q=50.09mLphut-4</t>
  </si>
  <si>
    <t>U92-VS2- Ngày cấy: 25/06/2024</t>
  </si>
  <si>
    <t>U92-H3-VS2-17.5-2.5-27062024-Q=50.14mL-phút-5</t>
  </si>
  <si>
    <t>U93-VS2- Ngày cấy: 26/06/2024</t>
  </si>
  <si>
    <t>U93-H1-VS2-20-0-28062024-Q=50.66mL-phút-3</t>
  </si>
  <si>
    <t>U94-VS2- Ngày cấy: 26/06/2024</t>
  </si>
  <si>
    <t>U94-H3-VS2-20-0-28062024-Q=49.72mL-phút-4</t>
  </si>
  <si>
    <t>U95-VS2- Ngày cấy: 27/06/2024</t>
  </si>
  <si>
    <t>U95-H1-VS2-7.5-0-01072024-Q=49.24mL-phút-4</t>
  </si>
  <si>
    <t>U98-VS2- Ngày cấy: 28/06/2024</t>
  </si>
  <si>
    <t>U98-H3-VS2-12.5-0-02072024-Q=51.2mL-phút-4</t>
  </si>
  <si>
    <t>U99-VS2- Ngày cấy: 01/07/2024</t>
  </si>
  <si>
    <t>U99-H1-VS2-12.5-0-03072024-Q=48.8mL-phút-5</t>
  </si>
  <si>
    <t>U100-VS2- Ngày cấy: 01/07/2024</t>
  </si>
  <si>
    <t>U100-H3-VS2-7.5-2.5-03072024-Q=50.66mL-phút-5</t>
  </si>
  <si>
    <t>U100-H3-VS2-15-7.5-03072024-Q=50.21mL-phút-5</t>
  </si>
  <si>
    <t>U101-VS2- Ngày cấy: 02/07/2024</t>
  </si>
  <si>
    <t>U101-H1-VS2-20-0-04072024-Q=50.2mL-phút-5</t>
  </si>
  <si>
    <t>U103-VS2- Ngày cấy: 03/07/2024</t>
  </si>
  <si>
    <t>U103-H1-VS2-7.5-0-05072024-Q=50.34mL-phút-5</t>
  </si>
  <si>
    <t>U165-VS2- Ngày cấy: 16/08/2024</t>
  </si>
  <si>
    <t>U165-H1-VS2-12.5-7.5-20082024-Q=49.44mL-phút-5</t>
  </si>
  <si>
    <t>U167-VS2- Ngày cấy: 19/08/2024</t>
  </si>
  <si>
    <t>U167-H1-VS2-15-7.5-21082024-Q=49.92mL-phút-5</t>
  </si>
  <si>
    <t>U173-VS2- Ngày cấy: 22/08/2024</t>
  </si>
  <si>
    <t>U173-H1-VS2-15-2.5-26082024-Q=49.84mL-phút-5</t>
  </si>
  <si>
    <t>U174-VS2- Ngày cấy: 22/08/2024</t>
  </si>
  <si>
    <t>U174-H3-VS2-20-2.5-26082024-Q=49.88mL-phút-6</t>
  </si>
  <si>
    <t>U174-H3-VS2-2.5-0-26082024-Q=49.2mL-phút-5</t>
  </si>
  <si>
    <t>U175-VS2- Ngày cấy: 23/08/2024</t>
  </si>
  <si>
    <t>U175-H1-VS2-17.5-2.5-27082024-Q=50.02mL-phút-7</t>
  </si>
  <si>
    <t>U175-H1-VS2-15-2.5-27082024-Q=49.78mL-phút-5</t>
  </si>
  <si>
    <t>U175-H1-VS2-17.5-2.5-27082024-Q=50.2mL-phút-5</t>
  </si>
  <si>
    <t>U176-VS2- Ngày cấy: 23/08/2024</t>
  </si>
  <si>
    <t>U176-H3-VS2-20-5-27082024-Q=49.74mL-phút-6</t>
  </si>
  <si>
    <t>U176-H3-VS2-15-5-27082024-Q=50.2mL-phút-6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</si>
</sst>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Times New Roman"/>
      <scheme val="minor"/>
    </font>
    <font>
      <sz val="12"/>
      <color rgb="FFFF0000"/>
      <name val="Times New Roman"/>
    </font>
    <font>
      <sz val="12"/>
      <color theme="1"/>
      <name val="Times New Roman"/>
    </font>
    <font>
      <sz val="12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11"/>
      <color rgb="FF000000"/>
      <name val="Noto Sans Symbols"/>
    </font>
    <font>
      <sz val="11"/>
      <color rgb="FF000000"/>
      <name val="Calibri"/>
    </font>
    <font>
      <sz val="12"/>
      <color theme="1"/>
      <name val="Times New Roman"/>
      <scheme val="minor"/>
    </font>
    <font>
      <sz val="11"/>
      <color rgb="FFFF0000"/>
      <name val="Calibri"/>
    </font>
    <font>
      <sz val="11"/>
      <color theme="1"/>
      <name val="Noto Sans Symbols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TimesNewRomanPSMT"/>
    </font>
    <font>
      <sz val="11"/>
      <color rgb="FF000000"/>
      <name val="Symbol"/>
    </font>
    <font>
      <sz val="12"/>
      <color rgb="FF000000"/>
      <name val="&quot;Times New Roman&quot;"/>
    </font>
    <font>
      <sz val="12"/>
      <color rgb="FFFF0000"/>
      <name val="Arial"/>
    </font>
    <font>
      <sz val="12"/>
      <color theme="1"/>
      <name val="&quot;Times New Roman&quot;"/>
    </font>
    <font>
      <sz val="11"/>
      <color theme="1"/>
      <name val="Symbol"/>
    </font>
    <font>
      <sz val="12"/>
      <color rgb="FF000000"/>
      <name val="Calibri"/>
    </font>
    <font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&quot;Times New Roman&quot;"/>
    </font>
    <font>
      <sz val="11"/>
      <color theme="1"/>
      <name val="&quot;Noto Sans Symbols&quot;, Arial"/>
    </font>
  </fonts>
  <fills count="1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4" xfId="0" applyFont="1" applyBorder="1"/>
    <xf numFmtId="0" fontId="5" fillId="0" borderId="4" xfId="0" applyFont="1" applyBorder="1"/>
    <xf numFmtId="0" fontId="4" fillId="0" borderId="4" xfId="0" applyFont="1" applyBorder="1"/>
    <xf numFmtId="0" fontId="4" fillId="0" borderId="5" xfId="0" applyFont="1" applyBorder="1"/>
    <xf numFmtId="0" fontId="6" fillId="0" borderId="5" xfId="0" applyFont="1" applyBorder="1"/>
    <xf numFmtId="0" fontId="2" fillId="0" borderId="0" xfId="0" applyFont="1"/>
    <xf numFmtId="0" fontId="7" fillId="4" borderId="4" xfId="0" applyFont="1" applyFill="1" applyBorder="1" applyAlignment="1">
      <alignment horizontal="right"/>
    </xf>
    <xf numFmtId="0" fontId="7" fillId="4" borderId="5" xfId="0" applyFont="1" applyFill="1" applyBorder="1" applyAlignment="1">
      <alignment horizontal="right"/>
    </xf>
    <xf numFmtId="0" fontId="2" fillId="4" borderId="4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7" fillId="4" borderId="8" xfId="0" applyFont="1" applyFill="1" applyBorder="1" applyAlignment="1">
      <alignment horizontal="right"/>
    </xf>
    <xf numFmtId="0" fontId="7" fillId="4" borderId="9" xfId="0" applyFont="1" applyFill="1" applyBorder="1" applyAlignment="1">
      <alignment horizontal="right"/>
    </xf>
    <xf numFmtId="0" fontId="8" fillId="0" borderId="0" xfId="0" applyFont="1"/>
    <xf numFmtId="0" fontId="7" fillId="5" borderId="8" xfId="0" applyFont="1" applyFill="1" applyBorder="1" applyAlignment="1">
      <alignment horizontal="right"/>
    </xf>
    <xf numFmtId="0" fontId="7" fillId="5" borderId="9" xfId="0" applyFont="1" applyFill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8" xfId="0" applyFont="1" applyBorder="1"/>
    <xf numFmtId="0" fontId="4" fillId="0" borderId="9" xfId="0" applyFont="1" applyBorder="1"/>
    <xf numFmtId="0" fontId="7" fillId="4" borderId="4" xfId="0" applyFont="1" applyFill="1" applyBorder="1"/>
    <xf numFmtId="0" fontId="7" fillId="4" borderId="10" xfId="0" applyFont="1" applyFill="1" applyBorder="1"/>
    <xf numFmtId="0" fontId="7" fillId="4" borderId="11" xfId="0" applyFont="1" applyFill="1" applyBorder="1" applyAlignment="1">
      <alignment horizontal="right"/>
    </xf>
    <xf numFmtId="0" fontId="7" fillId="4" borderId="12" xfId="0" applyFont="1" applyFill="1" applyBorder="1" applyAlignment="1">
      <alignment horizontal="right"/>
    </xf>
    <xf numFmtId="0" fontId="7" fillId="4" borderId="6" xfId="0" applyFont="1" applyFill="1" applyBorder="1"/>
    <xf numFmtId="0" fontId="7" fillId="4" borderId="7" xfId="0" applyFont="1" applyFill="1" applyBorder="1"/>
    <xf numFmtId="0" fontId="2" fillId="4" borderId="13" xfId="0" applyFont="1" applyFill="1" applyBorder="1"/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 applyAlignment="1">
      <alignment horizontal="right"/>
    </xf>
    <xf numFmtId="0" fontId="7" fillId="4" borderId="8" xfId="0" applyFont="1" applyFill="1" applyBorder="1"/>
    <xf numFmtId="0" fontId="7" fillId="4" borderId="9" xfId="0" applyFont="1" applyFill="1" applyBorder="1"/>
    <xf numFmtId="0" fontId="7" fillId="0" borderId="4" xfId="0" applyFont="1" applyBorder="1" applyAlignment="1">
      <alignment horizontal="right"/>
    </xf>
    <xf numFmtId="0" fontId="4" fillId="0" borderId="14" xfId="0" applyFont="1" applyBorder="1"/>
    <xf numFmtId="0" fontId="4" fillId="4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15" xfId="0" applyFont="1" applyFill="1" applyBorder="1" applyAlignment="1">
      <alignment horizontal="right"/>
    </xf>
    <xf numFmtId="0" fontId="2" fillId="0" borderId="5" xfId="0" applyFont="1" applyBorder="1"/>
    <xf numFmtId="0" fontId="2" fillId="6" borderId="4" xfId="0" applyFont="1" applyFill="1" applyBorder="1"/>
    <xf numFmtId="0" fontId="4" fillId="4" borderId="13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2" fillId="0" borderId="16" xfId="0" applyFont="1" applyBorder="1"/>
    <xf numFmtId="0" fontId="9" fillId="0" borderId="0" xfId="0" applyFont="1"/>
    <xf numFmtId="0" fontId="2" fillId="0" borderId="12" xfId="0" applyFont="1" applyBorder="1"/>
    <xf numFmtId="0" fontId="5" fillId="0" borderId="9" xfId="0" applyFont="1" applyBorder="1"/>
    <xf numFmtId="0" fontId="10" fillId="0" borderId="9" xfId="0" applyFont="1" applyBorder="1"/>
    <xf numFmtId="0" fontId="5" fillId="0" borderId="12" xfId="0" applyFont="1" applyBorder="1"/>
    <xf numFmtId="0" fontId="2" fillId="7" borderId="7" xfId="0" applyFont="1" applyFill="1" applyBorder="1" applyAlignment="1">
      <alignment horizontal="right"/>
    </xf>
    <xf numFmtId="0" fontId="2" fillId="6" borderId="17" xfId="0" applyFont="1" applyFill="1" applyBorder="1"/>
    <xf numFmtId="0" fontId="10" fillId="0" borderId="4" xfId="0" applyFont="1" applyBorder="1"/>
    <xf numFmtId="0" fontId="11" fillId="0" borderId="9" xfId="0" applyFont="1" applyBorder="1"/>
    <xf numFmtId="0" fontId="12" fillId="0" borderId="0" xfId="0" applyFont="1"/>
    <xf numFmtId="0" fontId="11" fillId="0" borderId="4" xfId="0" applyFont="1" applyBorder="1"/>
    <xf numFmtId="0" fontId="2" fillId="6" borderId="7" xfId="0" applyFont="1" applyFill="1" applyBorder="1" applyAlignment="1">
      <alignment horizontal="right"/>
    </xf>
    <xf numFmtId="0" fontId="5" fillId="0" borderId="0" xfId="0" applyFont="1"/>
    <xf numFmtId="0" fontId="12" fillId="6" borderId="7" xfId="0" applyFont="1" applyFill="1" applyBorder="1" applyAlignment="1">
      <alignment horizontal="right"/>
    </xf>
    <xf numFmtId="0" fontId="11" fillId="0" borderId="0" xfId="0" applyFont="1"/>
    <xf numFmtId="0" fontId="12" fillId="6" borderId="4" xfId="0" applyFont="1" applyFill="1" applyBorder="1"/>
    <xf numFmtId="0" fontId="12" fillId="0" borderId="12" xfId="0" applyFont="1" applyBorder="1" applyAlignment="1">
      <alignment horizontal="right"/>
    </xf>
    <xf numFmtId="0" fontId="12" fillId="0" borderId="4" xfId="0" applyFont="1" applyBorder="1"/>
    <xf numFmtId="0" fontId="12" fillId="6" borderId="4" xfId="0" applyFont="1" applyFill="1" applyBorder="1" applyAlignment="1">
      <alignment horizontal="right"/>
    </xf>
    <xf numFmtId="0" fontId="13" fillId="5" borderId="0" xfId="0" applyFont="1" applyFill="1"/>
    <xf numFmtId="0" fontId="7" fillId="0" borderId="0" xfId="0" applyFont="1"/>
    <xf numFmtId="0" fontId="7" fillId="3" borderId="0" xfId="0" applyFont="1" applyFill="1" applyAlignment="1">
      <alignment horizontal="center"/>
    </xf>
    <xf numFmtId="0" fontId="9" fillId="5" borderId="0" xfId="0" applyFont="1" applyFill="1"/>
    <xf numFmtId="0" fontId="7" fillId="0" borderId="4" xfId="0" applyFont="1" applyBorder="1"/>
    <xf numFmtId="0" fontId="7" fillId="0" borderId="5" xfId="0" applyFont="1" applyBorder="1"/>
    <xf numFmtId="0" fontId="14" fillId="0" borderId="5" xfId="0" applyFont="1" applyBorder="1"/>
    <xf numFmtId="0" fontId="7" fillId="8" borderId="8" xfId="0" applyFont="1" applyFill="1" applyBorder="1" applyAlignment="1">
      <alignment horizontal="right"/>
    </xf>
    <xf numFmtId="0" fontId="7" fillId="8" borderId="9" xfId="0" applyFont="1" applyFill="1" applyBorder="1" applyAlignment="1">
      <alignment horizontal="right"/>
    </xf>
    <xf numFmtId="0" fontId="15" fillId="0" borderId="0" xfId="0" applyFont="1"/>
    <xf numFmtId="0" fontId="15" fillId="0" borderId="8" xfId="0" applyFont="1" applyBorder="1"/>
    <xf numFmtId="0" fontId="15" fillId="3" borderId="9" xfId="0" applyFont="1" applyFill="1" applyBorder="1" applyAlignment="1">
      <alignment horizontal="right"/>
    </xf>
    <xf numFmtId="0" fontId="15" fillId="0" borderId="9" xfId="0" applyFont="1" applyBorder="1" applyAlignment="1">
      <alignment horizontal="right"/>
    </xf>
    <xf numFmtId="0" fontId="15" fillId="3" borderId="9" xfId="0" applyFont="1" applyFill="1" applyBorder="1"/>
    <xf numFmtId="0" fontId="13" fillId="4" borderId="0" xfId="0" applyFont="1" applyFill="1"/>
    <xf numFmtId="0" fontId="9" fillId="4" borderId="0" xfId="0" applyFont="1" applyFill="1"/>
    <xf numFmtId="0" fontId="16" fillId="5" borderId="0" xfId="0" applyFont="1" applyFill="1"/>
    <xf numFmtId="0" fontId="17" fillId="0" borderId="0" xfId="0" applyFont="1"/>
    <xf numFmtId="0" fontId="17" fillId="4" borderId="16" xfId="0" applyFont="1" applyFill="1" applyBorder="1"/>
    <xf numFmtId="0" fontId="17" fillId="0" borderId="12" xfId="0" applyFont="1" applyBorder="1"/>
    <xf numFmtId="0" fontId="18" fillId="0" borderId="9" xfId="0" applyFont="1" applyBorder="1"/>
    <xf numFmtId="0" fontId="5" fillId="8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8" borderId="0" xfId="0" applyFont="1" applyFill="1" applyAlignment="1">
      <alignment horizontal="right"/>
    </xf>
    <xf numFmtId="0" fontId="7" fillId="8" borderId="4" xfId="0" applyFont="1" applyFill="1" applyBorder="1" applyAlignment="1">
      <alignment horizontal="right"/>
    </xf>
    <xf numFmtId="0" fontId="19" fillId="0" borderId="0" xfId="0" applyFont="1"/>
    <xf numFmtId="0" fontId="7" fillId="0" borderId="18" xfId="0" applyFont="1" applyBorder="1"/>
    <xf numFmtId="0" fontId="7" fillId="0" borderId="19" xfId="0" applyFont="1" applyBorder="1"/>
    <xf numFmtId="0" fontId="20" fillId="0" borderId="19" xfId="0" applyFont="1" applyBorder="1"/>
    <xf numFmtId="0" fontId="20" fillId="0" borderId="5" xfId="0" applyFont="1" applyBorder="1"/>
    <xf numFmtId="0" fontId="21" fillId="0" borderId="4" xfId="0" applyFont="1" applyBorder="1"/>
    <xf numFmtId="0" fontId="7" fillId="9" borderId="5" xfId="0" applyFont="1" applyFill="1" applyBorder="1" applyAlignment="1">
      <alignment horizontal="right"/>
    </xf>
    <xf numFmtId="0" fontId="7" fillId="9" borderId="9" xfId="0" applyFont="1" applyFill="1" applyBorder="1" applyAlignment="1">
      <alignment horizontal="right"/>
    </xf>
    <xf numFmtId="0" fontId="21" fillId="0" borderId="8" xfId="0" applyFont="1" applyBorder="1"/>
    <xf numFmtId="0" fontId="19" fillId="0" borderId="8" xfId="0" applyFont="1" applyBorder="1"/>
    <xf numFmtId="0" fontId="22" fillId="0" borderId="5" xfId="0" applyFont="1" applyBorder="1"/>
    <xf numFmtId="0" fontId="7" fillId="10" borderId="9" xfId="0" applyFont="1" applyFill="1" applyBorder="1" applyAlignment="1">
      <alignment horizontal="right"/>
    </xf>
    <xf numFmtId="0" fontId="7" fillId="4" borderId="0" xfId="0" applyFont="1" applyFill="1"/>
    <xf numFmtId="0" fontId="16" fillId="4" borderId="0" xfId="0" applyFont="1" applyFill="1"/>
    <xf numFmtId="0" fontId="7" fillId="8" borderId="11" xfId="0" applyFont="1" applyFill="1" applyBorder="1" applyAlignment="1">
      <alignment horizontal="right"/>
    </xf>
    <xf numFmtId="0" fontId="13" fillId="11" borderId="0" xfId="0" applyFont="1" applyFill="1"/>
    <xf numFmtId="0" fontId="9" fillId="11" borderId="0" xfId="0" applyFont="1" applyFill="1"/>
    <xf numFmtId="0" fontId="7" fillId="5" borderId="0" xfId="0" applyFont="1" applyFill="1"/>
    <xf numFmtId="0" fontId="16" fillId="4" borderId="0" xfId="0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22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8" borderId="5" xfId="0" applyFont="1" applyFill="1" applyBorder="1" applyAlignment="1">
      <alignment horizontal="right"/>
    </xf>
    <xf numFmtId="0" fontId="17" fillId="0" borderId="16" xfId="0" applyFont="1" applyBorder="1"/>
    <xf numFmtId="0" fontId="5" fillId="11" borderId="9" xfId="0" applyFont="1" applyFill="1" applyBorder="1" applyAlignment="1">
      <alignment horizontal="right"/>
    </xf>
    <xf numFmtId="0" fontId="14" fillId="0" borderId="4" xfId="0" applyFont="1" applyBorder="1"/>
    <xf numFmtId="0" fontId="7" fillId="12" borderId="4" xfId="0" applyFont="1" applyFill="1" applyBorder="1" applyAlignment="1">
      <alignment horizontal="right"/>
    </xf>
    <xf numFmtId="0" fontId="7" fillId="5" borderId="4" xfId="0" applyFont="1" applyFill="1" applyBorder="1" applyAlignment="1">
      <alignment horizontal="right"/>
    </xf>
    <xf numFmtId="0" fontId="21" fillId="0" borderId="0" xfId="0" applyFont="1"/>
    <xf numFmtId="0" fontId="21" fillId="13" borderId="4" xfId="0" applyFont="1" applyFill="1" applyBorder="1"/>
    <xf numFmtId="0" fontId="21" fillId="13" borderId="5" xfId="0" applyFont="1" applyFill="1" applyBorder="1"/>
    <xf numFmtId="0" fontId="7" fillId="0" borderId="5" xfId="0" applyFont="1" applyBorder="1" applyAlignment="1">
      <alignment horizontal="right"/>
    </xf>
    <xf numFmtId="0" fontId="7" fillId="14" borderId="5" xfId="0" applyFont="1" applyFill="1" applyBorder="1" applyAlignment="1">
      <alignment horizontal="right"/>
    </xf>
    <xf numFmtId="0" fontId="7" fillId="14" borderId="9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3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9" Type="http://schemas.openxmlformats.org/officeDocument/2006/relationships/styles" Target="styles.xml"/><Relationship Id="rId10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customschemas.google.com/relationships/workbookmetadata" Target="metadata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"/>
  <sheetViews>
    <sheetView workbookViewId="0"/>
  </sheetViews>
  <sheetFormatPr defaultColWidth="11.19921875" defaultRowHeight="15" customHeight="1"/>
  <cols>
    <col min="1" max="2" width="11.09765625" customWidth="1"/>
    <col min="3" max="3" width="14.09765625" customWidth="1"/>
    <col min="4" max="4" width="11.09765625" customWidth="1"/>
    <col min="5" max="5" width="9.09765625" customWidth="1"/>
    <col min="6" max="6" width="9.69921875" customWidth="1"/>
    <col min="7" max="47" width="11.09765625" customWidth="1"/>
  </cols>
  <sheetData>
    <row r="1" spans="1:47" ht="15" customHeight="1">
      <c r="A1" s="1" t="s">
        <v>0</v>
      </c>
      <c r="E1" s="133" t="s">
        <v>1</v>
      </c>
      <c r="F1" s="134"/>
      <c r="G1" s="134"/>
      <c r="H1" s="135"/>
      <c r="K1" s="133" t="s">
        <v>2</v>
      </c>
      <c r="L1" s="134"/>
      <c r="M1" s="134"/>
      <c r="N1" s="135"/>
      <c r="S1" s="133" t="s">
        <v>3</v>
      </c>
      <c r="T1" s="134"/>
      <c r="U1" s="134"/>
      <c r="V1" s="135"/>
      <c r="Y1" s="133" t="s">
        <v>4</v>
      </c>
      <c r="Z1" s="134"/>
      <c r="AA1" s="134"/>
      <c r="AB1" s="135"/>
      <c r="AE1" s="2"/>
      <c r="AF1" s="136" t="s">
        <v>5</v>
      </c>
      <c r="AG1" s="134"/>
      <c r="AH1" s="134"/>
      <c r="AI1" s="135"/>
      <c r="AL1" s="133" t="s">
        <v>6</v>
      </c>
      <c r="AM1" s="134"/>
      <c r="AN1" s="134"/>
      <c r="AO1" s="135"/>
      <c r="AR1" s="133" t="s">
        <v>7</v>
      </c>
      <c r="AS1" s="134"/>
      <c r="AT1" s="134"/>
      <c r="AU1" s="135"/>
    </row>
    <row r="2" spans="1:47" ht="15" customHeight="1">
      <c r="A2" s="1" t="s">
        <v>8</v>
      </c>
      <c r="AE2" s="2"/>
      <c r="AF2" s="2"/>
      <c r="AG2" s="2"/>
      <c r="AH2" s="2"/>
      <c r="AI2" s="2"/>
    </row>
    <row r="3" spans="1:47" ht="15" customHeight="1">
      <c r="A3" s="1" t="s">
        <v>9</v>
      </c>
      <c r="E3" s="3" t="s">
        <v>10</v>
      </c>
      <c r="F3" s="3" t="s">
        <v>11</v>
      </c>
      <c r="G3" s="3" t="s">
        <v>12</v>
      </c>
      <c r="H3" s="4" t="s">
        <v>13</v>
      </c>
      <c r="K3" s="3" t="s">
        <v>10</v>
      </c>
      <c r="L3" s="3" t="s">
        <v>11</v>
      </c>
      <c r="M3" s="3" t="s">
        <v>12</v>
      </c>
      <c r="N3" s="4" t="s">
        <v>14</v>
      </c>
      <c r="S3" s="3" t="s">
        <v>10</v>
      </c>
      <c r="T3" s="3" t="s">
        <v>11</v>
      </c>
      <c r="U3" s="3" t="s">
        <v>12</v>
      </c>
      <c r="V3" s="4" t="s">
        <v>15</v>
      </c>
      <c r="Y3" s="3" t="s">
        <v>10</v>
      </c>
      <c r="Z3" s="3" t="s">
        <v>11</v>
      </c>
      <c r="AA3" s="3" t="s">
        <v>12</v>
      </c>
      <c r="AB3" s="4" t="s">
        <v>16</v>
      </c>
      <c r="AE3" s="2"/>
      <c r="AF3" s="5" t="s">
        <v>10</v>
      </c>
      <c r="AG3" s="6" t="s">
        <v>11</v>
      </c>
      <c r="AH3" s="6" t="s">
        <v>12</v>
      </c>
      <c r="AI3" s="7" t="s">
        <v>17</v>
      </c>
      <c r="AL3" s="3" t="s">
        <v>10</v>
      </c>
      <c r="AM3" s="3" t="s">
        <v>11</v>
      </c>
      <c r="AN3" s="3" t="s">
        <v>12</v>
      </c>
      <c r="AO3" s="4" t="s">
        <v>18</v>
      </c>
      <c r="AR3" s="3" t="s">
        <v>10</v>
      </c>
      <c r="AS3" s="3" t="s">
        <v>11</v>
      </c>
      <c r="AT3" s="3" t="s">
        <v>12</v>
      </c>
      <c r="AU3" s="4" t="s">
        <v>19</v>
      </c>
    </row>
    <row r="4" spans="1:47" ht="15" customHeight="1">
      <c r="A4" s="1" t="s">
        <v>20</v>
      </c>
      <c r="D4" s="8" t="s">
        <v>21</v>
      </c>
      <c r="E4" s="9">
        <v>260.60180000000003</v>
      </c>
      <c r="F4" s="10">
        <v>301</v>
      </c>
      <c r="G4" s="10">
        <v>256.62</v>
      </c>
      <c r="H4" s="10">
        <v>3.98176</v>
      </c>
      <c r="J4" s="8" t="s">
        <v>22</v>
      </c>
      <c r="K4" s="9">
        <v>258.97280000000001</v>
      </c>
      <c r="L4" s="10">
        <v>301</v>
      </c>
      <c r="M4" s="10">
        <v>255.87</v>
      </c>
      <c r="N4" s="10">
        <v>3.1027800000000001</v>
      </c>
      <c r="R4" s="8" t="s">
        <v>22</v>
      </c>
      <c r="S4" s="11">
        <v>278.22638999999998</v>
      </c>
      <c r="T4" s="11">
        <v>301</v>
      </c>
      <c r="U4" s="11">
        <v>273.98</v>
      </c>
      <c r="V4" s="11">
        <f t="shared" ref="V4:V23" si="0">S4-U4</f>
        <v>4.2463899999999626</v>
      </c>
      <c r="X4" s="8" t="s">
        <v>23</v>
      </c>
      <c r="Y4" s="11">
        <v>277.67639000000003</v>
      </c>
      <c r="Z4" s="11">
        <v>301</v>
      </c>
      <c r="AA4" s="11">
        <v>273.82</v>
      </c>
      <c r="AB4" s="11">
        <f t="shared" ref="AB4:AB18" si="1">Y4-AA4</f>
        <v>3.8563900000000331</v>
      </c>
      <c r="AE4" s="2" t="s">
        <v>21</v>
      </c>
      <c r="AF4" s="12">
        <v>285.52577000000002</v>
      </c>
      <c r="AG4" s="13">
        <v>299</v>
      </c>
      <c r="AH4" s="13">
        <v>279.62</v>
      </c>
      <c r="AI4" s="13">
        <v>5.9057700000000004</v>
      </c>
      <c r="AK4" s="8" t="s">
        <v>22</v>
      </c>
      <c r="AL4" s="11">
        <v>284.12572</v>
      </c>
      <c r="AM4" s="11">
        <v>301</v>
      </c>
      <c r="AN4" s="11">
        <v>278.76</v>
      </c>
      <c r="AO4" s="11">
        <f t="shared" ref="AO4:AO23" si="2">AL4-AN4</f>
        <v>5.3657200000000103</v>
      </c>
      <c r="AQ4" s="8" t="s">
        <v>23</v>
      </c>
      <c r="AR4" s="9">
        <v>283.23610000000002</v>
      </c>
      <c r="AS4" s="10">
        <v>301</v>
      </c>
      <c r="AT4" s="10">
        <v>278.16000000000003</v>
      </c>
      <c r="AU4" s="10">
        <v>5.07613</v>
      </c>
    </row>
    <row r="5" spans="1:47" ht="15" customHeight="1">
      <c r="E5" s="14">
        <v>260.39789999999999</v>
      </c>
      <c r="F5" s="15">
        <v>775</v>
      </c>
      <c r="G5" s="15">
        <v>256.39001000000002</v>
      </c>
      <c r="H5" s="15">
        <v>4.00793</v>
      </c>
      <c r="K5" s="14">
        <v>258.84589999999997</v>
      </c>
      <c r="L5" s="15">
        <v>776</v>
      </c>
      <c r="M5" s="15">
        <v>255.55</v>
      </c>
      <c r="N5" s="15">
        <v>3.2959399999999999</v>
      </c>
      <c r="S5" s="11">
        <v>278.22971999999999</v>
      </c>
      <c r="T5" s="11">
        <v>773</v>
      </c>
      <c r="U5" s="11">
        <v>273.98</v>
      </c>
      <c r="V5" s="11">
        <f t="shared" si="0"/>
        <v>4.249719999999968</v>
      </c>
      <c r="Y5" s="11">
        <v>277.84138999999999</v>
      </c>
      <c r="Z5" s="11">
        <v>776</v>
      </c>
      <c r="AA5" s="11">
        <v>273.98</v>
      </c>
      <c r="AB5" s="11">
        <f t="shared" si="1"/>
        <v>3.8613899999999717</v>
      </c>
      <c r="AE5" s="2"/>
      <c r="AF5" s="12">
        <v>285.44654000000003</v>
      </c>
      <c r="AG5" s="13">
        <v>774</v>
      </c>
      <c r="AH5" s="13">
        <v>279.48</v>
      </c>
      <c r="AI5" s="13">
        <v>5.9665400000000002</v>
      </c>
      <c r="AL5" s="11">
        <v>284.22230999999999</v>
      </c>
      <c r="AM5" s="11">
        <v>777</v>
      </c>
      <c r="AN5" s="11">
        <v>278.37</v>
      </c>
      <c r="AO5" s="11">
        <f t="shared" si="2"/>
        <v>5.8523099999999886</v>
      </c>
      <c r="AR5" s="14">
        <v>283.04680000000002</v>
      </c>
      <c r="AS5" s="15">
        <v>773</v>
      </c>
      <c r="AT5" s="15">
        <v>278.04000000000002</v>
      </c>
      <c r="AU5" s="15">
        <v>5.0067899999999996</v>
      </c>
    </row>
    <row r="6" spans="1:47" ht="15" customHeight="1">
      <c r="E6" s="14">
        <v>260.13529999999997</v>
      </c>
      <c r="F6" s="15">
        <v>1247</v>
      </c>
      <c r="G6" s="15">
        <v>256.41000000000003</v>
      </c>
      <c r="H6" s="15">
        <v>3.7252900000000002</v>
      </c>
      <c r="K6" s="14">
        <v>258.66950000000003</v>
      </c>
      <c r="L6" s="15">
        <v>1248</v>
      </c>
      <c r="M6" s="15">
        <v>255.67999</v>
      </c>
      <c r="N6" s="15">
        <v>2.9894699999999998</v>
      </c>
      <c r="S6" s="11">
        <v>278.11757</v>
      </c>
      <c r="T6" s="11">
        <v>1247</v>
      </c>
      <c r="U6" s="11">
        <v>273.81</v>
      </c>
      <c r="V6" s="11">
        <f t="shared" si="0"/>
        <v>4.3075699999999983</v>
      </c>
      <c r="Y6" s="11">
        <v>278.00306</v>
      </c>
      <c r="Z6" s="11">
        <v>1249</v>
      </c>
      <c r="AA6" s="11">
        <v>274.01</v>
      </c>
      <c r="AB6" s="11">
        <f t="shared" si="1"/>
        <v>3.993060000000014</v>
      </c>
      <c r="AE6" s="2"/>
      <c r="AF6" s="12">
        <v>285.06137000000001</v>
      </c>
      <c r="AG6" s="13">
        <v>1248</v>
      </c>
      <c r="AH6" s="13">
        <v>279.41000000000003</v>
      </c>
      <c r="AI6" s="13">
        <v>5.65137</v>
      </c>
      <c r="AL6" s="11">
        <v>284.16575999999998</v>
      </c>
      <c r="AM6" s="11">
        <v>1249</v>
      </c>
      <c r="AN6" s="11">
        <v>278.76</v>
      </c>
      <c r="AO6" s="11">
        <f t="shared" si="2"/>
        <v>5.4057599999999866</v>
      </c>
      <c r="AR6" s="14">
        <v>283.11720000000003</v>
      </c>
      <c r="AS6" s="15">
        <v>1246</v>
      </c>
      <c r="AT6" s="15">
        <v>278.62</v>
      </c>
      <c r="AU6" s="15">
        <v>4.4971899999999998</v>
      </c>
    </row>
    <row r="7" spans="1:47" ht="15" customHeight="1">
      <c r="E7" s="14">
        <v>260.2894</v>
      </c>
      <c r="F7" s="15">
        <v>1722</v>
      </c>
      <c r="G7" s="15">
        <v>256.22000000000003</v>
      </c>
      <c r="H7" s="15">
        <v>4.0694100000000004</v>
      </c>
      <c r="K7" s="14">
        <v>258.62650000000002</v>
      </c>
      <c r="L7" s="15">
        <v>1721</v>
      </c>
      <c r="M7" s="15">
        <v>255.55</v>
      </c>
      <c r="N7" s="15">
        <v>3.0764900000000002</v>
      </c>
      <c r="S7" s="11">
        <v>278.07405</v>
      </c>
      <c r="T7" s="11">
        <v>1719</v>
      </c>
      <c r="U7" s="11">
        <v>273.35000000000002</v>
      </c>
      <c r="V7" s="11">
        <f t="shared" si="0"/>
        <v>4.724049999999977</v>
      </c>
      <c r="Y7" s="11">
        <v>278.09305999999998</v>
      </c>
      <c r="Z7" s="11">
        <v>1724</v>
      </c>
      <c r="AA7" s="11">
        <v>274.27</v>
      </c>
      <c r="AB7" s="11">
        <f t="shared" si="1"/>
        <v>3.8230599999999981</v>
      </c>
      <c r="AE7" s="2"/>
      <c r="AF7" s="12">
        <v>284.82580999999999</v>
      </c>
      <c r="AG7" s="13">
        <v>1721</v>
      </c>
      <c r="AH7" s="13">
        <v>279.07</v>
      </c>
      <c r="AI7" s="13">
        <v>5.7558100000000003</v>
      </c>
      <c r="AL7" s="11">
        <v>284.03332999999998</v>
      </c>
      <c r="AM7" s="11">
        <v>1723</v>
      </c>
      <c r="AN7" s="11">
        <v>278.48</v>
      </c>
      <c r="AO7" s="11">
        <f t="shared" si="2"/>
        <v>5.5533299999999599</v>
      </c>
      <c r="AR7" s="14">
        <v>283.04579999999999</v>
      </c>
      <c r="AS7" s="15">
        <v>1720</v>
      </c>
      <c r="AT7" s="15">
        <v>278.57</v>
      </c>
      <c r="AU7" s="15">
        <v>4.4758100000000001</v>
      </c>
    </row>
    <row r="8" spans="1:47" ht="15" customHeight="1">
      <c r="E8" s="14">
        <v>260.12709999999998</v>
      </c>
      <c r="F8" s="15">
        <v>2194</v>
      </c>
      <c r="G8" s="15">
        <v>256.29998999999998</v>
      </c>
      <c r="H8" s="15">
        <v>3.82707</v>
      </c>
      <c r="K8" s="14">
        <v>258.57</v>
      </c>
      <c r="L8" s="15">
        <v>2197</v>
      </c>
      <c r="M8" s="15">
        <v>254.95</v>
      </c>
      <c r="N8" s="15">
        <v>3.61999</v>
      </c>
      <c r="S8" s="11">
        <v>277.99110999999999</v>
      </c>
      <c r="T8" s="11">
        <v>2192</v>
      </c>
      <c r="U8" s="11">
        <v>273.62</v>
      </c>
      <c r="V8" s="11">
        <f t="shared" si="0"/>
        <v>4.3711099999999874</v>
      </c>
      <c r="Y8" s="11">
        <v>278.06972000000002</v>
      </c>
      <c r="Z8" s="11">
        <v>2195</v>
      </c>
      <c r="AA8" s="11">
        <v>274.29000000000002</v>
      </c>
      <c r="AB8" s="11">
        <f t="shared" si="1"/>
        <v>3.7797199999999975</v>
      </c>
      <c r="AE8" s="2"/>
      <c r="AF8" s="12">
        <v>285.45226000000002</v>
      </c>
      <c r="AG8" s="13">
        <v>2195</v>
      </c>
      <c r="AH8" s="13">
        <v>279.35000000000002</v>
      </c>
      <c r="AI8" s="13">
        <v>6.1022600000000002</v>
      </c>
      <c r="AL8" s="11">
        <v>283.85039</v>
      </c>
      <c r="AM8" s="11">
        <v>2196</v>
      </c>
      <c r="AN8" s="11">
        <v>278.37</v>
      </c>
      <c r="AO8" s="11">
        <f t="shared" si="2"/>
        <v>5.4803899999999999</v>
      </c>
      <c r="AR8" s="14">
        <v>282.95159999999998</v>
      </c>
      <c r="AS8" s="15">
        <v>2196</v>
      </c>
      <c r="AT8" s="15">
        <v>278.26</v>
      </c>
      <c r="AU8" s="15">
        <v>4.69156</v>
      </c>
    </row>
    <row r="9" spans="1:47" ht="15" customHeight="1">
      <c r="E9" s="14">
        <v>259.84589999999997</v>
      </c>
      <c r="F9" s="15">
        <v>2666</v>
      </c>
      <c r="G9" s="15">
        <v>255.74001000000001</v>
      </c>
      <c r="H9" s="15">
        <v>4.1058700000000004</v>
      </c>
      <c r="K9" s="14">
        <v>257.92290000000003</v>
      </c>
      <c r="L9" s="15">
        <v>2673</v>
      </c>
      <c r="M9" s="15">
        <v>254.25998999999999</v>
      </c>
      <c r="N9" s="15">
        <v>3.6629299999999998</v>
      </c>
      <c r="S9" s="11">
        <v>278.11944</v>
      </c>
      <c r="T9" s="11">
        <v>2666</v>
      </c>
      <c r="U9" s="11">
        <v>274.07</v>
      </c>
      <c r="V9" s="11">
        <f t="shared" si="0"/>
        <v>4.0494400000000041</v>
      </c>
      <c r="Y9" s="11">
        <v>277.87162000000001</v>
      </c>
      <c r="Z9" s="11">
        <v>2671</v>
      </c>
      <c r="AA9" s="11">
        <v>274.06</v>
      </c>
      <c r="AB9" s="11">
        <f t="shared" si="1"/>
        <v>3.8116200000000049</v>
      </c>
      <c r="AE9" s="2"/>
      <c r="AF9" s="12">
        <v>285.51769000000002</v>
      </c>
      <c r="AG9" s="13">
        <v>2666</v>
      </c>
      <c r="AH9" s="13">
        <v>279.45</v>
      </c>
      <c r="AI9" s="13">
        <v>6.0676899999999998</v>
      </c>
      <c r="AL9" s="11">
        <v>283.47692000000001</v>
      </c>
      <c r="AM9" s="11">
        <v>2669</v>
      </c>
      <c r="AN9" s="11">
        <v>278.51</v>
      </c>
      <c r="AO9" s="11">
        <f t="shared" si="2"/>
        <v>4.966920000000016</v>
      </c>
      <c r="AR9" s="14">
        <v>282.98360000000002</v>
      </c>
      <c r="AS9" s="15">
        <v>2668</v>
      </c>
      <c r="AT9" s="15">
        <v>278.17</v>
      </c>
      <c r="AU9" s="15">
        <v>4.8135500000000002</v>
      </c>
    </row>
    <row r="10" spans="1:47" ht="15" customHeight="1">
      <c r="E10" s="14">
        <v>259.4615</v>
      </c>
      <c r="F10" s="15">
        <v>3140</v>
      </c>
      <c r="G10" s="15">
        <v>255.50998999999999</v>
      </c>
      <c r="H10" s="15">
        <v>3.9514800000000001</v>
      </c>
      <c r="K10" s="14">
        <v>256.88139999999999</v>
      </c>
      <c r="L10" s="15">
        <v>3143</v>
      </c>
      <c r="M10" s="15">
        <v>253.5</v>
      </c>
      <c r="N10" s="15">
        <v>3.3814299999999999</v>
      </c>
      <c r="S10" s="11">
        <v>278.29055</v>
      </c>
      <c r="T10" s="11">
        <v>3139</v>
      </c>
      <c r="U10" s="11">
        <v>273.60000000000002</v>
      </c>
      <c r="V10" s="11">
        <f t="shared" si="0"/>
        <v>4.6905499999999734</v>
      </c>
      <c r="Y10" s="11">
        <v>277.67352</v>
      </c>
      <c r="Z10" s="11">
        <v>3142</v>
      </c>
      <c r="AA10" s="11">
        <v>274.25</v>
      </c>
      <c r="AB10" s="11">
        <f t="shared" si="1"/>
        <v>3.4235199999999963</v>
      </c>
      <c r="AE10" s="2"/>
      <c r="AF10" s="12">
        <v>285.36846000000003</v>
      </c>
      <c r="AG10" s="13">
        <v>3140</v>
      </c>
      <c r="AH10" s="13">
        <v>279.41000000000003</v>
      </c>
      <c r="AI10" s="13">
        <v>5.9584599999999996</v>
      </c>
      <c r="AL10" s="11">
        <v>283.09260999999998</v>
      </c>
      <c r="AM10" s="11">
        <v>3142</v>
      </c>
      <c r="AN10" s="11">
        <v>278.14</v>
      </c>
      <c r="AO10" s="11">
        <f t="shared" si="2"/>
        <v>4.9526099999999929</v>
      </c>
      <c r="AR10" s="14">
        <v>282.84030000000001</v>
      </c>
      <c r="AS10" s="15">
        <v>3140</v>
      </c>
      <c r="AT10" s="15">
        <v>277.58999999999997</v>
      </c>
      <c r="AU10" s="15">
        <v>5.2503200000000003</v>
      </c>
    </row>
    <row r="11" spans="1:47" ht="15" customHeight="1">
      <c r="D11" s="16" t="s">
        <v>22</v>
      </c>
      <c r="E11" s="17">
        <v>258.88940000000002</v>
      </c>
      <c r="F11" s="18">
        <v>3617</v>
      </c>
      <c r="G11" s="18">
        <v>255.24001000000001</v>
      </c>
      <c r="H11" s="18">
        <v>3.6494</v>
      </c>
      <c r="K11" s="14">
        <v>256.52390000000003</v>
      </c>
      <c r="L11" s="15">
        <v>3618</v>
      </c>
      <c r="M11" s="15">
        <v>253.08</v>
      </c>
      <c r="N11" s="15">
        <v>3.4438800000000001</v>
      </c>
      <c r="S11" s="11">
        <v>278.14139</v>
      </c>
      <c r="T11" s="11">
        <v>3611</v>
      </c>
      <c r="U11" s="11">
        <v>273.79000000000002</v>
      </c>
      <c r="V11" s="11">
        <f t="shared" si="0"/>
        <v>4.3513899999999808</v>
      </c>
      <c r="X11" s="8" t="s">
        <v>24</v>
      </c>
      <c r="Y11" s="3">
        <v>278.08800000000002</v>
      </c>
      <c r="Z11" s="3">
        <v>3617</v>
      </c>
      <c r="AA11" s="3">
        <v>274.29000000000002</v>
      </c>
      <c r="AB11" s="3">
        <f t="shared" si="1"/>
        <v>3.7980000000000018</v>
      </c>
      <c r="AE11" s="2"/>
      <c r="AF11" s="12">
        <v>285.45231000000001</v>
      </c>
      <c r="AG11" s="13">
        <v>3613</v>
      </c>
      <c r="AH11" s="13">
        <v>279.41000000000003</v>
      </c>
      <c r="AI11" s="13">
        <v>6.0423099999999996</v>
      </c>
      <c r="AL11" s="11">
        <v>283.38704000000001</v>
      </c>
      <c r="AM11" s="11">
        <v>3617</v>
      </c>
      <c r="AN11" s="11">
        <v>278.62</v>
      </c>
      <c r="AO11" s="11">
        <f t="shared" si="2"/>
        <v>4.7670400000000086</v>
      </c>
      <c r="AR11" s="14">
        <v>282.71319999999997</v>
      </c>
      <c r="AS11" s="15">
        <v>3612</v>
      </c>
      <c r="AT11" s="15">
        <v>277.73</v>
      </c>
      <c r="AU11" s="15">
        <v>4.9831599999999998</v>
      </c>
    </row>
    <row r="12" spans="1:47" ht="15" customHeight="1">
      <c r="E12" s="17">
        <v>258.47469999999998</v>
      </c>
      <c r="F12" s="18">
        <v>4090</v>
      </c>
      <c r="G12" s="18">
        <v>255.14999</v>
      </c>
      <c r="H12" s="18">
        <v>3.3247100000000001</v>
      </c>
      <c r="J12" s="8" t="s">
        <v>23</v>
      </c>
      <c r="K12" s="19">
        <v>257.10230000000001</v>
      </c>
      <c r="L12" s="20">
        <v>4088</v>
      </c>
      <c r="M12" s="20">
        <v>253.31</v>
      </c>
      <c r="N12" s="20">
        <v>3.7922899999999999</v>
      </c>
      <c r="R12" s="8" t="s">
        <v>23</v>
      </c>
      <c r="S12" s="3">
        <v>276.745</v>
      </c>
      <c r="T12" s="3">
        <v>4086</v>
      </c>
      <c r="U12" s="3">
        <v>272.04000000000002</v>
      </c>
      <c r="V12" s="3">
        <f t="shared" si="0"/>
        <v>4.7049999999999841</v>
      </c>
      <c r="Y12" s="11">
        <v>278.20483000000002</v>
      </c>
      <c r="Z12" s="11">
        <v>4090</v>
      </c>
      <c r="AA12" s="11">
        <v>275.5</v>
      </c>
      <c r="AB12" s="11">
        <f t="shared" si="1"/>
        <v>2.7048300000000154</v>
      </c>
      <c r="AE12" s="2" t="s">
        <v>22</v>
      </c>
      <c r="AF12" s="21">
        <v>284.63610999999997</v>
      </c>
      <c r="AG12" s="22">
        <v>4086</v>
      </c>
      <c r="AH12" s="22">
        <v>278.60000000000002</v>
      </c>
      <c r="AI12" s="22">
        <v>6.0361099999999999</v>
      </c>
      <c r="AK12" s="8" t="s">
        <v>23</v>
      </c>
      <c r="AL12" s="3">
        <v>282.99923000000001</v>
      </c>
      <c r="AM12" s="3">
        <v>4089</v>
      </c>
      <c r="AN12" s="3">
        <v>277.29000000000002</v>
      </c>
      <c r="AO12" s="3">
        <f t="shared" si="2"/>
        <v>5.7092299999999909</v>
      </c>
      <c r="AQ12" s="8" t="s">
        <v>24</v>
      </c>
      <c r="AR12" s="19">
        <v>282.70549999999997</v>
      </c>
      <c r="AS12" s="20">
        <v>4086</v>
      </c>
      <c r="AT12" s="20">
        <v>278.35000000000002</v>
      </c>
      <c r="AU12" s="20">
        <v>4.3555200000000003</v>
      </c>
    </row>
    <row r="13" spans="1:47" ht="15" customHeight="1">
      <c r="D13" s="8"/>
      <c r="E13" s="14">
        <v>258.70240000000001</v>
      </c>
      <c r="F13" s="15">
        <v>4558</v>
      </c>
      <c r="G13" s="15">
        <v>255.74001000000001</v>
      </c>
      <c r="H13" s="15">
        <v>2.9623900000000001</v>
      </c>
      <c r="K13" s="19">
        <v>256.98079999999999</v>
      </c>
      <c r="L13" s="20">
        <v>4564</v>
      </c>
      <c r="M13" s="20">
        <v>253.64999</v>
      </c>
      <c r="N13" s="20">
        <v>3.3308</v>
      </c>
      <c r="S13" s="3">
        <v>277.28721999999999</v>
      </c>
      <c r="T13" s="3">
        <v>4559</v>
      </c>
      <c r="U13" s="3">
        <v>272.60000000000002</v>
      </c>
      <c r="V13" s="3">
        <f t="shared" si="0"/>
        <v>4.687219999999968</v>
      </c>
      <c r="Y13" s="11">
        <v>278.52793000000003</v>
      </c>
      <c r="Z13" s="11">
        <v>4564</v>
      </c>
      <c r="AA13" s="11">
        <v>275.64</v>
      </c>
      <c r="AB13" s="11">
        <f t="shared" si="1"/>
        <v>2.8879300000000399</v>
      </c>
      <c r="AE13" s="2"/>
      <c r="AF13" s="21">
        <v>284.60962000000001</v>
      </c>
      <c r="AG13" s="22">
        <v>4561</v>
      </c>
      <c r="AH13" s="22">
        <v>278.62</v>
      </c>
      <c r="AI13" s="22">
        <v>5.9896200000000004</v>
      </c>
      <c r="AL13" s="3">
        <v>282.43707999999998</v>
      </c>
      <c r="AM13" s="3">
        <v>4562</v>
      </c>
      <c r="AN13" s="3">
        <v>277.27999999999997</v>
      </c>
      <c r="AO13" s="3">
        <f t="shared" si="2"/>
        <v>5.1570800000000077</v>
      </c>
      <c r="AR13" s="14">
        <v>282.84739999999999</v>
      </c>
      <c r="AS13" s="15">
        <v>4559</v>
      </c>
      <c r="AT13" s="15">
        <v>279.32</v>
      </c>
      <c r="AU13" s="15">
        <v>3.5274299999999998</v>
      </c>
    </row>
    <row r="14" spans="1:47" ht="15" customHeight="1">
      <c r="E14" s="14">
        <v>259.10899999999998</v>
      </c>
      <c r="F14" s="15">
        <v>5030</v>
      </c>
      <c r="G14" s="15">
        <v>255.8</v>
      </c>
      <c r="H14" s="15">
        <v>3.3090299999999999</v>
      </c>
      <c r="K14" s="19">
        <v>256.73719999999997</v>
      </c>
      <c r="L14" s="20">
        <v>5038</v>
      </c>
      <c r="M14" s="20">
        <v>253.08</v>
      </c>
      <c r="N14" s="20">
        <v>3.6571799999999999</v>
      </c>
      <c r="S14" s="3">
        <v>277.38621000000001</v>
      </c>
      <c r="T14" s="3">
        <v>5033</v>
      </c>
      <c r="U14" s="3">
        <v>273.07</v>
      </c>
      <c r="V14" s="3">
        <f t="shared" si="0"/>
        <v>4.3162100000000123</v>
      </c>
      <c r="Y14" s="11">
        <v>278.53138000000001</v>
      </c>
      <c r="Z14" s="11">
        <v>5036</v>
      </c>
      <c r="AA14" s="11">
        <v>276.17</v>
      </c>
      <c r="AB14" s="11">
        <f t="shared" si="1"/>
        <v>2.3613799999999969</v>
      </c>
      <c r="AE14" s="2"/>
      <c r="AF14" s="21">
        <v>284.70695999999998</v>
      </c>
      <c r="AG14" s="22">
        <v>5033</v>
      </c>
      <c r="AH14" s="22">
        <v>278.62</v>
      </c>
      <c r="AI14" s="22">
        <v>6.0869600000000004</v>
      </c>
      <c r="AL14" s="3">
        <v>282.93826000000001</v>
      </c>
      <c r="AM14" s="3">
        <v>5036</v>
      </c>
      <c r="AN14" s="3">
        <v>277.72000000000003</v>
      </c>
      <c r="AO14" s="3">
        <f t="shared" si="2"/>
        <v>5.2182599999999866</v>
      </c>
      <c r="AR14" s="14">
        <v>283.14420000000001</v>
      </c>
      <c r="AS14" s="15">
        <v>5032</v>
      </c>
      <c r="AT14" s="15">
        <v>279.35000000000002</v>
      </c>
      <c r="AU14" s="15">
        <v>3.7942100000000001</v>
      </c>
    </row>
    <row r="15" spans="1:47" ht="15" customHeight="1">
      <c r="E15" s="14">
        <v>258.97280000000001</v>
      </c>
      <c r="F15" s="15">
        <v>5505</v>
      </c>
      <c r="G15" s="15">
        <v>255.87</v>
      </c>
      <c r="H15" s="15">
        <v>3.1027800000000001</v>
      </c>
      <c r="K15" s="19">
        <v>256.21839999999997</v>
      </c>
      <c r="L15" s="20">
        <v>5512</v>
      </c>
      <c r="M15" s="20">
        <v>253.03998999999999</v>
      </c>
      <c r="N15" s="20">
        <v>3.1784300000000001</v>
      </c>
      <c r="S15" s="3">
        <v>277.36500000000001</v>
      </c>
      <c r="T15" s="3">
        <v>5505</v>
      </c>
      <c r="U15" s="3">
        <v>273.41000000000003</v>
      </c>
      <c r="V15" s="3">
        <f t="shared" si="0"/>
        <v>3.9549999999999841</v>
      </c>
      <c r="Y15" s="11">
        <v>278.62034999999997</v>
      </c>
      <c r="Z15" s="11">
        <v>5510</v>
      </c>
      <c r="AA15" s="11">
        <v>276.42</v>
      </c>
      <c r="AB15" s="11">
        <f t="shared" si="1"/>
        <v>2.2003499999999576</v>
      </c>
      <c r="AE15" s="2"/>
      <c r="AF15" s="12">
        <v>284.12572</v>
      </c>
      <c r="AG15" s="13">
        <v>5507</v>
      </c>
      <c r="AH15" s="13">
        <v>278.76</v>
      </c>
      <c r="AI15" s="13">
        <v>5.3657199999999996</v>
      </c>
      <c r="AL15" s="3">
        <v>282.97208000000001</v>
      </c>
      <c r="AM15" s="3">
        <v>5510</v>
      </c>
      <c r="AN15" s="3">
        <v>278.54000000000002</v>
      </c>
      <c r="AO15" s="3">
        <f t="shared" si="2"/>
        <v>4.4320799999999849</v>
      </c>
      <c r="AR15" s="14">
        <v>283.21949999999998</v>
      </c>
      <c r="AS15" s="15">
        <v>5506</v>
      </c>
      <c r="AT15" s="15">
        <v>279.81</v>
      </c>
      <c r="AU15" s="15">
        <v>3.4094799999999998</v>
      </c>
    </row>
    <row r="16" spans="1:47" ht="15" customHeight="1">
      <c r="E16" s="14">
        <v>258.84589999999997</v>
      </c>
      <c r="F16" s="15">
        <v>5980</v>
      </c>
      <c r="G16" s="15">
        <v>255.55</v>
      </c>
      <c r="H16" s="15">
        <v>3.2959399999999999</v>
      </c>
      <c r="K16" s="14">
        <v>256.13400000000001</v>
      </c>
      <c r="L16" s="15">
        <v>5983</v>
      </c>
      <c r="M16" s="15">
        <v>253.25</v>
      </c>
      <c r="N16" s="15">
        <v>2.88395</v>
      </c>
      <c r="S16" s="3">
        <v>277.38693999999998</v>
      </c>
      <c r="T16" s="3">
        <v>5979</v>
      </c>
      <c r="U16" s="3">
        <v>273.37</v>
      </c>
      <c r="V16" s="3">
        <f t="shared" si="0"/>
        <v>4.0169399999999769</v>
      </c>
      <c r="Y16" s="11">
        <v>278.70267000000001</v>
      </c>
      <c r="Z16" s="11">
        <v>5985</v>
      </c>
      <c r="AA16" s="11">
        <v>276.39</v>
      </c>
      <c r="AB16" s="11">
        <f t="shared" si="1"/>
        <v>2.3126700000000255</v>
      </c>
      <c r="AE16" s="2"/>
      <c r="AF16" s="12">
        <v>284.22230999999999</v>
      </c>
      <c r="AG16" s="13">
        <v>5982</v>
      </c>
      <c r="AH16" s="13">
        <v>278.37</v>
      </c>
      <c r="AI16" s="13">
        <v>5.8523100000000001</v>
      </c>
      <c r="AL16" s="11">
        <v>283.23613</v>
      </c>
      <c r="AM16" s="11">
        <v>5984</v>
      </c>
      <c r="AN16" s="11">
        <v>278.16000000000003</v>
      </c>
      <c r="AO16" s="11">
        <f t="shared" si="2"/>
        <v>5.0761299999999778</v>
      </c>
      <c r="AR16" s="14">
        <v>283.46159999999998</v>
      </c>
      <c r="AS16" s="15">
        <v>5980</v>
      </c>
      <c r="AT16" s="15">
        <v>279.87</v>
      </c>
      <c r="AU16" s="15">
        <v>3.59158</v>
      </c>
    </row>
    <row r="17" spans="5:47" ht="15" customHeight="1">
      <c r="E17" s="14">
        <v>258.66950000000003</v>
      </c>
      <c r="F17" s="15">
        <v>6452</v>
      </c>
      <c r="G17" s="15">
        <v>255.67999</v>
      </c>
      <c r="H17" s="15">
        <v>2.9894699999999998</v>
      </c>
      <c r="K17" s="14">
        <v>255.7542</v>
      </c>
      <c r="L17" s="15">
        <v>6455</v>
      </c>
      <c r="M17" s="15">
        <v>252.81</v>
      </c>
      <c r="N17" s="15">
        <v>2.94421</v>
      </c>
      <c r="S17" s="11">
        <v>277.67639000000003</v>
      </c>
      <c r="T17" s="11">
        <v>6451</v>
      </c>
      <c r="U17" s="11">
        <v>273.82</v>
      </c>
      <c r="V17" s="11">
        <f t="shared" si="0"/>
        <v>3.8563900000000331</v>
      </c>
      <c r="Y17" s="11">
        <v>278.81065999999998</v>
      </c>
      <c r="Z17" s="11">
        <v>6458</v>
      </c>
      <c r="AA17" s="11">
        <v>276.67</v>
      </c>
      <c r="AB17" s="11">
        <f t="shared" si="1"/>
        <v>2.1406599999999685</v>
      </c>
      <c r="AE17" s="2"/>
      <c r="AF17" s="12">
        <v>284.16575999999998</v>
      </c>
      <c r="AG17" s="13">
        <v>6454</v>
      </c>
      <c r="AH17" s="13">
        <v>278.76</v>
      </c>
      <c r="AI17" s="13">
        <v>5.4057599999999999</v>
      </c>
      <c r="AL17" s="11">
        <v>283.11718999999999</v>
      </c>
      <c r="AM17" s="11">
        <v>6456</v>
      </c>
      <c r="AN17" s="11">
        <v>278.04000000000002</v>
      </c>
      <c r="AO17" s="11">
        <f t="shared" si="2"/>
        <v>5.0771899999999732</v>
      </c>
      <c r="AR17" s="14">
        <v>283.41050000000001</v>
      </c>
      <c r="AS17" s="15">
        <v>6454</v>
      </c>
      <c r="AT17" s="15">
        <v>279.98</v>
      </c>
      <c r="AU17" s="15">
        <v>3.4305300000000001</v>
      </c>
    </row>
    <row r="18" spans="5:47" ht="15" customHeight="1">
      <c r="E18" s="14">
        <v>258.62650000000002</v>
      </c>
      <c r="F18" s="15">
        <v>6925</v>
      </c>
      <c r="G18" s="15">
        <v>255.55</v>
      </c>
      <c r="H18" s="15">
        <v>3.0764900000000002</v>
      </c>
      <c r="K18" s="14">
        <v>255.59110000000001</v>
      </c>
      <c r="L18" s="15">
        <v>6929</v>
      </c>
      <c r="M18" s="15">
        <v>252.75</v>
      </c>
      <c r="N18" s="15">
        <v>2.8410500000000001</v>
      </c>
      <c r="S18" s="11">
        <v>277.84138999999999</v>
      </c>
      <c r="T18" s="11">
        <v>6926</v>
      </c>
      <c r="U18" s="11">
        <v>273.98</v>
      </c>
      <c r="V18" s="11">
        <f t="shared" si="0"/>
        <v>3.8613899999999717</v>
      </c>
      <c r="Y18" s="11">
        <v>278.99448000000001</v>
      </c>
      <c r="Z18" s="11">
        <v>6931</v>
      </c>
      <c r="AA18" s="11">
        <v>276.72000000000003</v>
      </c>
      <c r="AB18" s="11">
        <f t="shared" si="1"/>
        <v>2.2744799999999827</v>
      </c>
      <c r="AE18" s="2"/>
      <c r="AF18" s="12">
        <v>284.03332999999998</v>
      </c>
      <c r="AG18" s="13">
        <v>6928</v>
      </c>
      <c r="AH18" s="13">
        <v>278.42</v>
      </c>
      <c r="AI18" s="13">
        <v>5.6133300000000004</v>
      </c>
      <c r="AL18" s="11">
        <v>283.04581000000002</v>
      </c>
      <c r="AM18" s="11">
        <v>6929</v>
      </c>
      <c r="AN18" s="11">
        <v>278.62</v>
      </c>
      <c r="AO18" s="11">
        <f t="shared" si="2"/>
        <v>4.4258100000000127</v>
      </c>
      <c r="AR18" s="14">
        <v>283.4436</v>
      </c>
      <c r="AS18" s="15">
        <v>6927</v>
      </c>
      <c r="AT18" s="15">
        <v>280.2</v>
      </c>
      <c r="AU18" s="15">
        <v>3.2435900000000002</v>
      </c>
    </row>
    <row r="19" spans="5:47" ht="15" customHeight="1">
      <c r="E19" s="14">
        <v>258.57</v>
      </c>
      <c r="F19" s="15">
        <v>7401</v>
      </c>
      <c r="G19" s="15">
        <v>254.95</v>
      </c>
      <c r="H19" s="15">
        <v>3.61999</v>
      </c>
      <c r="K19" s="14">
        <v>255.57499999999999</v>
      </c>
      <c r="L19" s="15">
        <v>7402</v>
      </c>
      <c r="M19" s="15">
        <v>252.85001</v>
      </c>
      <c r="N19" s="15">
        <v>2.72499</v>
      </c>
      <c r="S19" s="11">
        <v>278.00306</v>
      </c>
      <c r="T19" s="11">
        <v>7399</v>
      </c>
      <c r="U19" s="11">
        <v>274.01</v>
      </c>
      <c r="V19" s="11">
        <f t="shared" si="0"/>
        <v>3.993060000000014</v>
      </c>
      <c r="AE19" s="2"/>
      <c r="AF19" s="12">
        <v>283.85039</v>
      </c>
      <c r="AG19" s="13">
        <v>7401</v>
      </c>
      <c r="AH19" s="13">
        <v>278.37</v>
      </c>
      <c r="AI19" s="13">
        <v>5.4803899999999999</v>
      </c>
      <c r="AL19" s="11">
        <v>282.95155999999997</v>
      </c>
      <c r="AM19" s="11">
        <v>7403</v>
      </c>
      <c r="AN19" s="11">
        <v>277.57</v>
      </c>
      <c r="AO19" s="11">
        <f t="shared" si="2"/>
        <v>5.381559999999979</v>
      </c>
      <c r="AR19" s="14">
        <v>283.089</v>
      </c>
      <c r="AS19" s="15">
        <v>7399</v>
      </c>
      <c r="AT19" s="15">
        <v>280.10000000000002</v>
      </c>
      <c r="AU19" s="15">
        <v>2.98895</v>
      </c>
    </row>
    <row r="20" spans="5:47" ht="15" customHeight="1">
      <c r="E20" s="14">
        <v>257.92290000000003</v>
      </c>
      <c r="F20" s="15">
        <v>7877</v>
      </c>
      <c r="G20" s="15">
        <v>254.25998999999999</v>
      </c>
      <c r="H20" s="15">
        <v>3.6629299999999998</v>
      </c>
      <c r="K20" s="14">
        <v>255.5111</v>
      </c>
      <c r="L20" s="15">
        <v>7877</v>
      </c>
      <c r="M20" s="15">
        <v>252.78998999999999</v>
      </c>
      <c r="N20" s="15">
        <v>2.72106</v>
      </c>
      <c r="S20" s="11">
        <v>278.09305999999998</v>
      </c>
      <c r="T20" s="11">
        <v>7873</v>
      </c>
      <c r="U20" s="11">
        <v>274.2</v>
      </c>
      <c r="V20" s="11">
        <f t="shared" si="0"/>
        <v>3.8930599999999913</v>
      </c>
      <c r="AE20" s="2"/>
      <c r="AF20" s="12">
        <v>283.47692000000001</v>
      </c>
      <c r="AG20" s="13">
        <v>7874</v>
      </c>
      <c r="AH20" s="13">
        <v>278.51</v>
      </c>
      <c r="AI20" s="13">
        <v>4.96692</v>
      </c>
      <c r="AL20" s="11">
        <v>282.98354999999998</v>
      </c>
      <c r="AM20" s="11">
        <v>7877</v>
      </c>
      <c r="AN20" s="11">
        <v>278.26</v>
      </c>
      <c r="AO20" s="11">
        <f t="shared" si="2"/>
        <v>4.7235499999999888</v>
      </c>
      <c r="AR20" s="14">
        <v>283.22399999999999</v>
      </c>
      <c r="AS20" s="15">
        <v>7871</v>
      </c>
      <c r="AT20" s="15">
        <v>279.81</v>
      </c>
      <c r="AU20" s="15">
        <v>3.4139499999999998</v>
      </c>
    </row>
    <row r="21" spans="5:47" ht="15" customHeight="1">
      <c r="K21" s="14">
        <v>255.5668</v>
      </c>
      <c r="L21" s="15">
        <v>8349</v>
      </c>
      <c r="M21" s="15">
        <v>252.81</v>
      </c>
      <c r="N21" s="15">
        <v>2.75684</v>
      </c>
      <c r="S21" s="11">
        <v>278.06972000000002</v>
      </c>
      <c r="T21" s="11">
        <v>8345</v>
      </c>
      <c r="U21" s="11">
        <v>274.29000000000002</v>
      </c>
      <c r="V21" s="11">
        <f t="shared" si="0"/>
        <v>3.7797199999999975</v>
      </c>
      <c r="AE21" s="2"/>
      <c r="AF21" s="12">
        <v>283.09260999999998</v>
      </c>
      <c r="AG21" s="13">
        <v>8347</v>
      </c>
      <c r="AH21" s="13">
        <v>278.14</v>
      </c>
      <c r="AI21" s="13">
        <v>4.95261</v>
      </c>
      <c r="AL21" s="11">
        <v>282.84032000000002</v>
      </c>
      <c r="AM21" s="11">
        <v>8351</v>
      </c>
      <c r="AN21" s="11">
        <v>278.16000000000003</v>
      </c>
      <c r="AO21" s="11">
        <f t="shared" si="2"/>
        <v>4.6803199999999947</v>
      </c>
    </row>
    <row r="22" spans="5:47" ht="15" customHeight="1">
      <c r="K22" s="14">
        <v>255.5547</v>
      </c>
      <c r="L22" s="15">
        <v>8824</v>
      </c>
      <c r="M22" s="15">
        <v>253.02</v>
      </c>
      <c r="N22" s="15">
        <v>2.5347400000000002</v>
      </c>
      <c r="S22" s="11">
        <v>277.87162000000001</v>
      </c>
      <c r="T22" s="11">
        <v>8822</v>
      </c>
      <c r="U22" s="11">
        <v>274.06</v>
      </c>
      <c r="V22" s="11">
        <f t="shared" si="0"/>
        <v>3.8116200000000049</v>
      </c>
      <c r="AE22" s="2"/>
      <c r="AF22" s="12">
        <v>283.38704000000001</v>
      </c>
      <c r="AG22" s="13">
        <v>8820</v>
      </c>
      <c r="AH22" s="13">
        <v>278.62</v>
      </c>
      <c r="AI22" s="13">
        <v>4.7670399999999997</v>
      </c>
      <c r="AL22" s="11">
        <v>282.71316000000002</v>
      </c>
      <c r="AM22" s="11">
        <v>8823</v>
      </c>
      <c r="AN22" s="11">
        <v>277.58999999999997</v>
      </c>
      <c r="AO22" s="11">
        <f t="shared" si="2"/>
        <v>5.1231600000000412</v>
      </c>
    </row>
    <row r="23" spans="5:47" ht="15" customHeight="1">
      <c r="S23" s="11">
        <v>277.67352</v>
      </c>
      <c r="T23" s="11">
        <v>9292</v>
      </c>
      <c r="U23" s="11">
        <v>274.25</v>
      </c>
      <c r="V23" s="11">
        <f t="shared" si="0"/>
        <v>3.4235199999999963</v>
      </c>
      <c r="AE23" s="2"/>
      <c r="AF23" s="2"/>
      <c r="AG23" s="2"/>
      <c r="AH23" s="2"/>
      <c r="AI23" s="2"/>
      <c r="AL23" s="11">
        <v>282.56972999999999</v>
      </c>
      <c r="AM23" s="11">
        <v>9295</v>
      </c>
      <c r="AN23" s="11">
        <v>277.73</v>
      </c>
      <c r="AO23" s="11">
        <f t="shared" si="2"/>
        <v>4.8397299999999746</v>
      </c>
    </row>
    <row r="24" spans="5:47" ht="15" customHeight="1">
      <c r="AE24" s="2"/>
      <c r="AF24" s="2"/>
      <c r="AG24" s="2"/>
      <c r="AH24" s="2"/>
      <c r="AI24" s="2"/>
    </row>
  </sheetData>
  <mergeCells count="7">
    <mergeCell ref="AL1:AO1"/>
    <mergeCell ref="AR1:AU1"/>
    <mergeCell ref="E1:H1"/>
    <mergeCell ref="K1:N1"/>
    <mergeCell ref="S1:V1"/>
    <mergeCell ref="Y1:AB1"/>
    <mergeCell ref="AF1:A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2"/>
  <sheetViews>
    <sheetView workbookViewId="0"/>
  </sheetViews>
  <sheetFormatPr defaultColWidth="11.19921875" defaultRowHeight="15" customHeight="1"/>
  <cols>
    <col min="1" max="2" width="11.09765625" customWidth="1"/>
    <col min="3" max="3" width="23.3984375" customWidth="1"/>
    <col min="4" max="111" width="11.09765625" customWidth="1"/>
  </cols>
  <sheetData>
    <row r="1" spans="1:111" ht="15" customHeight="1">
      <c r="A1" s="1" t="s">
        <v>25</v>
      </c>
      <c r="E1" s="133" t="s">
        <v>26</v>
      </c>
      <c r="F1" s="134"/>
      <c r="G1" s="134"/>
      <c r="H1" s="135"/>
      <c r="J1" s="8" t="s">
        <v>27</v>
      </c>
      <c r="K1" s="133" t="s">
        <v>28</v>
      </c>
      <c r="L1" s="134"/>
      <c r="M1" s="134"/>
      <c r="N1" s="135"/>
      <c r="P1" s="8" t="s">
        <v>27</v>
      </c>
      <c r="Q1" s="133" t="s">
        <v>29</v>
      </c>
      <c r="R1" s="134"/>
      <c r="S1" s="134"/>
      <c r="T1" s="135"/>
      <c r="V1" s="8" t="s">
        <v>27</v>
      </c>
      <c r="W1" s="133" t="s">
        <v>30</v>
      </c>
      <c r="X1" s="134"/>
      <c r="Y1" s="134"/>
      <c r="Z1" s="135"/>
      <c r="AB1" s="8" t="s">
        <v>27</v>
      </c>
      <c r="AC1" s="133" t="s">
        <v>31</v>
      </c>
      <c r="AD1" s="134"/>
      <c r="AE1" s="134"/>
      <c r="AF1" s="135"/>
      <c r="AH1" s="8" t="s">
        <v>27</v>
      </c>
      <c r="AI1" s="133" t="s">
        <v>32</v>
      </c>
      <c r="AJ1" s="134"/>
      <c r="AK1" s="134"/>
      <c r="AL1" s="135"/>
      <c r="AN1" s="8" t="s">
        <v>27</v>
      </c>
      <c r="AO1" s="133" t="s">
        <v>33</v>
      </c>
      <c r="AP1" s="134"/>
      <c r="AQ1" s="134"/>
      <c r="AR1" s="135"/>
      <c r="AT1" s="8" t="s">
        <v>27</v>
      </c>
      <c r="AU1" s="133" t="s">
        <v>34</v>
      </c>
      <c r="AV1" s="134"/>
      <c r="AW1" s="134"/>
      <c r="AX1" s="135"/>
      <c r="BA1" s="8" t="s">
        <v>27</v>
      </c>
      <c r="BB1" s="133" t="s">
        <v>35</v>
      </c>
      <c r="BC1" s="134"/>
      <c r="BD1" s="134"/>
      <c r="BE1" s="135"/>
      <c r="BG1" s="8" t="s">
        <v>27</v>
      </c>
      <c r="BH1" s="133" t="s">
        <v>36</v>
      </c>
      <c r="BI1" s="134"/>
      <c r="BJ1" s="134"/>
      <c r="BK1" s="135"/>
      <c r="BM1" s="8" t="s">
        <v>27</v>
      </c>
      <c r="BN1" s="133" t="s">
        <v>37</v>
      </c>
      <c r="BO1" s="134"/>
      <c r="BP1" s="134"/>
      <c r="BQ1" s="135"/>
      <c r="BS1" s="8" t="s">
        <v>27</v>
      </c>
      <c r="BT1" s="133" t="s">
        <v>38</v>
      </c>
      <c r="BU1" s="134"/>
      <c r="BV1" s="134"/>
      <c r="BW1" s="135"/>
      <c r="BY1" s="8" t="s">
        <v>27</v>
      </c>
      <c r="BZ1" s="133" t="s">
        <v>39</v>
      </c>
      <c r="CA1" s="134"/>
      <c r="CB1" s="134"/>
      <c r="CC1" s="135"/>
      <c r="CE1" s="8" t="s">
        <v>27</v>
      </c>
      <c r="CF1" s="133" t="s">
        <v>40</v>
      </c>
      <c r="CG1" s="134"/>
      <c r="CH1" s="134"/>
      <c r="CI1" s="135"/>
      <c r="CK1" s="8" t="s">
        <v>27</v>
      </c>
      <c r="CL1" s="133" t="s">
        <v>41</v>
      </c>
      <c r="CM1" s="134"/>
      <c r="CN1" s="134"/>
      <c r="CO1" s="135"/>
      <c r="CQ1" s="8" t="s">
        <v>27</v>
      </c>
      <c r="CR1" s="133" t="s">
        <v>42</v>
      </c>
      <c r="CS1" s="134"/>
      <c r="CT1" s="134"/>
      <c r="CU1" s="135"/>
      <c r="CW1" s="8" t="s">
        <v>27</v>
      </c>
      <c r="CX1" s="133" t="s">
        <v>43</v>
      </c>
      <c r="CY1" s="134"/>
      <c r="CZ1" s="134"/>
      <c r="DA1" s="135"/>
      <c r="DC1" s="8" t="s">
        <v>27</v>
      </c>
      <c r="DD1" s="133" t="s">
        <v>44</v>
      </c>
      <c r="DE1" s="134"/>
      <c r="DF1" s="134"/>
      <c r="DG1" s="135"/>
    </row>
    <row r="2" spans="1:111" ht="15" customHeight="1">
      <c r="A2" s="1" t="s">
        <v>45</v>
      </c>
    </row>
    <row r="3" spans="1:111" ht="15" customHeight="1">
      <c r="A3" s="1" t="s">
        <v>46</v>
      </c>
      <c r="E3" s="3" t="s">
        <v>10</v>
      </c>
      <c r="F3" s="3" t="s">
        <v>11</v>
      </c>
      <c r="G3" s="3" t="s">
        <v>12</v>
      </c>
      <c r="H3" s="4" t="s">
        <v>47</v>
      </c>
      <c r="K3" s="3" t="s">
        <v>10</v>
      </c>
      <c r="L3" s="3" t="s">
        <v>11</v>
      </c>
      <c r="M3" s="3" t="s">
        <v>12</v>
      </c>
      <c r="N3" s="4" t="s">
        <v>48</v>
      </c>
      <c r="Q3" s="3" t="s">
        <v>10</v>
      </c>
      <c r="R3" s="3" t="s">
        <v>11</v>
      </c>
      <c r="S3" s="3" t="s">
        <v>12</v>
      </c>
      <c r="T3" s="4" t="s">
        <v>49</v>
      </c>
      <c r="W3" s="3" t="s">
        <v>10</v>
      </c>
      <c r="X3" s="3" t="s">
        <v>11</v>
      </c>
      <c r="Y3" s="3" t="s">
        <v>12</v>
      </c>
      <c r="Z3" s="4" t="s">
        <v>50</v>
      </c>
      <c r="AC3" s="3" t="s">
        <v>10</v>
      </c>
      <c r="AD3" s="3" t="s">
        <v>11</v>
      </c>
      <c r="AE3" s="3" t="s">
        <v>12</v>
      </c>
      <c r="AF3" s="4" t="s">
        <v>51</v>
      </c>
      <c r="AI3" s="3" t="s">
        <v>10</v>
      </c>
      <c r="AJ3" s="3" t="s">
        <v>11</v>
      </c>
      <c r="AK3" s="3" t="s">
        <v>12</v>
      </c>
      <c r="AL3" s="4" t="s">
        <v>52</v>
      </c>
      <c r="AO3" s="3" t="s">
        <v>10</v>
      </c>
      <c r="AP3" s="3" t="s">
        <v>11</v>
      </c>
      <c r="AQ3" s="3" t="s">
        <v>12</v>
      </c>
      <c r="AR3" s="4" t="s">
        <v>53</v>
      </c>
      <c r="AU3" s="3" t="s">
        <v>10</v>
      </c>
      <c r="AV3" s="3" t="s">
        <v>11</v>
      </c>
      <c r="AW3" s="3" t="s">
        <v>12</v>
      </c>
      <c r="AX3" s="4" t="s">
        <v>54</v>
      </c>
      <c r="BB3" s="3" t="s">
        <v>10</v>
      </c>
      <c r="BC3" s="3" t="s">
        <v>11</v>
      </c>
      <c r="BD3" s="3" t="s">
        <v>12</v>
      </c>
      <c r="BE3" s="4" t="s">
        <v>55</v>
      </c>
      <c r="BH3" s="3" t="s">
        <v>10</v>
      </c>
      <c r="BI3" s="3" t="s">
        <v>11</v>
      </c>
      <c r="BJ3" s="3" t="s">
        <v>12</v>
      </c>
      <c r="BK3" s="4" t="s">
        <v>56</v>
      </c>
      <c r="BN3" s="3" t="s">
        <v>10</v>
      </c>
      <c r="BO3" s="3" t="s">
        <v>11</v>
      </c>
      <c r="BP3" s="3" t="s">
        <v>12</v>
      </c>
      <c r="BQ3" s="4" t="s">
        <v>57</v>
      </c>
      <c r="BT3" s="3" t="s">
        <v>10</v>
      </c>
      <c r="BU3" s="3" t="s">
        <v>11</v>
      </c>
      <c r="BV3" s="3" t="s">
        <v>12</v>
      </c>
      <c r="BW3" s="4" t="s">
        <v>58</v>
      </c>
      <c r="BZ3" s="3" t="s">
        <v>10</v>
      </c>
      <c r="CA3" s="3" t="s">
        <v>11</v>
      </c>
      <c r="CB3" s="3" t="s">
        <v>12</v>
      </c>
      <c r="CC3" s="4" t="s">
        <v>59</v>
      </c>
      <c r="CF3" s="3" t="s">
        <v>10</v>
      </c>
      <c r="CG3" s="3" t="s">
        <v>11</v>
      </c>
      <c r="CH3" s="3" t="s">
        <v>12</v>
      </c>
      <c r="CI3" s="4" t="s">
        <v>60</v>
      </c>
      <c r="CL3" s="3" t="s">
        <v>10</v>
      </c>
      <c r="CM3" s="3" t="s">
        <v>11</v>
      </c>
      <c r="CN3" s="3" t="s">
        <v>12</v>
      </c>
      <c r="CO3" s="4" t="s">
        <v>61</v>
      </c>
      <c r="CR3" s="3" t="s">
        <v>10</v>
      </c>
      <c r="CS3" s="3" t="s">
        <v>11</v>
      </c>
      <c r="CT3" s="3" t="s">
        <v>12</v>
      </c>
      <c r="CU3" s="4" t="s">
        <v>62</v>
      </c>
      <c r="CX3" s="3" t="s">
        <v>10</v>
      </c>
      <c r="CY3" s="3" t="s">
        <v>11</v>
      </c>
      <c r="CZ3" s="3" t="s">
        <v>12</v>
      </c>
      <c r="DA3" s="4" t="s">
        <v>63</v>
      </c>
      <c r="DD3" s="3" t="s">
        <v>10</v>
      </c>
      <c r="DE3" s="3" t="s">
        <v>11</v>
      </c>
      <c r="DF3" s="3" t="s">
        <v>12</v>
      </c>
      <c r="DG3" s="4" t="s">
        <v>64</v>
      </c>
    </row>
    <row r="4" spans="1:111" ht="15" customHeight="1">
      <c r="D4" s="8" t="s">
        <v>65</v>
      </c>
      <c r="E4" s="11">
        <v>286.70499999999998</v>
      </c>
      <c r="F4" s="11">
        <v>5946</v>
      </c>
      <c r="G4" s="11">
        <v>276.14</v>
      </c>
      <c r="H4" s="11">
        <f t="shared" ref="H4:H22" si="0">E4-G4</f>
        <v>10.564999999999998</v>
      </c>
      <c r="J4" s="8" t="s">
        <v>21</v>
      </c>
      <c r="K4" s="23">
        <v>284.88130999999998</v>
      </c>
      <c r="L4" s="24">
        <v>301</v>
      </c>
      <c r="M4" s="24">
        <v>275.7</v>
      </c>
      <c r="N4" s="24">
        <v>9.1813099999999999</v>
      </c>
      <c r="P4" s="8" t="s">
        <v>22</v>
      </c>
      <c r="Q4" s="11">
        <v>283.27463999999998</v>
      </c>
      <c r="R4" s="11">
        <v>301</v>
      </c>
      <c r="S4" s="11">
        <v>275.57</v>
      </c>
      <c r="T4" s="11">
        <f t="shared" ref="T4:T22" si="1">Q4-S4</f>
        <v>7.7046399999999835</v>
      </c>
      <c r="V4" s="8" t="s">
        <v>23</v>
      </c>
      <c r="W4" s="9">
        <v>282.94540000000001</v>
      </c>
      <c r="X4" s="10">
        <v>301</v>
      </c>
      <c r="Y4" s="10">
        <v>277.07</v>
      </c>
      <c r="Z4" s="10">
        <v>5.8753599999999997</v>
      </c>
      <c r="AB4" s="8" t="s">
        <v>65</v>
      </c>
      <c r="AC4" s="9">
        <v>286.25639999999999</v>
      </c>
      <c r="AD4" s="10">
        <v>301</v>
      </c>
      <c r="AE4" s="10">
        <v>276.13</v>
      </c>
      <c r="AF4" s="10">
        <v>10.126390000000001</v>
      </c>
      <c r="AH4" s="8" t="s">
        <v>21</v>
      </c>
      <c r="AI4" s="11">
        <v>284.58555999999999</v>
      </c>
      <c r="AJ4" s="11">
        <v>301</v>
      </c>
      <c r="AK4" s="11">
        <v>274.79000000000002</v>
      </c>
      <c r="AL4" s="11">
        <f t="shared" ref="AL4:AL22" si="2">AI4-AK4</f>
        <v>9.7955599999999663</v>
      </c>
      <c r="AN4" s="8" t="s">
        <v>22</v>
      </c>
      <c r="AO4" s="11">
        <v>284.13610999999997</v>
      </c>
      <c r="AP4" s="11">
        <v>301</v>
      </c>
      <c r="AQ4" s="11">
        <v>276.95</v>
      </c>
      <c r="AR4" s="11">
        <f t="shared" ref="AR4:AR22" si="3">AO4-AQ4</f>
        <v>7.1861099999999851</v>
      </c>
      <c r="AT4" s="8" t="s">
        <v>23</v>
      </c>
      <c r="AU4" s="11">
        <v>283.12527999999998</v>
      </c>
      <c r="AV4" s="11">
        <v>301</v>
      </c>
      <c r="AW4" s="11">
        <v>277.23</v>
      </c>
      <c r="AX4" s="11">
        <f t="shared" ref="AX4:AX19" si="4">AU4-AW4</f>
        <v>5.895279999999957</v>
      </c>
      <c r="BA4" s="8" t="s">
        <v>66</v>
      </c>
      <c r="BB4" s="11">
        <v>280.40291999999999</v>
      </c>
      <c r="BC4" s="11">
        <v>301</v>
      </c>
      <c r="BD4" s="11">
        <v>271.54000000000002</v>
      </c>
      <c r="BE4" s="11">
        <f t="shared" ref="BE4:BE22" si="5">BB4-BD4</f>
        <v>8.8629199999999742</v>
      </c>
      <c r="BG4" s="8" t="s">
        <v>67</v>
      </c>
      <c r="BH4" s="11">
        <v>279.94846000000001</v>
      </c>
      <c r="BI4" s="11">
        <v>300</v>
      </c>
      <c r="BJ4" s="11">
        <v>273.04000000000002</v>
      </c>
      <c r="BK4" s="11">
        <f t="shared" ref="BK4:BK21" si="6">BH4-BJ4</f>
        <v>6.9084599999999909</v>
      </c>
      <c r="BM4" s="8" t="s">
        <v>68</v>
      </c>
      <c r="BN4" s="9">
        <v>280.55959999999999</v>
      </c>
      <c r="BO4" s="10">
        <v>300</v>
      </c>
      <c r="BP4" s="10">
        <v>274.48</v>
      </c>
      <c r="BQ4" s="10">
        <v>6.0796200000000002</v>
      </c>
      <c r="BS4" s="8" t="s">
        <v>69</v>
      </c>
      <c r="BT4" s="25">
        <v>286.33960000000002</v>
      </c>
      <c r="BU4" s="26">
        <v>301</v>
      </c>
      <c r="BV4" s="10">
        <v>278.41000000000003</v>
      </c>
      <c r="BW4" s="10">
        <v>7.9295799999999996</v>
      </c>
      <c r="BY4" s="8" t="s">
        <v>67</v>
      </c>
      <c r="BZ4" s="11">
        <v>286.28703999999999</v>
      </c>
      <c r="CA4" s="11">
        <v>301</v>
      </c>
      <c r="CB4" s="11">
        <v>279.26</v>
      </c>
      <c r="CC4" s="11">
        <f t="shared" ref="CC4:CC22" si="7">BZ4-CB4</f>
        <v>7.0270399999999995</v>
      </c>
      <c r="CE4" s="8" t="s">
        <v>68</v>
      </c>
      <c r="CF4" s="11">
        <v>285.33778000000001</v>
      </c>
      <c r="CG4" s="11">
        <v>301</v>
      </c>
      <c r="CH4" s="11">
        <v>278.67</v>
      </c>
      <c r="CI4" s="11">
        <f t="shared" ref="CI4:CI22" si="8">CF4-CH4</f>
        <v>6.6677799999999934</v>
      </c>
      <c r="CK4" s="8" t="s">
        <v>69</v>
      </c>
      <c r="CL4" s="9">
        <v>293.21260000000001</v>
      </c>
      <c r="CM4" s="10">
        <v>301</v>
      </c>
      <c r="CN4" s="10">
        <v>283.91000000000003</v>
      </c>
      <c r="CO4" s="10">
        <v>9.3026099999999996</v>
      </c>
      <c r="CQ4" s="8" t="s">
        <v>66</v>
      </c>
      <c r="CR4" s="11">
        <v>291.10374999999999</v>
      </c>
      <c r="CS4" s="11">
        <v>301</v>
      </c>
      <c r="CT4" s="11">
        <v>281.39</v>
      </c>
      <c r="CU4" s="11">
        <f t="shared" ref="CU4:CU18" si="9">CR4-CT4</f>
        <v>9.7137500000000045</v>
      </c>
      <c r="CW4" s="8" t="s">
        <v>67</v>
      </c>
      <c r="CX4" s="11">
        <v>288.58303999999998</v>
      </c>
      <c r="CY4" s="11">
        <v>301</v>
      </c>
      <c r="CZ4" s="11">
        <v>281.2</v>
      </c>
      <c r="DA4" s="11">
        <f t="shared" ref="DA4:DA19" si="10">CX4-CZ4</f>
        <v>7.3830399999999941</v>
      </c>
      <c r="DC4" s="8" t="s">
        <v>68</v>
      </c>
      <c r="DD4" s="11">
        <v>288.25666999999999</v>
      </c>
      <c r="DE4" s="11">
        <v>301</v>
      </c>
      <c r="DF4" s="11">
        <v>282.10000000000002</v>
      </c>
      <c r="DG4" s="11">
        <f t="shared" ref="DG4:DG19" si="11">DD4-DF4</f>
        <v>6.1566699999999628</v>
      </c>
    </row>
    <row r="5" spans="1:111" ht="15" customHeight="1">
      <c r="E5" s="11">
        <v>286.60392999999999</v>
      </c>
      <c r="F5" s="11">
        <v>6419</v>
      </c>
      <c r="G5" s="11">
        <v>275.94</v>
      </c>
      <c r="H5" s="11">
        <f t="shared" si="0"/>
        <v>10.663929999999993</v>
      </c>
      <c r="K5" s="27">
        <v>284.92347999999998</v>
      </c>
      <c r="L5" s="28">
        <v>774</v>
      </c>
      <c r="M5" s="28">
        <v>274.94</v>
      </c>
      <c r="N5" s="28">
        <v>9.9834800000000001</v>
      </c>
      <c r="Q5" s="11">
        <v>283.24678999999998</v>
      </c>
      <c r="R5" s="11">
        <v>773</v>
      </c>
      <c r="S5" s="11">
        <v>275.48</v>
      </c>
      <c r="T5" s="11">
        <f t="shared" si="1"/>
        <v>7.7667899999999577</v>
      </c>
      <c r="W5" s="14">
        <v>283.1925</v>
      </c>
      <c r="X5" s="15">
        <v>773</v>
      </c>
      <c r="Y5" s="15">
        <v>277.51</v>
      </c>
      <c r="Z5" s="15">
        <v>5.6825000000000001</v>
      </c>
      <c r="AC5" s="25">
        <v>286.23669999999998</v>
      </c>
      <c r="AD5" s="15">
        <v>774</v>
      </c>
      <c r="AE5" s="15">
        <v>276.02999999999997</v>
      </c>
      <c r="AF5" s="15">
        <v>10.206670000000001</v>
      </c>
      <c r="AI5" s="11">
        <v>284.42860999999999</v>
      </c>
      <c r="AJ5" s="11">
        <v>775</v>
      </c>
      <c r="AK5" s="11">
        <v>274.76</v>
      </c>
      <c r="AL5" s="11">
        <f t="shared" si="2"/>
        <v>9.668610000000001</v>
      </c>
      <c r="AO5" s="11">
        <v>284.17167000000001</v>
      </c>
      <c r="AP5" s="11">
        <v>774</v>
      </c>
      <c r="AQ5" s="11">
        <v>276.52999999999997</v>
      </c>
      <c r="AR5" s="11">
        <f t="shared" si="3"/>
        <v>7.6416700000000333</v>
      </c>
      <c r="AU5" s="11">
        <v>282.98189000000002</v>
      </c>
      <c r="AV5" s="11">
        <v>774</v>
      </c>
      <c r="AW5" s="11">
        <v>277.22000000000003</v>
      </c>
      <c r="AX5" s="11">
        <f t="shared" si="4"/>
        <v>5.761889999999994</v>
      </c>
      <c r="BB5" s="11">
        <v>280.29291999999998</v>
      </c>
      <c r="BC5" s="11">
        <v>776</v>
      </c>
      <c r="BD5" s="11">
        <v>271.64</v>
      </c>
      <c r="BE5" s="11">
        <f t="shared" si="5"/>
        <v>8.6529199999999946</v>
      </c>
      <c r="BH5" s="11">
        <v>279.66629999999998</v>
      </c>
      <c r="BI5" s="11">
        <v>774</v>
      </c>
      <c r="BJ5" s="11">
        <v>272.7</v>
      </c>
      <c r="BK5" s="11">
        <f t="shared" si="6"/>
        <v>6.9662999999999897</v>
      </c>
      <c r="BN5" s="14">
        <v>280.49119999999999</v>
      </c>
      <c r="BO5" s="15">
        <v>773</v>
      </c>
      <c r="BP5" s="15">
        <v>274.16000000000003</v>
      </c>
      <c r="BQ5" s="15">
        <v>6.3311500000000001</v>
      </c>
      <c r="BT5" s="9">
        <v>286.25709999999998</v>
      </c>
      <c r="BU5" s="10">
        <v>774</v>
      </c>
      <c r="BV5" s="15">
        <v>278.51</v>
      </c>
      <c r="BW5" s="15">
        <v>7.7470800000000004</v>
      </c>
      <c r="BZ5" s="11">
        <v>286.37963000000002</v>
      </c>
      <c r="CA5" s="11">
        <v>773</v>
      </c>
      <c r="CB5" s="11">
        <v>278.76</v>
      </c>
      <c r="CC5" s="11">
        <f t="shared" si="7"/>
        <v>7.6196300000000292</v>
      </c>
      <c r="CF5" s="11">
        <v>285.02888999999999</v>
      </c>
      <c r="CG5" s="11">
        <v>773</v>
      </c>
      <c r="CH5" s="11">
        <v>278.47000000000003</v>
      </c>
      <c r="CI5" s="11">
        <f t="shared" si="8"/>
        <v>6.5588899999999626</v>
      </c>
      <c r="CL5" s="14">
        <v>292.9622</v>
      </c>
      <c r="CM5" s="15">
        <v>774</v>
      </c>
      <c r="CN5" s="26">
        <v>283.74</v>
      </c>
      <c r="CO5" s="15">
        <v>9.2221799999999998</v>
      </c>
      <c r="CR5" s="11">
        <v>291.02739000000003</v>
      </c>
      <c r="CS5" s="11">
        <v>773</v>
      </c>
      <c r="CT5" s="11">
        <v>281.44</v>
      </c>
      <c r="CU5" s="11">
        <f t="shared" si="9"/>
        <v>9.5873900000000276</v>
      </c>
      <c r="CX5" s="11">
        <v>288.83708000000001</v>
      </c>
      <c r="CY5" s="11">
        <v>775</v>
      </c>
      <c r="CZ5" s="11">
        <v>281.45</v>
      </c>
      <c r="DA5" s="11">
        <f t="shared" si="10"/>
        <v>7.3870800000000258</v>
      </c>
      <c r="DD5" s="11">
        <v>288.5625</v>
      </c>
      <c r="DE5" s="11">
        <v>774</v>
      </c>
      <c r="DF5" s="11">
        <v>282.23</v>
      </c>
      <c r="DG5" s="11">
        <f t="shared" si="11"/>
        <v>6.3324999999999818</v>
      </c>
    </row>
    <row r="6" spans="1:111" ht="15" customHeight="1">
      <c r="E6" s="11">
        <v>286.74606999999997</v>
      </c>
      <c r="F6" s="11">
        <v>6893</v>
      </c>
      <c r="G6" s="11">
        <v>275.39</v>
      </c>
      <c r="H6" s="11">
        <f t="shared" si="0"/>
        <v>11.356069999999988</v>
      </c>
      <c r="K6" s="27">
        <v>284.73304999999999</v>
      </c>
      <c r="L6" s="28">
        <v>1248</v>
      </c>
      <c r="M6" s="28">
        <v>275.57</v>
      </c>
      <c r="N6" s="28">
        <v>9.1630500000000001</v>
      </c>
      <c r="Q6" s="11">
        <v>283.46071999999998</v>
      </c>
      <c r="R6" s="11">
        <v>1248</v>
      </c>
      <c r="S6" s="11">
        <v>276.02999999999997</v>
      </c>
      <c r="T6" s="11">
        <f t="shared" si="1"/>
        <v>7.430720000000008</v>
      </c>
      <c r="W6" s="14">
        <v>283.27749999999997</v>
      </c>
      <c r="X6" s="15">
        <v>1247</v>
      </c>
      <c r="Y6" s="15">
        <v>277.39</v>
      </c>
      <c r="Z6" s="15">
        <v>5.8875000000000002</v>
      </c>
      <c r="AC6" s="9">
        <v>285.92559999999997</v>
      </c>
      <c r="AD6" s="15">
        <v>1249</v>
      </c>
      <c r="AE6" s="15">
        <v>276</v>
      </c>
      <c r="AF6" s="15">
        <v>9.9255600000000008</v>
      </c>
      <c r="AI6" s="11">
        <v>284.29444000000001</v>
      </c>
      <c r="AJ6" s="11">
        <v>1247</v>
      </c>
      <c r="AK6" s="11">
        <v>273.7</v>
      </c>
      <c r="AL6" s="11">
        <f t="shared" si="2"/>
        <v>10.59444000000002</v>
      </c>
      <c r="AO6" s="11">
        <v>283.88528000000002</v>
      </c>
      <c r="AP6" s="11">
        <v>1247</v>
      </c>
      <c r="AQ6" s="11">
        <v>277.07</v>
      </c>
      <c r="AR6" s="11">
        <f t="shared" si="3"/>
        <v>6.8152800000000298</v>
      </c>
      <c r="AU6" s="11">
        <v>283.04833000000002</v>
      </c>
      <c r="AV6" s="11">
        <v>1249</v>
      </c>
      <c r="AW6" s="11">
        <v>277.48</v>
      </c>
      <c r="AX6" s="11">
        <f t="shared" si="4"/>
        <v>5.5683300000000031</v>
      </c>
      <c r="BB6" s="11">
        <v>280.50792000000001</v>
      </c>
      <c r="BC6" s="11">
        <v>1251</v>
      </c>
      <c r="BD6" s="11">
        <v>271.47000000000003</v>
      </c>
      <c r="BE6" s="11">
        <f t="shared" si="5"/>
        <v>9.0379199999999855</v>
      </c>
      <c r="BH6" s="11">
        <v>279.94769000000002</v>
      </c>
      <c r="BI6" s="11">
        <v>1246</v>
      </c>
      <c r="BJ6" s="11">
        <v>272.33999999999997</v>
      </c>
      <c r="BK6" s="11">
        <f t="shared" si="6"/>
        <v>7.6076900000000478</v>
      </c>
      <c r="BN6" s="14">
        <v>280.67349999999999</v>
      </c>
      <c r="BO6" s="15">
        <v>1249</v>
      </c>
      <c r="BP6" s="15">
        <v>274.33</v>
      </c>
      <c r="BQ6" s="15">
        <v>6.3434699999999999</v>
      </c>
      <c r="BT6" s="14">
        <v>286.70710000000003</v>
      </c>
      <c r="BU6" s="15">
        <v>1246</v>
      </c>
      <c r="BV6" s="15">
        <v>278.51</v>
      </c>
      <c r="BW6" s="15">
        <v>8.1970799999999997</v>
      </c>
      <c r="BZ6" s="11">
        <v>286.55925999999999</v>
      </c>
      <c r="CA6" s="11">
        <v>1246</v>
      </c>
      <c r="CB6" s="11">
        <v>278.72000000000003</v>
      </c>
      <c r="CC6" s="11">
        <f t="shared" si="7"/>
        <v>7.8392599999999675</v>
      </c>
      <c r="CF6" s="11">
        <v>285.01963000000001</v>
      </c>
      <c r="CG6" s="11">
        <v>1247</v>
      </c>
      <c r="CH6" s="11">
        <v>278.82</v>
      </c>
      <c r="CI6" s="11">
        <f t="shared" si="8"/>
        <v>6.1996300000000133</v>
      </c>
      <c r="CL6" s="14">
        <v>292.79079999999999</v>
      </c>
      <c r="CM6" s="15">
        <v>1248</v>
      </c>
      <c r="CN6" s="10">
        <v>283.64</v>
      </c>
      <c r="CO6" s="15">
        <v>9.1508199999999995</v>
      </c>
      <c r="CR6" s="11">
        <v>290.76916999999997</v>
      </c>
      <c r="CS6" s="11">
        <v>1247</v>
      </c>
      <c r="CT6" s="11">
        <v>281.52999999999997</v>
      </c>
      <c r="CU6" s="11">
        <f t="shared" si="9"/>
        <v>9.2391700000000014</v>
      </c>
      <c r="CX6" s="11">
        <v>288.94416000000001</v>
      </c>
      <c r="CY6" s="11">
        <v>1249</v>
      </c>
      <c r="CZ6" s="11">
        <v>281.79000000000002</v>
      </c>
      <c r="DA6" s="11">
        <f t="shared" si="10"/>
        <v>7.1541599999999903</v>
      </c>
      <c r="DD6" s="11">
        <v>288.56459000000001</v>
      </c>
      <c r="DE6" s="11">
        <v>1247</v>
      </c>
      <c r="DF6" s="11">
        <v>282.32</v>
      </c>
      <c r="DG6" s="11">
        <f t="shared" si="11"/>
        <v>6.2445900000000165</v>
      </c>
    </row>
    <row r="7" spans="1:111" ht="15" customHeight="1">
      <c r="E7" s="11">
        <v>286.74642999999998</v>
      </c>
      <c r="F7" s="11">
        <v>7366</v>
      </c>
      <c r="G7" s="11">
        <v>275.83999999999997</v>
      </c>
      <c r="H7" s="11">
        <f t="shared" si="0"/>
        <v>10.90643</v>
      </c>
      <c r="K7" s="27">
        <v>284.74304999999998</v>
      </c>
      <c r="L7" s="28">
        <v>1722</v>
      </c>
      <c r="M7" s="28">
        <v>275.2</v>
      </c>
      <c r="N7" s="28">
        <v>9.5430499999999991</v>
      </c>
      <c r="Q7" s="11">
        <v>283.30322000000001</v>
      </c>
      <c r="R7" s="11">
        <v>1720</v>
      </c>
      <c r="S7" s="11">
        <v>275.7</v>
      </c>
      <c r="T7" s="11">
        <f t="shared" si="1"/>
        <v>7.6032200000000216</v>
      </c>
      <c r="W7" s="14">
        <v>283.24540000000002</v>
      </c>
      <c r="X7" s="15">
        <v>1720</v>
      </c>
      <c r="Y7" s="15">
        <v>277.54000000000002</v>
      </c>
      <c r="Z7" s="15">
        <v>5.7053599999999998</v>
      </c>
      <c r="AC7" s="14">
        <v>285.80470000000003</v>
      </c>
      <c r="AD7" s="15">
        <v>1723</v>
      </c>
      <c r="AE7" s="15">
        <v>275.52</v>
      </c>
      <c r="AF7" s="15">
        <v>10.28473</v>
      </c>
      <c r="AI7" s="11">
        <v>284.33944000000002</v>
      </c>
      <c r="AJ7" s="11">
        <v>1721</v>
      </c>
      <c r="AK7" s="11">
        <v>274.42</v>
      </c>
      <c r="AL7" s="11">
        <f t="shared" si="2"/>
        <v>9.9194400000000087</v>
      </c>
      <c r="AO7" s="11">
        <v>284.28555</v>
      </c>
      <c r="AP7" s="11">
        <v>1720</v>
      </c>
      <c r="AQ7" s="11">
        <v>277.04000000000002</v>
      </c>
      <c r="AR7" s="11">
        <f t="shared" si="3"/>
        <v>7.2455499999999802</v>
      </c>
      <c r="AU7" s="11">
        <v>283.07722000000001</v>
      </c>
      <c r="AV7" s="11">
        <v>1721</v>
      </c>
      <c r="AW7" s="11">
        <v>277.29000000000002</v>
      </c>
      <c r="AX7" s="11">
        <f t="shared" si="4"/>
        <v>5.7872199999999907</v>
      </c>
      <c r="BB7" s="11">
        <v>279.59444999999999</v>
      </c>
      <c r="BC7" s="11">
        <v>1726</v>
      </c>
      <c r="BD7" s="11">
        <v>271.19</v>
      </c>
      <c r="BE7" s="11">
        <f t="shared" si="5"/>
        <v>8.4044499999999971</v>
      </c>
      <c r="BH7" s="11">
        <v>279.77422999999999</v>
      </c>
      <c r="BI7" s="11">
        <v>1720</v>
      </c>
      <c r="BJ7" s="11">
        <v>272.51</v>
      </c>
      <c r="BK7" s="11">
        <f t="shared" si="6"/>
        <v>7.2642299999999977</v>
      </c>
      <c r="BN7" s="14">
        <v>280.4973</v>
      </c>
      <c r="BO7" s="15">
        <v>1719</v>
      </c>
      <c r="BP7" s="15">
        <v>273.64</v>
      </c>
      <c r="BQ7" s="15">
        <v>6.8573000000000004</v>
      </c>
      <c r="BT7" s="14">
        <v>286.50749999999999</v>
      </c>
      <c r="BU7" s="15">
        <v>1720</v>
      </c>
      <c r="BV7" s="15">
        <v>278.56</v>
      </c>
      <c r="BW7" s="15">
        <v>7.9474999999999998</v>
      </c>
      <c r="BZ7" s="11">
        <v>286.45296000000002</v>
      </c>
      <c r="CA7" s="11">
        <v>1718</v>
      </c>
      <c r="CB7" s="11">
        <v>278.72000000000003</v>
      </c>
      <c r="CC7" s="11">
        <f t="shared" si="7"/>
        <v>7.7329599999999914</v>
      </c>
      <c r="CF7" s="11">
        <v>285.19519000000003</v>
      </c>
      <c r="CG7" s="11">
        <v>1720</v>
      </c>
      <c r="CH7" s="11">
        <v>278.57</v>
      </c>
      <c r="CI7" s="11">
        <f t="shared" si="8"/>
        <v>6.6251900000000319</v>
      </c>
      <c r="CL7" s="25">
        <v>292.685</v>
      </c>
      <c r="CM7" s="15">
        <v>1721</v>
      </c>
      <c r="CN7" s="15">
        <v>283.22000000000003</v>
      </c>
      <c r="CO7" s="15">
        <v>9.4649999999999999</v>
      </c>
      <c r="CR7" s="11">
        <v>290.30083000000002</v>
      </c>
      <c r="CS7" s="11">
        <v>1720</v>
      </c>
      <c r="CT7" s="11">
        <v>282.08999999999997</v>
      </c>
      <c r="CU7" s="11">
        <f t="shared" si="9"/>
        <v>8.210830000000044</v>
      </c>
      <c r="CX7" s="11">
        <v>289.01666</v>
      </c>
      <c r="CY7" s="11">
        <v>1722</v>
      </c>
      <c r="CZ7" s="11">
        <v>281.54000000000002</v>
      </c>
      <c r="DA7" s="11">
        <f t="shared" si="10"/>
        <v>7.4766599999999812</v>
      </c>
      <c r="DD7" s="11">
        <v>288.43707999999998</v>
      </c>
      <c r="DE7" s="11">
        <v>1721</v>
      </c>
      <c r="DF7" s="11">
        <v>282.07</v>
      </c>
      <c r="DG7" s="11">
        <f t="shared" si="11"/>
        <v>6.3670799999999872</v>
      </c>
    </row>
    <row r="8" spans="1:111" ht="15" customHeight="1">
      <c r="E8" s="11">
        <v>286.62786</v>
      </c>
      <c r="F8" s="11">
        <v>7840</v>
      </c>
      <c r="G8" s="29">
        <v>275.89</v>
      </c>
      <c r="H8" s="11">
        <f t="shared" si="0"/>
        <v>10.737860000000012</v>
      </c>
      <c r="K8" s="27">
        <v>284.41435000000001</v>
      </c>
      <c r="L8" s="28">
        <v>2194</v>
      </c>
      <c r="M8" s="28">
        <v>275.04000000000002</v>
      </c>
      <c r="N8" s="28">
        <v>9.3743499999999997</v>
      </c>
      <c r="Q8" s="11">
        <v>283.30356999999998</v>
      </c>
      <c r="R8" s="11">
        <v>2194</v>
      </c>
      <c r="S8" s="11">
        <v>275.39</v>
      </c>
      <c r="T8" s="11">
        <f t="shared" si="1"/>
        <v>7.9135699999999929</v>
      </c>
      <c r="W8" s="14">
        <v>283.3997</v>
      </c>
      <c r="X8" s="15">
        <v>2193</v>
      </c>
      <c r="Y8" s="15">
        <v>277.87</v>
      </c>
      <c r="Z8" s="15">
        <v>5.5296500000000002</v>
      </c>
      <c r="AC8" s="14">
        <v>285.6386</v>
      </c>
      <c r="AD8" s="15">
        <v>2197</v>
      </c>
      <c r="AE8" s="15">
        <v>275.13</v>
      </c>
      <c r="AF8" s="15">
        <v>10.508609999999999</v>
      </c>
      <c r="AI8" s="11">
        <v>284.20222000000001</v>
      </c>
      <c r="AJ8" s="11">
        <v>2195</v>
      </c>
      <c r="AK8" s="11">
        <v>274.75</v>
      </c>
      <c r="AL8" s="11">
        <f t="shared" si="2"/>
        <v>9.4522200000000112</v>
      </c>
      <c r="AO8" s="11">
        <v>284.38889</v>
      </c>
      <c r="AP8" s="11">
        <v>2193</v>
      </c>
      <c r="AQ8" s="11">
        <v>277.42</v>
      </c>
      <c r="AR8" s="11">
        <f t="shared" si="3"/>
        <v>6.9688899999999876</v>
      </c>
      <c r="AU8" s="11">
        <v>283.40917000000002</v>
      </c>
      <c r="AV8" s="11">
        <v>2194</v>
      </c>
      <c r="AW8" s="11">
        <v>277.73</v>
      </c>
      <c r="AX8" s="11">
        <f t="shared" si="4"/>
        <v>5.6791699999999992</v>
      </c>
      <c r="BB8" s="11">
        <v>279.51814999999999</v>
      </c>
      <c r="BC8" s="11">
        <v>2198</v>
      </c>
      <c r="BD8" s="11">
        <v>271.29000000000002</v>
      </c>
      <c r="BE8" s="11">
        <f t="shared" si="5"/>
        <v>8.228149999999971</v>
      </c>
      <c r="BH8" s="11">
        <v>279.71555999999998</v>
      </c>
      <c r="BI8" s="11">
        <v>2193</v>
      </c>
      <c r="BJ8" s="11">
        <v>272.26</v>
      </c>
      <c r="BK8" s="11">
        <f t="shared" si="6"/>
        <v>7.4555599999999913</v>
      </c>
      <c r="BN8" s="14">
        <v>280.68770000000001</v>
      </c>
      <c r="BO8" s="15">
        <v>2191</v>
      </c>
      <c r="BP8" s="15">
        <v>273.54000000000002</v>
      </c>
      <c r="BQ8" s="15">
        <v>7.1476800000000003</v>
      </c>
      <c r="BT8" s="14">
        <v>286.26260000000002</v>
      </c>
      <c r="BU8" s="15">
        <v>2192</v>
      </c>
      <c r="BV8" s="15">
        <v>278.41000000000003</v>
      </c>
      <c r="BW8" s="15">
        <v>7.8525900000000002</v>
      </c>
      <c r="BZ8" s="11">
        <v>286.69074000000001</v>
      </c>
      <c r="CA8" s="11">
        <v>2191</v>
      </c>
      <c r="CB8" s="11">
        <v>278.95</v>
      </c>
      <c r="CC8" s="11">
        <f t="shared" si="7"/>
        <v>7.7407400000000166</v>
      </c>
      <c r="CF8" s="11">
        <v>285.45296000000002</v>
      </c>
      <c r="CG8" s="11">
        <v>2196</v>
      </c>
      <c r="CH8" s="11">
        <v>278.60000000000002</v>
      </c>
      <c r="CI8" s="11">
        <f t="shared" si="8"/>
        <v>6.8529599999999959</v>
      </c>
      <c r="CL8" s="9">
        <v>292.63909999999998</v>
      </c>
      <c r="CM8" s="15">
        <v>2194</v>
      </c>
      <c r="CN8" s="15">
        <v>283.05</v>
      </c>
      <c r="CO8" s="15">
        <v>9.5891400000000004</v>
      </c>
      <c r="CR8" s="11">
        <v>290.54333000000003</v>
      </c>
      <c r="CS8" s="11">
        <v>2191</v>
      </c>
      <c r="CT8" s="11">
        <v>282.51</v>
      </c>
      <c r="CU8" s="11">
        <f t="shared" si="9"/>
        <v>8.0333300000000349</v>
      </c>
      <c r="CX8" s="11">
        <v>288.94044000000002</v>
      </c>
      <c r="CY8" s="11">
        <v>2195</v>
      </c>
      <c r="CZ8" s="11">
        <v>281.54000000000002</v>
      </c>
      <c r="DA8" s="11">
        <f t="shared" si="10"/>
        <v>7.4004400000000032</v>
      </c>
      <c r="DD8" s="11">
        <v>288.38261</v>
      </c>
      <c r="DE8" s="11">
        <v>2194</v>
      </c>
      <c r="DF8" s="11">
        <v>282.60000000000002</v>
      </c>
      <c r="DG8" s="11">
        <f t="shared" si="11"/>
        <v>5.7826099999999769</v>
      </c>
    </row>
    <row r="9" spans="1:111" ht="15" customHeight="1">
      <c r="E9" s="11">
        <v>286.71240999999998</v>
      </c>
      <c r="F9" s="11">
        <v>8313</v>
      </c>
      <c r="G9" s="11">
        <v>275.85000000000002</v>
      </c>
      <c r="H9" s="11">
        <f t="shared" si="0"/>
        <v>10.862409999999954</v>
      </c>
      <c r="K9" s="27">
        <v>284.02913000000001</v>
      </c>
      <c r="L9" s="28">
        <v>2668</v>
      </c>
      <c r="M9" s="28">
        <v>274.95</v>
      </c>
      <c r="N9" s="28">
        <v>9.0791299999999993</v>
      </c>
      <c r="Q9" s="11">
        <v>283.26643000000001</v>
      </c>
      <c r="R9" s="11">
        <v>2667</v>
      </c>
      <c r="S9" s="11">
        <v>275.54000000000002</v>
      </c>
      <c r="T9" s="11">
        <f t="shared" si="1"/>
        <v>7.7264299999999935</v>
      </c>
      <c r="W9" s="14">
        <v>283.58890000000002</v>
      </c>
      <c r="X9" s="15">
        <v>2666</v>
      </c>
      <c r="Y9" s="15">
        <v>278.01</v>
      </c>
      <c r="Z9" s="15">
        <v>5.5789299999999997</v>
      </c>
      <c r="AC9" s="14">
        <v>285.4853</v>
      </c>
      <c r="AD9" s="15">
        <v>2669</v>
      </c>
      <c r="AE9" s="15">
        <v>275.08</v>
      </c>
      <c r="AF9" s="15">
        <v>10.405290000000001</v>
      </c>
      <c r="AI9" s="11">
        <v>284.22611000000001</v>
      </c>
      <c r="AJ9" s="11">
        <v>2669</v>
      </c>
      <c r="AK9" s="11">
        <v>274.67</v>
      </c>
      <c r="AL9" s="11">
        <f t="shared" si="2"/>
        <v>9.5561099999999897</v>
      </c>
      <c r="AO9" s="11">
        <v>284.37889000000001</v>
      </c>
      <c r="AP9" s="11">
        <v>2666</v>
      </c>
      <c r="AQ9" s="11">
        <v>277.82</v>
      </c>
      <c r="AR9" s="11">
        <f t="shared" si="3"/>
        <v>6.5588900000000194</v>
      </c>
      <c r="AU9" s="11">
        <v>283.45945</v>
      </c>
      <c r="AV9" s="11">
        <v>2666</v>
      </c>
      <c r="AW9" s="11">
        <v>278.10000000000002</v>
      </c>
      <c r="AX9" s="11">
        <f t="shared" si="4"/>
        <v>5.3594499999999812</v>
      </c>
      <c r="BB9" s="11">
        <v>279.87592000000001</v>
      </c>
      <c r="BC9" s="11">
        <v>2672</v>
      </c>
      <c r="BD9" s="11">
        <v>270.42</v>
      </c>
      <c r="BE9" s="11">
        <f t="shared" si="5"/>
        <v>9.4559199999999919</v>
      </c>
      <c r="BH9" s="11">
        <v>279.75889000000001</v>
      </c>
      <c r="BI9" s="11">
        <v>2666</v>
      </c>
      <c r="BJ9" s="11">
        <v>272.51</v>
      </c>
      <c r="BK9" s="11">
        <f t="shared" si="6"/>
        <v>7.2488900000000172</v>
      </c>
      <c r="BN9" s="14">
        <v>280.79809999999998</v>
      </c>
      <c r="BO9" s="15">
        <v>2665</v>
      </c>
      <c r="BP9" s="15">
        <v>274.27</v>
      </c>
      <c r="BQ9" s="15">
        <v>6.5280800000000001</v>
      </c>
      <c r="BT9" s="14">
        <v>286.84930000000003</v>
      </c>
      <c r="BU9" s="15">
        <v>2664</v>
      </c>
      <c r="BV9" s="15">
        <v>278.26</v>
      </c>
      <c r="BW9" s="15">
        <v>8.5892599999999995</v>
      </c>
      <c r="BZ9" s="11">
        <v>286.81110999999999</v>
      </c>
      <c r="CA9" s="11">
        <v>2665</v>
      </c>
      <c r="CB9" s="11">
        <v>278.82</v>
      </c>
      <c r="CC9" s="11">
        <f t="shared" si="7"/>
        <v>7.9911099999999919</v>
      </c>
      <c r="CF9" s="11">
        <v>285.51481000000001</v>
      </c>
      <c r="CG9" s="11">
        <v>2670</v>
      </c>
      <c r="CH9" s="11">
        <v>278.16000000000003</v>
      </c>
      <c r="CI9" s="11">
        <f t="shared" si="8"/>
        <v>7.3548099999999863</v>
      </c>
      <c r="CL9" s="14">
        <v>292.6592</v>
      </c>
      <c r="CM9" s="15">
        <v>2668</v>
      </c>
      <c r="CN9" s="15">
        <v>282.95</v>
      </c>
      <c r="CO9" s="15">
        <v>9.7091600000000007</v>
      </c>
      <c r="CR9" s="11">
        <v>290.51458000000002</v>
      </c>
      <c r="CS9" s="11">
        <v>2666</v>
      </c>
      <c r="CT9" s="11">
        <v>282.22000000000003</v>
      </c>
      <c r="CU9" s="11">
        <f t="shared" si="9"/>
        <v>8.2945799999999963</v>
      </c>
      <c r="CX9" s="11">
        <v>288.96041000000002</v>
      </c>
      <c r="CY9" s="11">
        <v>2670</v>
      </c>
      <c r="CZ9" s="11">
        <v>281.48</v>
      </c>
      <c r="DA9" s="11">
        <f t="shared" si="10"/>
        <v>7.4804100000000062</v>
      </c>
      <c r="DD9" s="11">
        <v>288.47458999999998</v>
      </c>
      <c r="DE9" s="11">
        <v>2667</v>
      </c>
      <c r="DF9" s="11">
        <v>282.38</v>
      </c>
      <c r="DG9" s="11">
        <f t="shared" si="11"/>
        <v>6.0945899999999824</v>
      </c>
    </row>
    <row r="10" spans="1:111" ht="15" customHeight="1">
      <c r="E10" s="29">
        <v>286.37042000000002</v>
      </c>
      <c r="F10" s="11">
        <v>8787</v>
      </c>
      <c r="G10" s="11">
        <v>275.14</v>
      </c>
      <c r="H10" s="11">
        <f t="shared" si="0"/>
        <v>11.230420000000038</v>
      </c>
      <c r="K10" s="27">
        <v>284.12036000000001</v>
      </c>
      <c r="L10" s="28">
        <v>3141</v>
      </c>
      <c r="M10" s="28">
        <v>274.54000000000002</v>
      </c>
      <c r="N10" s="28">
        <v>9.5803600000000007</v>
      </c>
      <c r="Q10" s="11">
        <v>283.36142999999998</v>
      </c>
      <c r="R10" s="11">
        <v>3140</v>
      </c>
      <c r="S10" s="11">
        <v>275.60000000000002</v>
      </c>
      <c r="T10" s="11">
        <f t="shared" si="1"/>
        <v>7.7614299999999616</v>
      </c>
      <c r="W10" s="14">
        <v>283.66289999999998</v>
      </c>
      <c r="X10" s="15">
        <v>3140</v>
      </c>
      <c r="Y10" s="15">
        <v>278.04000000000002</v>
      </c>
      <c r="Z10" s="15">
        <v>5.6228600000000002</v>
      </c>
      <c r="AC10" s="19">
        <v>284.04419999999999</v>
      </c>
      <c r="AD10" s="20">
        <v>3142</v>
      </c>
      <c r="AE10" s="20">
        <v>274.12</v>
      </c>
      <c r="AF10" s="20">
        <v>9.9241700000000002</v>
      </c>
      <c r="AI10" s="11">
        <v>284.21417000000002</v>
      </c>
      <c r="AJ10" s="11">
        <v>3141</v>
      </c>
      <c r="AK10" s="11">
        <v>275.17</v>
      </c>
      <c r="AL10" s="11">
        <f t="shared" si="2"/>
        <v>9.0441700000000083</v>
      </c>
      <c r="AO10" s="11">
        <v>284.74777999999998</v>
      </c>
      <c r="AP10" s="11">
        <v>3139</v>
      </c>
      <c r="AQ10" s="11">
        <v>278.02999999999997</v>
      </c>
      <c r="AR10" s="11">
        <f t="shared" si="3"/>
        <v>6.7177800000000047</v>
      </c>
      <c r="AU10" s="11">
        <v>283.66028</v>
      </c>
      <c r="AV10" s="11">
        <v>3140</v>
      </c>
      <c r="AW10" s="11">
        <v>278.12</v>
      </c>
      <c r="AX10" s="11">
        <f t="shared" si="4"/>
        <v>5.5402799999999957</v>
      </c>
      <c r="BB10" s="11">
        <v>279.50153</v>
      </c>
      <c r="BC10" s="11">
        <v>3146</v>
      </c>
      <c r="BD10" s="11">
        <v>271.82</v>
      </c>
      <c r="BE10" s="11">
        <f t="shared" si="5"/>
        <v>7.6815300000000093</v>
      </c>
      <c r="BH10" s="11">
        <v>279.82963000000001</v>
      </c>
      <c r="BI10" s="11">
        <v>3143</v>
      </c>
      <c r="BJ10" s="11">
        <v>272.77999999999997</v>
      </c>
      <c r="BK10" s="11">
        <f t="shared" si="6"/>
        <v>7.049630000000036</v>
      </c>
      <c r="BN10" s="14">
        <v>280.8356</v>
      </c>
      <c r="BO10" s="15">
        <v>3139</v>
      </c>
      <c r="BP10" s="15">
        <v>274.06</v>
      </c>
      <c r="BQ10" s="15">
        <v>6.77555</v>
      </c>
      <c r="BT10" s="14">
        <v>286.84930000000003</v>
      </c>
      <c r="BU10" s="15">
        <v>3139</v>
      </c>
      <c r="BV10" s="26">
        <v>278.04000000000002</v>
      </c>
      <c r="BW10" s="15">
        <v>8.8092600000000001</v>
      </c>
      <c r="BZ10" s="11">
        <v>286.13592999999997</v>
      </c>
      <c r="CA10" s="11">
        <v>3139</v>
      </c>
      <c r="CB10" s="11">
        <v>278.41000000000003</v>
      </c>
      <c r="CC10" s="11">
        <f t="shared" si="7"/>
        <v>7.7259299999999484</v>
      </c>
      <c r="CF10" s="11">
        <v>285.40692000000001</v>
      </c>
      <c r="CG10" s="11">
        <v>3140</v>
      </c>
      <c r="CH10" s="11">
        <v>278.51</v>
      </c>
      <c r="CI10" s="11">
        <f t="shared" si="8"/>
        <v>6.8969200000000228</v>
      </c>
      <c r="CL10" s="14">
        <v>292.86649999999997</v>
      </c>
      <c r="CM10" s="15">
        <v>3141</v>
      </c>
      <c r="CN10" s="15">
        <v>282.95</v>
      </c>
      <c r="CO10" s="15">
        <v>9.9165100000000006</v>
      </c>
      <c r="CR10" s="11">
        <v>290.33832999999998</v>
      </c>
      <c r="CS10" s="11">
        <v>3138</v>
      </c>
      <c r="CT10" s="11">
        <v>281.94</v>
      </c>
      <c r="CU10" s="11">
        <f t="shared" si="9"/>
        <v>8.3983299999999872</v>
      </c>
      <c r="CX10" s="11">
        <v>288.91915999999998</v>
      </c>
      <c r="CY10" s="11">
        <v>3142</v>
      </c>
      <c r="CZ10" s="11">
        <v>281.10000000000002</v>
      </c>
      <c r="DA10" s="11">
        <f t="shared" si="10"/>
        <v>7.8191599999999539</v>
      </c>
      <c r="DD10" s="11">
        <v>288.16750000000002</v>
      </c>
      <c r="DE10" s="11">
        <v>3143</v>
      </c>
      <c r="DF10" s="11">
        <v>282.35000000000002</v>
      </c>
      <c r="DG10" s="11">
        <f t="shared" si="11"/>
        <v>5.8174999999999955</v>
      </c>
    </row>
    <row r="11" spans="1:111" ht="15" customHeight="1">
      <c r="E11" s="11">
        <v>286.60291999999998</v>
      </c>
      <c r="F11" s="11">
        <v>9260</v>
      </c>
      <c r="G11" s="11">
        <v>275.39</v>
      </c>
      <c r="H11" s="11">
        <f t="shared" si="0"/>
        <v>11.212919999999997</v>
      </c>
      <c r="K11" s="27">
        <v>283.89179000000001</v>
      </c>
      <c r="L11" s="28">
        <v>3615</v>
      </c>
      <c r="M11" s="28">
        <v>274.76</v>
      </c>
      <c r="N11" s="28">
        <v>9.1317900000000005</v>
      </c>
      <c r="Q11" s="11">
        <v>283.66856999999999</v>
      </c>
      <c r="R11" s="11">
        <v>3613</v>
      </c>
      <c r="S11" s="11">
        <v>275.98</v>
      </c>
      <c r="T11" s="11">
        <f t="shared" si="1"/>
        <v>7.6885699999999702</v>
      </c>
      <c r="V11" s="8" t="s">
        <v>24</v>
      </c>
      <c r="W11" s="19">
        <v>283.78140000000002</v>
      </c>
      <c r="X11" s="20">
        <v>3614</v>
      </c>
      <c r="Y11" s="20">
        <v>280.57</v>
      </c>
      <c r="Z11" s="20">
        <v>3.21143</v>
      </c>
      <c r="AC11" s="19">
        <v>284.80239999999998</v>
      </c>
      <c r="AD11" s="20">
        <v>3617</v>
      </c>
      <c r="AE11" s="20">
        <v>274.69</v>
      </c>
      <c r="AF11" s="20">
        <v>10.11243</v>
      </c>
      <c r="AI11" s="11">
        <v>284.39055999999999</v>
      </c>
      <c r="AJ11" s="11">
        <v>3615</v>
      </c>
      <c r="AK11" s="11">
        <v>274.89</v>
      </c>
      <c r="AL11" s="11">
        <f t="shared" si="2"/>
        <v>9.5005600000000072</v>
      </c>
      <c r="AO11" s="11">
        <v>284.63110999999998</v>
      </c>
      <c r="AP11" s="11">
        <v>3613</v>
      </c>
      <c r="AQ11" s="11">
        <v>278.07</v>
      </c>
      <c r="AR11" s="11">
        <f t="shared" si="3"/>
        <v>6.5611099999999851</v>
      </c>
      <c r="AU11" s="11">
        <v>283.87621999999999</v>
      </c>
      <c r="AV11" s="11">
        <v>3613</v>
      </c>
      <c r="AW11" s="11">
        <v>278.67</v>
      </c>
      <c r="AX11" s="11">
        <f t="shared" si="4"/>
        <v>5.2062199999999734</v>
      </c>
      <c r="BB11" s="11">
        <v>279.56653999999997</v>
      </c>
      <c r="BC11" s="11">
        <v>3619</v>
      </c>
      <c r="BD11" s="11">
        <v>270.73</v>
      </c>
      <c r="BE11" s="11">
        <f t="shared" si="5"/>
        <v>8.8365399999999568</v>
      </c>
      <c r="BH11" s="11">
        <v>280.12518999999998</v>
      </c>
      <c r="BI11" s="11">
        <v>3615</v>
      </c>
      <c r="BJ11" s="11">
        <v>273.06</v>
      </c>
      <c r="BK11" s="11">
        <f t="shared" si="6"/>
        <v>7.0651899999999728</v>
      </c>
      <c r="BM11" s="16" t="s">
        <v>24</v>
      </c>
      <c r="BN11" s="14">
        <v>282.16109999999998</v>
      </c>
      <c r="BO11" s="15">
        <v>3612</v>
      </c>
      <c r="BP11" s="15">
        <v>277.39</v>
      </c>
      <c r="BQ11" s="15">
        <v>4.7710999999999997</v>
      </c>
      <c r="BT11" s="14">
        <v>286.87189999999998</v>
      </c>
      <c r="BU11" s="15">
        <v>3612</v>
      </c>
      <c r="BV11" s="10">
        <v>277.76</v>
      </c>
      <c r="BW11" s="15">
        <v>9.1118500000000004</v>
      </c>
      <c r="BZ11" s="11">
        <v>286.33852000000002</v>
      </c>
      <c r="CA11" s="11">
        <v>3611</v>
      </c>
      <c r="CB11" s="11">
        <v>278.10000000000002</v>
      </c>
      <c r="CC11" s="11">
        <f t="shared" si="7"/>
        <v>8.2385199999999941</v>
      </c>
      <c r="CF11" s="11">
        <v>284.68815000000001</v>
      </c>
      <c r="CG11" s="11">
        <v>3615</v>
      </c>
      <c r="CH11" s="11">
        <v>278.23</v>
      </c>
      <c r="CI11" s="11">
        <f t="shared" si="8"/>
        <v>6.4581499999999892</v>
      </c>
      <c r="CL11" s="14">
        <v>292.8904</v>
      </c>
      <c r="CM11" s="15">
        <v>3615</v>
      </c>
      <c r="CN11" s="15">
        <v>283.12</v>
      </c>
      <c r="CO11" s="15">
        <v>9.7704199999999997</v>
      </c>
      <c r="CR11" s="11">
        <v>290.36347999999998</v>
      </c>
      <c r="CS11" s="11">
        <v>3614</v>
      </c>
      <c r="CT11" s="11">
        <v>281.60000000000002</v>
      </c>
      <c r="CU11" s="11">
        <f t="shared" si="9"/>
        <v>8.7634799999999586</v>
      </c>
      <c r="CX11" s="11">
        <v>289.07375000000002</v>
      </c>
      <c r="CY11" s="11">
        <v>3615</v>
      </c>
      <c r="CZ11" s="11">
        <v>281.73</v>
      </c>
      <c r="DA11" s="11">
        <f t="shared" si="10"/>
        <v>7.34375</v>
      </c>
      <c r="DD11" s="11">
        <v>288.24417</v>
      </c>
      <c r="DE11" s="11">
        <v>3616</v>
      </c>
      <c r="DF11" s="11">
        <v>282.22000000000003</v>
      </c>
      <c r="DG11" s="11">
        <f t="shared" si="11"/>
        <v>6.0241699999999696</v>
      </c>
    </row>
    <row r="12" spans="1:111" ht="15" customHeight="1">
      <c r="E12" s="11">
        <v>286.55304000000001</v>
      </c>
      <c r="F12" s="11">
        <v>9734</v>
      </c>
      <c r="G12" s="11">
        <v>275.23</v>
      </c>
      <c r="H12" s="11">
        <f t="shared" si="0"/>
        <v>11.323039999999992</v>
      </c>
      <c r="J12" s="8" t="s">
        <v>22</v>
      </c>
      <c r="K12" s="30">
        <v>283.51249999999999</v>
      </c>
      <c r="L12" s="31">
        <v>4090</v>
      </c>
      <c r="M12" s="31">
        <v>275.42</v>
      </c>
      <c r="N12" s="31">
        <v>8.0924999999999994</v>
      </c>
      <c r="P12" s="8" t="s">
        <v>23</v>
      </c>
      <c r="Q12" s="3">
        <v>282.81357000000003</v>
      </c>
      <c r="R12" s="3">
        <v>4087</v>
      </c>
      <c r="S12" s="3">
        <v>276.79000000000002</v>
      </c>
      <c r="T12" s="3">
        <f t="shared" si="1"/>
        <v>6.0235700000000065</v>
      </c>
      <c r="W12" s="14">
        <v>284.09179999999998</v>
      </c>
      <c r="X12" s="15">
        <v>4087</v>
      </c>
      <c r="Y12" s="15">
        <v>281.58999999999997</v>
      </c>
      <c r="Z12" s="15">
        <v>2.5017900000000002</v>
      </c>
      <c r="AB12" s="8" t="s">
        <v>21</v>
      </c>
      <c r="AC12" s="14">
        <v>284.5856</v>
      </c>
      <c r="AD12" s="15">
        <v>4088</v>
      </c>
      <c r="AE12" s="15">
        <v>274.79000000000002</v>
      </c>
      <c r="AF12" s="15">
        <v>9.7955500000000004</v>
      </c>
      <c r="AH12" s="8" t="s">
        <v>22</v>
      </c>
      <c r="AI12" s="3">
        <v>282.61194</v>
      </c>
      <c r="AJ12" s="3">
        <v>4088</v>
      </c>
      <c r="AK12" s="3">
        <v>274.29000000000002</v>
      </c>
      <c r="AL12" s="3">
        <f t="shared" si="2"/>
        <v>8.3219399999999837</v>
      </c>
      <c r="AN12" s="8" t="s">
        <v>23</v>
      </c>
      <c r="AO12" s="3">
        <v>283.39861000000002</v>
      </c>
      <c r="AP12" s="3">
        <v>4059</v>
      </c>
      <c r="AQ12" s="3">
        <v>277.49</v>
      </c>
      <c r="AR12" s="3">
        <f t="shared" si="3"/>
        <v>5.9086100000000101</v>
      </c>
      <c r="AT12" s="8" t="s">
        <v>24</v>
      </c>
      <c r="AU12" s="3">
        <v>282.78611000000001</v>
      </c>
      <c r="AV12" s="3">
        <v>4088</v>
      </c>
      <c r="AW12" s="3">
        <v>279.56</v>
      </c>
      <c r="AX12" s="3">
        <f t="shared" si="4"/>
        <v>3.2261100000000056</v>
      </c>
      <c r="BA12" s="8" t="s">
        <v>67</v>
      </c>
      <c r="BB12" s="3">
        <v>279.41885000000002</v>
      </c>
      <c r="BC12" s="3">
        <v>4093</v>
      </c>
      <c r="BD12" s="3">
        <v>273.12</v>
      </c>
      <c r="BE12" s="3">
        <f t="shared" si="5"/>
        <v>6.2988500000000158</v>
      </c>
      <c r="BH12" s="3">
        <v>279.91768999999999</v>
      </c>
      <c r="BI12" s="3">
        <v>4088</v>
      </c>
      <c r="BJ12" s="3">
        <v>273.54000000000002</v>
      </c>
      <c r="BK12" s="3">
        <f t="shared" si="6"/>
        <v>6.3776899999999728</v>
      </c>
      <c r="BN12" s="14">
        <v>282.16770000000002</v>
      </c>
      <c r="BO12" s="15">
        <v>4086</v>
      </c>
      <c r="BP12" s="15">
        <v>277.8</v>
      </c>
      <c r="BQ12" s="15">
        <v>4.3677000000000001</v>
      </c>
      <c r="BT12" s="32">
        <v>286.2878</v>
      </c>
      <c r="BU12" s="20">
        <v>4087</v>
      </c>
      <c r="BV12" s="20">
        <v>277.73</v>
      </c>
      <c r="BW12" s="20">
        <v>8.5577799999999993</v>
      </c>
      <c r="BZ12" s="11">
        <v>285.23703999999998</v>
      </c>
      <c r="CA12" s="11">
        <v>4088</v>
      </c>
      <c r="CB12" s="11">
        <v>277.02999999999997</v>
      </c>
      <c r="CC12" s="11">
        <f t="shared" si="7"/>
        <v>8.2070400000000063</v>
      </c>
      <c r="CF12" s="3">
        <v>283.61036999999999</v>
      </c>
      <c r="CG12" s="3">
        <v>4088</v>
      </c>
      <c r="CH12" s="3">
        <v>278.51</v>
      </c>
      <c r="CI12" s="3">
        <f t="shared" si="8"/>
        <v>5.1003699999999981</v>
      </c>
      <c r="CL12" s="19">
        <v>291.86700000000002</v>
      </c>
      <c r="CM12" s="20">
        <v>4087</v>
      </c>
      <c r="CN12" s="20">
        <v>282.05</v>
      </c>
      <c r="CO12" s="20">
        <v>9.8169699999999995</v>
      </c>
      <c r="CR12" s="11">
        <v>288.58303999999998</v>
      </c>
      <c r="CS12" s="11">
        <v>4085</v>
      </c>
      <c r="CT12" s="11">
        <v>281.2</v>
      </c>
      <c r="CU12" s="11">
        <f t="shared" si="9"/>
        <v>7.3830399999999941</v>
      </c>
      <c r="CX12" s="11">
        <v>288.25666999999999</v>
      </c>
      <c r="CY12" s="11">
        <v>4087</v>
      </c>
      <c r="CZ12" s="11">
        <v>282.14</v>
      </c>
      <c r="DA12" s="11">
        <f t="shared" si="10"/>
        <v>6.1166699999999992</v>
      </c>
      <c r="DD12" s="3">
        <v>287.70666999999997</v>
      </c>
      <c r="DE12" s="3">
        <v>4089</v>
      </c>
      <c r="DF12" s="3">
        <v>283.27999999999997</v>
      </c>
      <c r="DG12" s="3">
        <f t="shared" si="11"/>
        <v>4.4266700000000014</v>
      </c>
    </row>
    <row r="13" spans="1:111" ht="15" customHeight="1">
      <c r="D13" s="8" t="s">
        <v>21</v>
      </c>
      <c r="E13" s="3">
        <v>285.60791999999998</v>
      </c>
      <c r="F13" s="3">
        <v>10207</v>
      </c>
      <c r="G13" s="3">
        <v>275.07</v>
      </c>
      <c r="H13" s="3">
        <f t="shared" si="0"/>
        <v>10.537919999999986</v>
      </c>
      <c r="K13" s="33">
        <v>283.40107999999998</v>
      </c>
      <c r="L13" s="34">
        <v>4562</v>
      </c>
      <c r="M13" s="34">
        <v>275.94</v>
      </c>
      <c r="N13" s="34">
        <v>7.4610799999999999</v>
      </c>
      <c r="Q13" s="3">
        <v>283.18072000000001</v>
      </c>
      <c r="R13" s="3">
        <v>4560</v>
      </c>
      <c r="S13" s="3">
        <v>277.27999999999997</v>
      </c>
      <c r="T13" s="3">
        <f t="shared" si="1"/>
        <v>5.9007200000000353</v>
      </c>
      <c r="W13" s="14">
        <v>284.41320000000002</v>
      </c>
      <c r="X13" s="15">
        <v>4560</v>
      </c>
      <c r="Y13" s="15">
        <v>282.01</v>
      </c>
      <c r="Z13" s="15">
        <v>2.4032200000000001</v>
      </c>
      <c r="AC13" s="14">
        <v>284.42860000000002</v>
      </c>
      <c r="AD13" s="15">
        <v>4562</v>
      </c>
      <c r="AE13" s="15">
        <v>274.77</v>
      </c>
      <c r="AF13" s="15">
        <v>9.6586200000000009</v>
      </c>
      <c r="AI13" s="3">
        <v>284.00189</v>
      </c>
      <c r="AJ13" s="3">
        <v>4560</v>
      </c>
      <c r="AK13" s="3">
        <v>276.33999999999997</v>
      </c>
      <c r="AL13" s="3">
        <f t="shared" si="2"/>
        <v>7.6618900000000281</v>
      </c>
      <c r="AO13" s="3">
        <v>283.07249999999999</v>
      </c>
      <c r="AP13" s="3">
        <v>4533</v>
      </c>
      <c r="AQ13" s="3">
        <v>276.83999999999997</v>
      </c>
      <c r="AR13" s="3">
        <f t="shared" si="3"/>
        <v>6.2325000000000159</v>
      </c>
      <c r="AU13" s="11">
        <v>283.13222000000002</v>
      </c>
      <c r="AV13" s="11">
        <v>4561</v>
      </c>
      <c r="AW13" s="11">
        <v>280.38</v>
      </c>
      <c r="AX13" s="11">
        <f t="shared" si="4"/>
        <v>2.7522200000000225</v>
      </c>
      <c r="BB13" s="3">
        <v>280.06407000000002</v>
      </c>
      <c r="BC13" s="3">
        <v>5518</v>
      </c>
      <c r="BD13" s="3">
        <v>272.85000000000002</v>
      </c>
      <c r="BE13" s="3">
        <f t="shared" si="5"/>
        <v>7.2140699999999924</v>
      </c>
      <c r="BG13" s="8" t="s">
        <v>68</v>
      </c>
      <c r="BH13" s="3">
        <v>280.67371000000003</v>
      </c>
      <c r="BI13" s="3">
        <v>4559</v>
      </c>
      <c r="BJ13" s="3">
        <v>274.32</v>
      </c>
      <c r="BK13" s="3">
        <f t="shared" si="6"/>
        <v>6.3537100000000351</v>
      </c>
      <c r="BM13" s="8"/>
      <c r="BN13" s="14">
        <v>282.40499999999997</v>
      </c>
      <c r="BO13" s="15">
        <v>4560</v>
      </c>
      <c r="BP13" s="15">
        <v>278.27999999999997</v>
      </c>
      <c r="BQ13" s="15">
        <v>4.125</v>
      </c>
      <c r="BS13" s="8" t="s">
        <v>66</v>
      </c>
      <c r="BT13" s="35">
        <v>286.30520000000001</v>
      </c>
      <c r="BU13" s="20">
        <v>4559</v>
      </c>
      <c r="BV13" s="20">
        <v>278.17</v>
      </c>
      <c r="BW13" s="20">
        <v>8.1351800000000001</v>
      </c>
      <c r="BY13" s="8" t="s">
        <v>68</v>
      </c>
      <c r="BZ13" s="3">
        <v>284.89073999999999</v>
      </c>
      <c r="CA13" s="3">
        <v>4560</v>
      </c>
      <c r="CB13" s="3">
        <v>277.39</v>
      </c>
      <c r="CC13" s="3">
        <f t="shared" si="7"/>
        <v>7.5007400000000075</v>
      </c>
      <c r="CE13" s="8" t="s">
        <v>24</v>
      </c>
      <c r="CF13" s="3">
        <v>283.61036999999999</v>
      </c>
      <c r="CG13" s="3">
        <v>4562</v>
      </c>
      <c r="CH13" s="3">
        <v>279.35000000000002</v>
      </c>
      <c r="CI13" s="3">
        <f t="shared" si="8"/>
        <v>4.2603699999999662</v>
      </c>
      <c r="CK13" s="8" t="s">
        <v>66</v>
      </c>
      <c r="CL13" s="19">
        <v>291.5813</v>
      </c>
      <c r="CM13" s="20">
        <v>4562</v>
      </c>
      <c r="CN13" s="20">
        <v>282.22000000000003</v>
      </c>
      <c r="CO13" s="20">
        <v>9.3612500000000001</v>
      </c>
      <c r="CQ13" s="8" t="s">
        <v>67</v>
      </c>
      <c r="CR13" s="11">
        <v>288.83708000000001</v>
      </c>
      <c r="CS13" s="11">
        <v>4559</v>
      </c>
      <c r="CT13" s="11">
        <v>281.45</v>
      </c>
      <c r="CU13" s="11">
        <f t="shared" si="9"/>
        <v>7.3870800000000258</v>
      </c>
      <c r="CW13" s="8" t="s">
        <v>68</v>
      </c>
      <c r="CX13" s="11">
        <v>288.5625</v>
      </c>
      <c r="CY13" s="11">
        <v>4561</v>
      </c>
      <c r="CZ13" s="11">
        <v>282.23</v>
      </c>
      <c r="DA13" s="11">
        <f t="shared" si="10"/>
        <v>6.3324999999999818</v>
      </c>
      <c r="DC13" s="8" t="s">
        <v>24</v>
      </c>
      <c r="DD13" s="11">
        <v>287.78958</v>
      </c>
      <c r="DE13" s="11">
        <v>4561</v>
      </c>
      <c r="DF13" s="11">
        <v>283.91000000000003</v>
      </c>
      <c r="DG13" s="11">
        <f t="shared" si="11"/>
        <v>3.8795799999999758</v>
      </c>
    </row>
    <row r="14" spans="1:111" ht="15" customHeight="1">
      <c r="E14" s="3">
        <v>285.02739000000003</v>
      </c>
      <c r="F14" s="3">
        <v>10678</v>
      </c>
      <c r="G14" s="3">
        <v>275.63</v>
      </c>
      <c r="H14" s="3">
        <f t="shared" si="0"/>
        <v>9.3973900000000299</v>
      </c>
      <c r="K14" s="33">
        <v>283.34827999999999</v>
      </c>
      <c r="L14" s="34">
        <v>5033</v>
      </c>
      <c r="M14" s="34">
        <v>275.83999999999997</v>
      </c>
      <c r="N14" s="34">
        <v>7.5082800000000001</v>
      </c>
      <c r="Q14" s="3">
        <v>283.13535999999999</v>
      </c>
      <c r="R14" s="3">
        <v>5035</v>
      </c>
      <c r="S14" s="3">
        <v>277.39</v>
      </c>
      <c r="T14" s="3">
        <f t="shared" si="1"/>
        <v>5.7453600000000051</v>
      </c>
      <c r="W14" s="14">
        <v>284.55549999999999</v>
      </c>
      <c r="X14" s="15">
        <v>5035</v>
      </c>
      <c r="Y14" s="15">
        <v>282.02999999999997</v>
      </c>
      <c r="Z14" s="15">
        <v>2.5255200000000002</v>
      </c>
      <c r="AC14" s="14">
        <v>284.2944</v>
      </c>
      <c r="AD14" s="15">
        <v>5034</v>
      </c>
      <c r="AE14" s="15">
        <v>273.7</v>
      </c>
      <c r="AF14" s="15">
        <v>10.594429999999999</v>
      </c>
      <c r="AI14" s="3">
        <v>284.15555999999998</v>
      </c>
      <c r="AJ14" s="3">
        <v>5034</v>
      </c>
      <c r="AK14" s="3">
        <v>276.51</v>
      </c>
      <c r="AL14" s="3">
        <f t="shared" si="2"/>
        <v>7.645559999999989</v>
      </c>
      <c r="AO14" s="3">
        <v>283.00889000000001</v>
      </c>
      <c r="AP14" s="3">
        <v>5006</v>
      </c>
      <c r="AQ14" s="3">
        <v>276.85000000000002</v>
      </c>
      <c r="AR14" s="3">
        <f t="shared" si="3"/>
        <v>6.1588899999999853</v>
      </c>
      <c r="AU14" s="11">
        <v>283.15584000000001</v>
      </c>
      <c r="AV14" s="11">
        <v>5033</v>
      </c>
      <c r="AW14" s="11">
        <v>280.42</v>
      </c>
      <c r="AX14" s="11">
        <f t="shared" si="4"/>
        <v>2.7358399999999961</v>
      </c>
      <c r="BB14" s="3">
        <v>279.88116000000002</v>
      </c>
      <c r="BC14" s="3">
        <v>5990</v>
      </c>
      <c r="BD14" s="3">
        <v>273.07</v>
      </c>
      <c r="BE14" s="3">
        <f t="shared" si="5"/>
        <v>6.8111600000000294</v>
      </c>
      <c r="BH14" s="3">
        <v>280.78845999999999</v>
      </c>
      <c r="BI14" s="3">
        <v>5031</v>
      </c>
      <c r="BJ14" s="3">
        <v>275.17</v>
      </c>
      <c r="BK14" s="3">
        <f t="shared" si="6"/>
        <v>5.6184599999999705</v>
      </c>
      <c r="BN14" s="14">
        <v>282.47480000000002</v>
      </c>
      <c r="BO14" s="15">
        <v>5033</v>
      </c>
      <c r="BP14" s="15">
        <v>278.47000000000003</v>
      </c>
      <c r="BQ14" s="15">
        <v>4.00481</v>
      </c>
      <c r="BT14" s="14">
        <v>286.28699999999998</v>
      </c>
      <c r="BU14" s="15">
        <v>5033</v>
      </c>
      <c r="BV14" s="15">
        <v>279.26</v>
      </c>
      <c r="BW14" s="15">
        <v>7.0270400000000004</v>
      </c>
      <c r="BZ14" s="3">
        <v>285.10962999999998</v>
      </c>
      <c r="CA14" s="3">
        <v>5033</v>
      </c>
      <c r="CB14" s="3">
        <v>277.76</v>
      </c>
      <c r="CC14" s="3">
        <f t="shared" si="7"/>
        <v>7.3496299999999906</v>
      </c>
      <c r="CF14" s="11">
        <v>284.98259000000002</v>
      </c>
      <c r="CG14" s="11">
        <v>5034</v>
      </c>
      <c r="CH14" s="11">
        <v>279.32</v>
      </c>
      <c r="CI14" s="11">
        <f t="shared" si="8"/>
        <v>5.6625900000000229</v>
      </c>
      <c r="CL14" s="14">
        <v>291.10379999999998</v>
      </c>
      <c r="CM14" s="15">
        <v>5037</v>
      </c>
      <c r="CN14" s="15">
        <v>281.39999999999998</v>
      </c>
      <c r="CO14" s="15">
        <v>9.7037600000000008</v>
      </c>
      <c r="CR14" s="11">
        <v>288.94416000000001</v>
      </c>
      <c r="CS14" s="11">
        <v>5033</v>
      </c>
      <c r="CT14" s="11">
        <v>281.79000000000002</v>
      </c>
      <c r="CU14" s="11">
        <f t="shared" si="9"/>
        <v>7.1541599999999903</v>
      </c>
      <c r="CX14" s="11">
        <v>288.56459000000001</v>
      </c>
      <c r="CY14" s="11">
        <v>5034</v>
      </c>
      <c r="CZ14" s="11">
        <v>282.32</v>
      </c>
      <c r="DA14" s="11">
        <f t="shared" si="10"/>
        <v>6.2445900000000165</v>
      </c>
      <c r="DD14" s="11">
        <v>287.84458000000001</v>
      </c>
      <c r="DE14" s="11">
        <v>5034</v>
      </c>
      <c r="DF14" s="11">
        <v>284.07</v>
      </c>
      <c r="DG14" s="11">
        <f t="shared" si="11"/>
        <v>3.7745800000000145</v>
      </c>
    </row>
    <row r="15" spans="1:111" ht="15" customHeight="1">
      <c r="E15" s="11">
        <v>284.88130999999998</v>
      </c>
      <c r="F15" s="11">
        <v>11152</v>
      </c>
      <c r="G15" s="11">
        <v>275.7</v>
      </c>
      <c r="H15" s="11">
        <f t="shared" si="0"/>
        <v>9.1813099999999963</v>
      </c>
      <c r="K15" s="27">
        <v>283.27463999999998</v>
      </c>
      <c r="L15" s="28">
        <v>5508</v>
      </c>
      <c r="M15" s="28">
        <v>275.57</v>
      </c>
      <c r="N15" s="28">
        <v>7.7046400000000004</v>
      </c>
      <c r="Q15" s="11">
        <v>283.15857999999997</v>
      </c>
      <c r="R15" s="11">
        <v>5507</v>
      </c>
      <c r="S15" s="11">
        <v>277.08999999999997</v>
      </c>
      <c r="T15" s="11">
        <f t="shared" si="1"/>
        <v>6.0685799999999972</v>
      </c>
      <c r="W15" s="14">
        <v>284.79680000000002</v>
      </c>
      <c r="X15" s="15">
        <v>5507</v>
      </c>
      <c r="Y15" s="15">
        <v>282.42</v>
      </c>
      <c r="Z15" s="15">
        <v>2.3767900000000002</v>
      </c>
      <c r="AC15" s="14">
        <v>284.33940000000001</v>
      </c>
      <c r="AD15" s="15">
        <v>5508</v>
      </c>
      <c r="AE15" s="15">
        <v>274.42</v>
      </c>
      <c r="AF15" s="15">
        <v>9.9194300000000002</v>
      </c>
      <c r="AI15" s="11">
        <v>284.13610999999997</v>
      </c>
      <c r="AJ15" s="11">
        <v>5508</v>
      </c>
      <c r="AK15" s="11">
        <v>276.95</v>
      </c>
      <c r="AL15" s="11">
        <f t="shared" si="2"/>
        <v>7.1861099999999851</v>
      </c>
      <c r="AO15" s="11">
        <v>283.12527999999998</v>
      </c>
      <c r="AP15" s="11">
        <v>5480</v>
      </c>
      <c r="AQ15" s="11">
        <v>277.23</v>
      </c>
      <c r="AR15" s="11">
        <f t="shared" si="3"/>
        <v>5.895279999999957</v>
      </c>
      <c r="AU15" s="11">
        <v>283.38486999999998</v>
      </c>
      <c r="AV15" s="11">
        <v>5506</v>
      </c>
      <c r="AW15" s="11">
        <v>280.76</v>
      </c>
      <c r="AX15" s="11">
        <f t="shared" si="4"/>
        <v>2.6248699999999872</v>
      </c>
      <c r="BB15" s="11">
        <v>279.94846000000001</v>
      </c>
      <c r="BC15" s="11">
        <v>6464</v>
      </c>
      <c r="BD15" s="11">
        <v>273.04000000000002</v>
      </c>
      <c r="BE15" s="11">
        <f t="shared" si="5"/>
        <v>6.9084599999999909</v>
      </c>
      <c r="BH15" s="11">
        <v>280.61295999999999</v>
      </c>
      <c r="BI15" s="11">
        <v>5508</v>
      </c>
      <c r="BJ15" s="11">
        <v>274.79000000000002</v>
      </c>
      <c r="BK15" s="11">
        <f t="shared" si="6"/>
        <v>5.8229599999999664</v>
      </c>
      <c r="BN15" s="14">
        <v>282.75110000000001</v>
      </c>
      <c r="BO15" s="15">
        <v>5505</v>
      </c>
      <c r="BP15" s="15">
        <v>278.91000000000003</v>
      </c>
      <c r="BQ15" s="15">
        <v>3.84111</v>
      </c>
      <c r="BT15" s="14">
        <v>286.37959999999998</v>
      </c>
      <c r="BU15" s="15">
        <v>5505</v>
      </c>
      <c r="BV15" s="15">
        <v>278.76</v>
      </c>
      <c r="BW15" s="15">
        <v>7.6196299999999999</v>
      </c>
      <c r="BZ15" s="11">
        <v>285.70258999999999</v>
      </c>
      <c r="CA15" s="11">
        <v>5508</v>
      </c>
      <c r="CB15" s="11">
        <v>277.48</v>
      </c>
      <c r="CC15" s="11">
        <f t="shared" si="7"/>
        <v>8.2225899999999683</v>
      </c>
      <c r="CF15" s="11">
        <v>285.30628999999999</v>
      </c>
      <c r="CG15" s="11">
        <v>5508</v>
      </c>
      <c r="CH15" s="11">
        <v>279.85000000000002</v>
      </c>
      <c r="CI15" s="11">
        <f t="shared" si="8"/>
        <v>5.4562899999999672</v>
      </c>
      <c r="CL15" s="14">
        <v>291.0274</v>
      </c>
      <c r="CM15" s="15">
        <v>5509</v>
      </c>
      <c r="CN15" s="15">
        <v>281.44</v>
      </c>
      <c r="CO15" s="15">
        <v>9.5873899999999992</v>
      </c>
      <c r="CR15" s="11">
        <v>289.01666</v>
      </c>
      <c r="CS15" s="11">
        <v>5979</v>
      </c>
      <c r="CT15" s="11">
        <v>281.54000000000002</v>
      </c>
      <c r="CU15" s="11">
        <f t="shared" si="9"/>
        <v>7.4766599999999812</v>
      </c>
      <c r="CX15" s="11">
        <v>288.43707999999998</v>
      </c>
      <c r="CY15" s="11">
        <v>5508</v>
      </c>
      <c r="CZ15" s="11">
        <v>282.07</v>
      </c>
      <c r="DA15" s="11">
        <f t="shared" si="10"/>
        <v>6.3670799999999872</v>
      </c>
      <c r="DD15" s="11">
        <v>287.89082999999999</v>
      </c>
      <c r="DE15" s="11">
        <v>5509</v>
      </c>
      <c r="DF15" s="11">
        <v>284.16000000000003</v>
      </c>
      <c r="DG15" s="11">
        <f t="shared" si="11"/>
        <v>3.730829999999969</v>
      </c>
    </row>
    <row r="16" spans="1:111" ht="15" customHeight="1">
      <c r="E16" s="11">
        <v>284.92347999999998</v>
      </c>
      <c r="F16" s="11">
        <v>11625</v>
      </c>
      <c r="G16" s="11">
        <v>274.94</v>
      </c>
      <c r="H16" s="11">
        <f t="shared" si="0"/>
        <v>9.9834799999999859</v>
      </c>
      <c r="K16" s="27">
        <v>283.24678999999998</v>
      </c>
      <c r="L16" s="28">
        <v>5980</v>
      </c>
      <c r="M16" s="28">
        <v>275.48</v>
      </c>
      <c r="N16" s="28">
        <v>7.7667900000000003</v>
      </c>
      <c r="Q16" s="11">
        <v>282.94535999999999</v>
      </c>
      <c r="R16" s="11">
        <v>5981</v>
      </c>
      <c r="S16" s="11">
        <v>277.07</v>
      </c>
      <c r="T16" s="11">
        <f t="shared" si="1"/>
        <v>5.8753600000000006</v>
      </c>
      <c r="W16" s="14">
        <v>285.12139999999999</v>
      </c>
      <c r="X16" s="15">
        <v>5981</v>
      </c>
      <c r="Y16" s="15">
        <v>282.92</v>
      </c>
      <c r="Z16" s="15">
        <v>2.2014300000000002</v>
      </c>
      <c r="AC16" s="14">
        <v>284.2022</v>
      </c>
      <c r="AD16" s="15">
        <v>5982</v>
      </c>
      <c r="AE16" s="15">
        <v>274.75</v>
      </c>
      <c r="AF16" s="15">
        <v>9.4522200000000005</v>
      </c>
      <c r="AI16" s="11">
        <v>284.17167000000001</v>
      </c>
      <c r="AJ16" s="11">
        <v>5981</v>
      </c>
      <c r="AK16" s="11">
        <v>276.52999999999997</v>
      </c>
      <c r="AL16" s="11">
        <f t="shared" si="2"/>
        <v>7.6416700000000333</v>
      </c>
      <c r="AO16" s="11">
        <v>282.98189000000002</v>
      </c>
      <c r="AP16" s="11">
        <v>5953</v>
      </c>
      <c r="AQ16" s="11">
        <v>277.22000000000003</v>
      </c>
      <c r="AR16" s="11">
        <f t="shared" si="3"/>
        <v>5.761889999999994</v>
      </c>
      <c r="AU16" s="11">
        <v>283.58539999999999</v>
      </c>
      <c r="AV16" s="11">
        <v>5987</v>
      </c>
      <c r="AW16" s="11">
        <v>281</v>
      </c>
      <c r="AX16" s="11">
        <f t="shared" si="4"/>
        <v>2.5853999999999928</v>
      </c>
      <c r="BB16" s="11">
        <v>279.66629999999998</v>
      </c>
      <c r="BC16" s="11">
        <v>6938</v>
      </c>
      <c r="BD16" s="11">
        <v>272.7</v>
      </c>
      <c r="BE16" s="11">
        <f t="shared" si="5"/>
        <v>6.9662999999999897</v>
      </c>
      <c r="BH16" s="11">
        <v>280.55963000000003</v>
      </c>
      <c r="BI16" s="11">
        <v>5978</v>
      </c>
      <c r="BJ16" s="11">
        <v>274.48</v>
      </c>
      <c r="BK16" s="11">
        <f t="shared" si="6"/>
        <v>6.0796300000000087</v>
      </c>
      <c r="BN16" s="14">
        <v>283.09829999999999</v>
      </c>
      <c r="BO16" s="15">
        <v>5981</v>
      </c>
      <c r="BP16" s="15">
        <v>279.02</v>
      </c>
      <c r="BQ16" s="15">
        <v>4.0783399999999999</v>
      </c>
      <c r="BT16" s="14">
        <v>286.55930000000001</v>
      </c>
      <c r="BU16" s="15">
        <v>5980</v>
      </c>
      <c r="BV16" s="15">
        <v>278.72000000000003</v>
      </c>
      <c r="BW16" s="15">
        <v>7.8392600000000003</v>
      </c>
      <c r="BZ16" s="11">
        <v>285.43149</v>
      </c>
      <c r="CA16" s="11">
        <v>5981</v>
      </c>
      <c r="CB16" s="11">
        <v>277.79000000000002</v>
      </c>
      <c r="CC16" s="11">
        <f t="shared" si="7"/>
        <v>7.6414899999999761</v>
      </c>
      <c r="CF16" s="11">
        <v>285.80407000000002</v>
      </c>
      <c r="CG16" s="11">
        <v>5980</v>
      </c>
      <c r="CH16" s="11">
        <v>280.42</v>
      </c>
      <c r="CI16" s="11">
        <f t="shared" si="8"/>
        <v>5.3840700000000083</v>
      </c>
      <c r="CL16" s="14">
        <v>290.76920000000001</v>
      </c>
      <c r="CM16" s="15">
        <v>5983</v>
      </c>
      <c r="CN16" s="15">
        <v>281.52999999999997</v>
      </c>
      <c r="CO16" s="15">
        <v>9.2391699999999997</v>
      </c>
      <c r="CR16" s="11">
        <v>288.94044000000002</v>
      </c>
      <c r="CS16" s="11">
        <v>6454</v>
      </c>
      <c r="CT16" s="11">
        <v>281.48</v>
      </c>
      <c r="CU16" s="11">
        <f t="shared" si="9"/>
        <v>7.4604400000000055</v>
      </c>
      <c r="CX16" s="11">
        <v>288.38261</v>
      </c>
      <c r="CY16" s="11">
        <v>5981</v>
      </c>
      <c r="CZ16" s="11">
        <v>282.60000000000002</v>
      </c>
      <c r="DA16" s="11">
        <f t="shared" si="10"/>
        <v>5.7826099999999769</v>
      </c>
      <c r="DD16" s="11">
        <v>287.91624999999999</v>
      </c>
      <c r="DE16" s="11">
        <v>5981</v>
      </c>
      <c r="DF16" s="11">
        <v>284.04000000000002</v>
      </c>
      <c r="DG16" s="11">
        <f t="shared" si="11"/>
        <v>3.8762499999999704</v>
      </c>
    </row>
    <row r="17" spans="5:111" ht="15" customHeight="1">
      <c r="E17" s="11">
        <v>284.73304999999999</v>
      </c>
      <c r="F17" s="11">
        <v>12099</v>
      </c>
      <c r="G17" s="11">
        <v>275.57</v>
      </c>
      <c r="H17" s="11">
        <f t="shared" si="0"/>
        <v>9.1630499999999984</v>
      </c>
      <c r="K17" s="27">
        <v>283.46071999999998</v>
      </c>
      <c r="L17" s="28">
        <v>6455</v>
      </c>
      <c r="M17" s="28">
        <v>276.02999999999997</v>
      </c>
      <c r="N17" s="28">
        <v>7.43072</v>
      </c>
      <c r="Q17" s="11">
        <v>283.1925</v>
      </c>
      <c r="R17" s="11">
        <v>6453</v>
      </c>
      <c r="S17" s="11">
        <v>277.51</v>
      </c>
      <c r="T17" s="11">
        <f t="shared" si="1"/>
        <v>5.6825000000000045</v>
      </c>
      <c r="W17" s="14">
        <v>285.51639999999998</v>
      </c>
      <c r="X17" s="15">
        <v>6455</v>
      </c>
      <c r="Y17" s="15">
        <v>283.17</v>
      </c>
      <c r="Z17" s="15">
        <v>2.3464299999999998</v>
      </c>
      <c r="AC17" s="14">
        <v>284.22609999999997</v>
      </c>
      <c r="AD17" s="15">
        <v>6456</v>
      </c>
      <c r="AE17" s="15">
        <v>274.67</v>
      </c>
      <c r="AF17" s="15">
        <v>9.5561000000000007</v>
      </c>
      <c r="AI17" s="11">
        <v>283.88528000000002</v>
      </c>
      <c r="AJ17" s="11">
        <v>6454</v>
      </c>
      <c r="AK17" s="11">
        <v>277.07</v>
      </c>
      <c r="AL17" s="11">
        <f t="shared" si="2"/>
        <v>6.8152800000000298</v>
      </c>
      <c r="AO17" s="11">
        <v>283.04833000000002</v>
      </c>
      <c r="AP17" s="11">
        <v>6428</v>
      </c>
      <c r="AQ17" s="11">
        <v>277.48</v>
      </c>
      <c r="AR17" s="11">
        <f t="shared" si="3"/>
        <v>5.5683300000000031</v>
      </c>
      <c r="AU17" s="11">
        <v>283.75472000000002</v>
      </c>
      <c r="AV17" s="11">
        <v>6456</v>
      </c>
      <c r="AW17" s="11">
        <v>281.10000000000002</v>
      </c>
      <c r="AX17" s="11">
        <f t="shared" si="4"/>
        <v>2.6547199999999975</v>
      </c>
      <c r="BB17" s="11">
        <v>279.94769000000002</v>
      </c>
      <c r="BC17" s="11">
        <v>7412</v>
      </c>
      <c r="BD17" s="11">
        <v>272.23</v>
      </c>
      <c r="BE17" s="11">
        <f t="shared" si="5"/>
        <v>7.7176900000000046</v>
      </c>
      <c r="BH17" s="11">
        <v>280.49115</v>
      </c>
      <c r="BI17" s="11">
        <v>6451</v>
      </c>
      <c r="BJ17" s="11">
        <v>274.16000000000003</v>
      </c>
      <c r="BK17" s="11">
        <f t="shared" si="6"/>
        <v>6.3311499999999796</v>
      </c>
      <c r="BN17" s="14">
        <v>283.26580000000001</v>
      </c>
      <c r="BO17" s="15">
        <v>6453</v>
      </c>
      <c r="BP17" s="15">
        <v>278.87</v>
      </c>
      <c r="BQ17" s="15">
        <v>4.3958300000000001</v>
      </c>
      <c r="BT17" s="14">
        <v>286.45299999999997</v>
      </c>
      <c r="BU17" s="15">
        <v>6450</v>
      </c>
      <c r="BV17" s="15">
        <v>278.72000000000003</v>
      </c>
      <c r="BW17" s="15">
        <v>7.7329600000000003</v>
      </c>
      <c r="BZ17" s="11">
        <v>285.41334000000001</v>
      </c>
      <c r="CA17" s="11">
        <v>6456</v>
      </c>
      <c r="CB17" s="11">
        <v>277.41000000000003</v>
      </c>
      <c r="CC17" s="11">
        <f t="shared" si="7"/>
        <v>8.0033399999999801</v>
      </c>
      <c r="CF17" s="11">
        <v>285.80407000000002</v>
      </c>
      <c r="CG17" s="11">
        <v>6455</v>
      </c>
      <c r="CH17" s="11">
        <v>280.32</v>
      </c>
      <c r="CI17" s="11">
        <f t="shared" si="8"/>
        <v>5.4840700000000311</v>
      </c>
      <c r="CL17" s="14">
        <v>290.30079999999998</v>
      </c>
      <c r="CM17" s="15">
        <v>6456</v>
      </c>
      <c r="CN17" s="15">
        <v>282.08999999999997</v>
      </c>
      <c r="CO17" s="15">
        <v>8.2108299999999996</v>
      </c>
      <c r="CR17" s="11">
        <v>288.96041000000002</v>
      </c>
      <c r="CS17" s="11">
        <v>6927</v>
      </c>
      <c r="CT17" s="11">
        <v>281.10000000000002</v>
      </c>
      <c r="CU17" s="11">
        <f t="shared" si="9"/>
        <v>7.8604100000000017</v>
      </c>
      <c r="CX17" s="11">
        <v>288.47458999999998</v>
      </c>
      <c r="CY17" s="11">
        <v>6454</v>
      </c>
      <c r="CZ17" s="11">
        <v>282.38</v>
      </c>
      <c r="DA17" s="11">
        <f t="shared" si="10"/>
        <v>6.0945899999999824</v>
      </c>
      <c r="DD17" s="11">
        <v>287.51792</v>
      </c>
      <c r="DE17" s="11">
        <v>6455</v>
      </c>
      <c r="DF17" s="11">
        <v>284.14</v>
      </c>
      <c r="DG17" s="11">
        <f t="shared" si="11"/>
        <v>3.3779200000000174</v>
      </c>
    </row>
    <row r="18" spans="5:111" ht="15" customHeight="1">
      <c r="E18" s="11">
        <v>284.74304999999998</v>
      </c>
      <c r="F18" s="11">
        <v>12573</v>
      </c>
      <c r="G18" s="11">
        <v>275.2</v>
      </c>
      <c r="H18" s="11">
        <f t="shared" si="0"/>
        <v>9.5430499999999938</v>
      </c>
      <c r="K18" s="27">
        <v>283.30322000000001</v>
      </c>
      <c r="L18" s="28">
        <v>6927</v>
      </c>
      <c r="M18" s="28">
        <v>275.7</v>
      </c>
      <c r="N18" s="28">
        <v>7.6032200000000003</v>
      </c>
      <c r="Q18" s="11">
        <v>283.19035000000002</v>
      </c>
      <c r="R18" s="11">
        <v>6927</v>
      </c>
      <c r="S18" s="11">
        <v>277.39</v>
      </c>
      <c r="T18" s="11">
        <f t="shared" si="1"/>
        <v>5.8003500000000372</v>
      </c>
      <c r="W18" s="14">
        <v>285.61930000000001</v>
      </c>
      <c r="X18" s="15">
        <v>6929</v>
      </c>
      <c r="Y18" s="15">
        <v>283.17</v>
      </c>
      <c r="Z18" s="15">
        <v>2.44929</v>
      </c>
      <c r="AC18" s="14">
        <v>284.21420000000001</v>
      </c>
      <c r="AD18" s="15">
        <v>6929</v>
      </c>
      <c r="AE18" s="15">
        <v>275.11</v>
      </c>
      <c r="AF18" s="15">
        <v>9.1041799999999995</v>
      </c>
      <c r="AI18" s="11">
        <v>284.28555</v>
      </c>
      <c r="AJ18" s="11">
        <v>6927</v>
      </c>
      <c r="AK18" s="11">
        <v>277.04000000000002</v>
      </c>
      <c r="AL18" s="11">
        <f t="shared" si="2"/>
        <v>7.2455499999999802</v>
      </c>
      <c r="AO18" s="11">
        <v>283.07722000000001</v>
      </c>
      <c r="AP18" s="11">
        <v>6900</v>
      </c>
      <c r="AQ18" s="11">
        <v>277.29000000000002</v>
      </c>
      <c r="AR18" s="11">
        <f t="shared" si="3"/>
        <v>5.7872199999999907</v>
      </c>
      <c r="AU18" s="11">
        <v>284.13110999999998</v>
      </c>
      <c r="AV18" s="11">
        <v>6928</v>
      </c>
      <c r="AW18" s="11">
        <v>281.77999999999997</v>
      </c>
      <c r="AX18" s="11">
        <f t="shared" si="4"/>
        <v>2.3511100000000056</v>
      </c>
      <c r="BB18" s="11">
        <v>279.77422999999999</v>
      </c>
      <c r="BC18" s="11">
        <v>7884</v>
      </c>
      <c r="BD18" s="11">
        <v>272.51</v>
      </c>
      <c r="BE18" s="11">
        <f t="shared" si="5"/>
        <v>7.2642299999999977</v>
      </c>
      <c r="BH18" s="11">
        <v>280.67345999999998</v>
      </c>
      <c r="BI18" s="11">
        <v>6927</v>
      </c>
      <c r="BJ18" s="11">
        <v>274.32</v>
      </c>
      <c r="BK18" s="11">
        <f t="shared" si="6"/>
        <v>6.3534599999999841</v>
      </c>
      <c r="BN18" s="14">
        <v>283.35919999999999</v>
      </c>
      <c r="BO18" s="15">
        <v>6925</v>
      </c>
      <c r="BP18" s="15">
        <v>279.04000000000002</v>
      </c>
      <c r="BQ18" s="15">
        <v>4.3191600000000001</v>
      </c>
      <c r="BT18" s="14">
        <v>286.69069999999999</v>
      </c>
      <c r="BU18" s="15">
        <v>6923</v>
      </c>
      <c r="BV18" s="15">
        <v>278.95</v>
      </c>
      <c r="BW18" s="15">
        <v>7.7407399999999997</v>
      </c>
      <c r="BZ18" s="11">
        <v>285.36703999999997</v>
      </c>
      <c r="CA18" s="11">
        <v>6928</v>
      </c>
      <c r="CB18" s="11">
        <v>277.57</v>
      </c>
      <c r="CC18" s="11">
        <f t="shared" si="7"/>
        <v>7.7970399999999813</v>
      </c>
      <c r="CF18" s="11">
        <v>285.48223000000002</v>
      </c>
      <c r="CG18" s="11">
        <v>6928</v>
      </c>
      <c r="CH18" s="11">
        <v>281.44</v>
      </c>
      <c r="CI18" s="11">
        <f t="shared" si="8"/>
        <v>4.0422300000000178</v>
      </c>
      <c r="CL18" s="14">
        <v>290.54329999999999</v>
      </c>
      <c r="CM18" s="15">
        <v>6928</v>
      </c>
      <c r="CN18" s="15">
        <v>282.47000000000003</v>
      </c>
      <c r="CO18" s="15">
        <v>8.0733300000000003</v>
      </c>
      <c r="CR18" s="11">
        <v>289.07375000000002</v>
      </c>
      <c r="CS18" s="11">
        <v>7399</v>
      </c>
      <c r="CT18" s="11">
        <v>281.73</v>
      </c>
      <c r="CU18" s="11">
        <f t="shared" si="9"/>
        <v>7.34375</v>
      </c>
      <c r="CX18" s="11">
        <v>288.16750000000002</v>
      </c>
      <c r="CY18" s="11">
        <v>6930</v>
      </c>
      <c r="CZ18" s="11">
        <v>282.35000000000002</v>
      </c>
      <c r="DA18" s="11">
        <f t="shared" si="10"/>
        <v>5.8174999999999955</v>
      </c>
      <c r="DD18" s="11">
        <v>287.54417000000001</v>
      </c>
      <c r="DE18" s="11">
        <v>6929</v>
      </c>
      <c r="DF18" s="11">
        <v>283.92</v>
      </c>
      <c r="DG18" s="11">
        <f t="shared" si="11"/>
        <v>3.6241699999999923</v>
      </c>
    </row>
    <row r="19" spans="5:111" ht="15" customHeight="1">
      <c r="E19" s="11">
        <v>284.41435000000001</v>
      </c>
      <c r="F19" s="11">
        <v>13045</v>
      </c>
      <c r="G19" s="11">
        <v>275.04000000000002</v>
      </c>
      <c r="H19" s="11">
        <f t="shared" si="0"/>
        <v>9.3743499999999926</v>
      </c>
      <c r="K19" s="27">
        <v>283.30356999999998</v>
      </c>
      <c r="L19" s="28">
        <v>7401</v>
      </c>
      <c r="M19" s="28">
        <v>275.39</v>
      </c>
      <c r="N19" s="28">
        <v>7.91357</v>
      </c>
      <c r="Q19" s="11">
        <v>283.27749999999997</v>
      </c>
      <c r="R19" s="11">
        <v>7400</v>
      </c>
      <c r="S19" s="11">
        <v>277.54000000000002</v>
      </c>
      <c r="T19" s="11">
        <f t="shared" si="1"/>
        <v>5.7374999999999545</v>
      </c>
      <c r="W19" s="14">
        <v>285.88810000000001</v>
      </c>
      <c r="X19" s="15">
        <v>7401</v>
      </c>
      <c r="Y19" s="15">
        <v>283.66000000000003</v>
      </c>
      <c r="Z19" s="15">
        <v>2.2280600000000002</v>
      </c>
      <c r="AC19" s="14">
        <v>284.39060000000001</v>
      </c>
      <c r="AD19" s="15">
        <v>7402</v>
      </c>
      <c r="AE19" s="15">
        <v>274.89999999999998</v>
      </c>
      <c r="AF19" s="15">
        <v>9.49057</v>
      </c>
      <c r="AI19" s="11">
        <v>284.38889</v>
      </c>
      <c r="AJ19" s="11">
        <v>7400</v>
      </c>
      <c r="AK19" s="11">
        <v>277.42</v>
      </c>
      <c r="AL19" s="11">
        <f t="shared" si="2"/>
        <v>6.9688899999999876</v>
      </c>
      <c r="AO19" s="11">
        <v>283.40917000000002</v>
      </c>
      <c r="AP19" s="11">
        <v>7373</v>
      </c>
      <c r="AQ19" s="11">
        <v>277.73</v>
      </c>
      <c r="AR19" s="11">
        <f t="shared" si="3"/>
        <v>5.6791699999999992</v>
      </c>
      <c r="AU19" s="11">
        <v>284.00189</v>
      </c>
      <c r="AV19" s="11">
        <v>7403</v>
      </c>
      <c r="AW19" s="11">
        <v>281.52999999999997</v>
      </c>
      <c r="AX19" s="11">
        <f t="shared" si="4"/>
        <v>2.4718900000000303</v>
      </c>
      <c r="BB19" s="11">
        <v>279.71555999999998</v>
      </c>
      <c r="BC19" s="11">
        <v>8357</v>
      </c>
      <c r="BD19" s="11">
        <v>272.26</v>
      </c>
      <c r="BE19" s="11">
        <f t="shared" si="5"/>
        <v>7.4555599999999913</v>
      </c>
      <c r="BH19" s="11">
        <v>280.49731000000003</v>
      </c>
      <c r="BI19" s="11">
        <v>7399</v>
      </c>
      <c r="BJ19" s="11">
        <v>273.54000000000002</v>
      </c>
      <c r="BK19" s="11">
        <f t="shared" si="6"/>
        <v>6.9573100000000068</v>
      </c>
      <c r="BT19" s="14">
        <v>286.81110000000001</v>
      </c>
      <c r="BU19" s="15">
        <v>7397</v>
      </c>
      <c r="BV19" s="15">
        <v>278.82</v>
      </c>
      <c r="BW19" s="15">
        <v>7.9911099999999999</v>
      </c>
      <c r="BZ19" s="11">
        <v>285.51148000000001</v>
      </c>
      <c r="CA19" s="11">
        <v>7404</v>
      </c>
      <c r="CB19" s="11">
        <v>276.82</v>
      </c>
      <c r="CC19" s="11">
        <f t="shared" si="7"/>
        <v>8.6914800000000128</v>
      </c>
      <c r="CF19" s="11">
        <v>286.06666000000001</v>
      </c>
      <c r="CG19" s="11">
        <v>7401</v>
      </c>
      <c r="CH19" s="11">
        <v>281.48</v>
      </c>
      <c r="CI19" s="11">
        <f t="shared" si="8"/>
        <v>4.5866599999999949</v>
      </c>
      <c r="CL19" s="14">
        <v>290.51459999999997</v>
      </c>
      <c r="CM19" s="15">
        <v>7402</v>
      </c>
      <c r="CN19" s="15">
        <v>282.22000000000003</v>
      </c>
      <c r="CO19" s="15">
        <v>8.2945799999999998</v>
      </c>
      <c r="CX19" s="11">
        <v>288.24417</v>
      </c>
      <c r="CY19" s="11">
        <v>7403</v>
      </c>
      <c r="CZ19" s="11">
        <v>282.22000000000003</v>
      </c>
      <c r="DA19" s="11">
        <f t="shared" si="10"/>
        <v>6.0241699999999696</v>
      </c>
      <c r="DD19" s="11">
        <v>287.51290999999998</v>
      </c>
      <c r="DE19" s="11">
        <v>7402</v>
      </c>
      <c r="DF19" s="11">
        <v>283.95</v>
      </c>
      <c r="DG19" s="11">
        <f t="shared" si="11"/>
        <v>3.562909999999988</v>
      </c>
    </row>
    <row r="20" spans="5:111" ht="15" customHeight="1">
      <c r="E20" s="11">
        <v>284.02913000000001</v>
      </c>
      <c r="F20" s="11">
        <v>13519</v>
      </c>
      <c r="G20" s="11">
        <v>274.95</v>
      </c>
      <c r="H20" s="11">
        <f t="shared" si="0"/>
        <v>9.0791300000000206</v>
      </c>
      <c r="K20" s="27">
        <v>283.26643000000001</v>
      </c>
      <c r="L20" s="28">
        <v>7874</v>
      </c>
      <c r="M20" s="28">
        <v>275.54000000000002</v>
      </c>
      <c r="N20" s="28">
        <v>7.7264299999999997</v>
      </c>
      <c r="Q20" s="11">
        <v>283.24536000000001</v>
      </c>
      <c r="R20" s="11">
        <v>7873</v>
      </c>
      <c r="S20" s="11">
        <v>277.87</v>
      </c>
      <c r="T20" s="11">
        <f t="shared" si="1"/>
        <v>5.3753600000000006</v>
      </c>
      <c r="AI20" s="11">
        <v>284.37889000000001</v>
      </c>
      <c r="AJ20" s="11">
        <v>7873</v>
      </c>
      <c r="AK20" s="11">
        <v>277.82</v>
      </c>
      <c r="AL20" s="11">
        <f t="shared" si="2"/>
        <v>6.5588900000000194</v>
      </c>
      <c r="AO20" s="11">
        <v>283.45945</v>
      </c>
      <c r="AP20" s="11">
        <v>7845</v>
      </c>
      <c r="AQ20" s="11">
        <v>278.10000000000002</v>
      </c>
      <c r="AR20" s="11">
        <f t="shared" si="3"/>
        <v>5.3594499999999812</v>
      </c>
      <c r="BB20" s="11">
        <v>279.75889000000001</v>
      </c>
      <c r="BC20" s="11">
        <v>8830</v>
      </c>
      <c r="BD20" s="11">
        <v>272.51</v>
      </c>
      <c r="BE20" s="11">
        <f t="shared" si="5"/>
        <v>7.2488900000000172</v>
      </c>
      <c r="BH20" s="11">
        <v>280.68768999999998</v>
      </c>
      <c r="BI20" s="11">
        <v>7869</v>
      </c>
      <c r="BJ20" s="11">
        <v>273.54000000000002</v>
      </c>
      <c r="BK20" s="11">
        <f t="shared" si="6"/>
        <v>7.1476899999999546</v>
      </c>
      <c r="BT20" s="14">
        <v>286.13589999999999</v>
      </c>
      <c r="BU20" s="15">
        <v>7871</v>
      </c>
      <c r="BV20" s="15">
        <v>278.41000000000003</v>
      </c>
      <c r="BW20" s="15">
        <v>7.72593</v>
      </c>
      <c r="BZ20" s="11">
        <v>285.08296000000001</v>
      </c>
      <c r="CA20" s="11">
        <v>7875</v>
      </c>
      <c r="CB20" s="11">
        <v>276.67</v>
      </c>
      <c r="CC20" s="11">
        <f t="shared" si="7"/>
        <v>8.4129599999999982</v>
      </c>
      <c r="CF20" s="29">
        <v>285.97348</v>
      </c>
      <c r="CG20" s="29">
        <v>7876</v>
      </c>
      <c r="CH20" s="29">
        <v>281.45</v>
      </c>
      <c r="CI20" s="11">
        <f t="shared" si="8"/>
        <v>4.5234800000000064</v>
      </c>
      <c r="CL20" s="14">
        <v>290.3383</v>
      </c>
      <c r="CM20" s="15">
        <v>7874</v>
      </c>
      <c r="CN20" s="15">
        <v>281.94</v>
      </c>
      <c r="CO20" s="15">
        <v>8.3983299999999996</v>
      </c>
    </row>
    <row r="21" spans="5:111" ht="15" customHeight="1">
      <c r="E21" s="11">
        <v>284.12036000000001</v>
      </c>
      <c r="F21" s="11">
        <v>13992</v>
      </c>
      <c r="G21" s="11">
        <v>274.54000000000002</v>
      </c>
      <c r="H21" s="11">
        <f t="shared" si="0"/>
        <v>9.5803599999999847</v>
      </c>
      <c r="Q21" s="11">
        <v>283.39965000000001</v>
      </c>
      <c r="R21" s="11">
        <v>8346</v>
      </c>
      <c r="S21" s="11">
        <v>277.04000000000002</v>
      </c>
      <c r="T21" s="11">
        <f t="shared" si="1"/>
        <v>6.3596499999999878</v>
      </c>
      <c r="AI21" s="11">
        <v>284.74777999999998</v>
      </c>
      <c r="AJ21" s="11">
        <v>8346</v>
      </c>
      <c r="AK21" s="11">
        <v>278.02999999999997</v>
      </c>
      <c r="AL21" s="11">
        <f t="shared" si="2"/>
        <v>6.7177800000000047</v>
      </c>
      <c r="AO21" s="11">
        <v>283.66028</v>
      </c>
      <c r="AP21" s="11">
        <v>8319</v>
      </c>
      <c r="AQ21" s="11">
        <v>278.12</v>
      </c>
      <c r="AR21" s="11">
        <f t="shared" si="3"/>
        <v>5.5402799999999957</v>
      </c>
      <c r="BB21" s="11">
        <v>279.82963000000001</v>
      </c>
      <c r="BC21" s="11">
        <v>9307</v>
      </c>
      <c r="BD21" s="11">
        <v>272.77999999999997</v>
      </c>
      <c r="BE21" s="11">
        <f t="shared" si="5"/>
        <v>7.049630000000036</v>
      </c>
      <c r="BH21" s="11">
        <v>280.79807</v>
      </c>
      <c r="BI21" s="11">
        <v>8343</v>
      </c>
      <c r="BJ21" s="11">
        <v>274.26</v>
      </c>
      <c r="BK21" s="11">
        <f t="shared" si="6"/>
        <v>6.5380700000000047</v>
      </c>
      <c r="BZ21" s="11">
        <v>284.98074000000003</v>
      </c>
      <c r="CA21" s="11">
        <v>8349</v>
      </c>
      <c r="CB21" s="11">
        <v>276.57</v>
      </c>
      <c r="CC21" s="11">
        <f t="shared" si="7"/>
        <v>8.4107400000000325</v>
      </c>
      <c r="CF21" s="11">
        <v>286.14166999999998</v>
      </c>
      <c r="CG21" s="11">
        <v>8248</v>
      </c>
      <c r="CH21" s="11">
        <v>282.17</v>
      </c>
      <c r="CI21" s="11">
        <f t="shared" si="8"/>
        <v>3.9716699999999605</v>
      </c>
      <c r="CL21" s="14">
        <v>290.36349999999999</v>
      </c>
      <c r="CM21" s="15">
        <v>8350</v>
      </c>
      <c r="CN21" s="15">
        <v>281.61</v>
      </c>
      <c r="CO21" s="15">
        <v>8.7534899999999993</v>
      </c>
    </row>
    <row r="22" spans="5:111" ht="15" customHeight="1">
      <c r="E22" s="11">
        <v>283.89179000000001</v>
      </c>
      <c r="F22" s="11">
        <v>14466</v>
      </c>
      <c r="G22" s="11">
        <v>274.76</v>
      </c>
      <c r="H22" s="11">
        <f t="shared" si="0"/>
        <v>9.1317900000000236</v>
      </c>
      <c r="Q22" s="11">
        <v>283.58893</v>
      </c>
      <c r="R22" s="11">
        <v>8820</v>
      </c>
      <c r="S22" s="11">
        <v>278.04000000000002</v>
      </c>
      <c r="T22" s="11">
        <f t="shared" si="1"/>
        <v>5.5489299999999844</v>
      </c>
      <c r="AI22" s="11">
        <v>284.63110999999998</v>
      </c>
      <c r="AJ22" s="11">
        <v>8820</v>
      </c>
      <c r="AK22" s="11">
        <v>278.07</v>
      </c>
      <c r="AL22" s="11">
        <f t="shared" si="2"/>
        <v>6.5611099999999851</v>
      </c>
      <c r="AO22" s="11">
        <v>283.87621999999999</v>
      </c>
      <c r="AP22" s="11">
        <v>8792</v>
      </c>
      <c r="AQ22" s="11">
        <v>278.67</v>
      </c>
      <c r="AR22" s="11">
        <f t="shared" si="3"/>
        <v>5.2062199999999734</v>
      </c>
      <c r="BB22" s="11">
        <v>280.12518999999998</v>
      </c>
      <c r="BC22" s="11">
        <v>9779</v>
      </c>
      <c r="BD22" s="11">
        <v>273.06</v>
      </c>
      <c r="BE22" s="11">
        <f t="shared" si="5"/>
        <v>7.0651899999999728</v>
      </c>
      <c r="BZ22" s="11">
        <v>284.68704000000002</v>
      </c>
      <c r="CA22" s="11">
        <v>8822</v>
      </c>
      <c r="CB22" s="11">
        <v>276.54000000000002</v>
      </c>
      <c r="CC22" s="11">
        <f t="shared" si="7"/>
        <v>8.1470400000000041</v>
      </c>
      <c r="CF22" s="11">
        <v>286.47958999999997</v>
      </c>
      <c r="CG22" s="11">
        <v>8819</v>
      </c>
      <c r="CH22" s="11">
        <v>282.79000000000002</v>
      </c>
      <c r="CI22" s="11">
        <f t="shared" si="8"/>
        <v>3.6895899999999529</v>
      </c>
    </row>
  </sheetData>
  <mergeCells count="18">
    <mergeCell ref="DD1:DG1"/>
    <mergeCell ref="AU1:AX1"/>
    <mergeCell ref="BB1:BE1"/>
    <mergeCell ref="BH1:BK1"/>
    <mergeCell ref="BN1:BQ1"/>
    <mergeCell ref="BT1:BW1"/>
    <mergeCell ref="BZ1:CC1"/>
    <mergeCell ref="CF1:CI1"/>
    <mergeCell ref="AI1:AL1"/>
    <mergeCell ref="AO1:AR1"/>
    <mergeCell ref="CL1:CO1"/>
    <mergeCell ref="CR1:CU1"/>
    <mergeCell ref="CX1:DA1"/>
    <mergeCell ref="E1:H1"/>
    <mergeCell ref="K1:N1"/>
    <mergeCell ref="Q1:T1"/>
    <mergeCell ref="W1:Z1"/>
    <mergeCell ref="AC1:A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/>
  </sheetViews>
  <sheetFormatPr defaultColWidth="11.19921875" defaultRowHeight="15" customHeight="1"/>
  <cols>
    <col min="1" max="3" width="11.09765625" customWidth="1"/>
    <col min="4" max="4" width="11.69921875" customWidth="1"/>
    <col min="5" max="26" width="11.09765625" customWidth="1"/>
  </cols>
  <sheetData>
    <row r="1" spans="1:15" ht="15" customHeight="1">
      <c r="A1" s="1" t="s">
        <v>70</v>
      </c>
      <c r="E1" s="8" t="s">
        <v>27</v>
      </c>
      <c r="F1" s="133" t="s">
        <v>71</v>
      </c>
      <c r="G1" s="134"/>
      <c r="H1" s="134"/>
      <c r="I1" s="135"/>
      <c r="K1" s="8" t="s">
        <v>27</v>
      </c>
      <c r="L1" s="133" t="s">
        <v>72</v>
      </c>
      <c r="M1" s="134"/>
      <c r="N1" s="134"/>
      <c r="O1" s="135"/>
    </row>
    <row r="2" spans="1:15" ht="15" customHeight="1">
      <c r="A2" s="1" t="s">
        <v>73</v>
      </c>
    </row>
    <row r="3" spans="1:15" ht="15" customHeight="1">
      <c r="A3" s="1" t="s">
        <v>74</v>
      </c>
      <c r="F3" s="3" t="s">
        <v>10</v>
      </c>
      <c r="G3" s="3" t="s">
        <v>11</v>
      </c>
      <c r="H3" s="3" t="s">
        <v>12</v>
      </c>
      <c r="I3" s="4" t="s">
        <v>75</v>
      </c>
      <c r="L3" s="3" t="s">
        <v>10</v>
      </c>
      <c r="M3" s="3" t="s">
        <v>11</v>
      </c>
      <c r="N3" s="3" t="s">
        <v>12</v>
      </c>
      <c r="O3" s="4" t="s">
        <v>76</v>
      </c>
    </row>
    <row r="4" spans="1:15" ht="15" customHeight="1">
      <c r="E4" s="8" t="s">
        <v>22</v>
      </c>
      <c r="F4" s="11">
        <v>288.25913000000003</v>
      </c>
      <c r="G4" s="11">
        <v>301</v>
      </c>
      <c r="H4" s="11">
        <v>282.57</v>
      </c>
      <c r="I4" s="11">
        <f t="shared" ref="I4:I17" si="0">F4-H4</f>
        <v>5.6891300000000342</v>
      </c>
      <c r="K4" s="8" t="s">
        <v>23</v>
      </c>
      <c r="L4" s="11">
        <v>287.17917</v>
      </c>
      <c r="M4" s="11">
        <v>301</v>
      </c>
      <c r="N4" s="11">
        <v>282.23</v>
      </c>
      <c r="O4" s="11">
        <f t="shared" ref="O4:O15" si="1">L4-N4</f>
        <v>4.949169999999981</v>
      </c>
    </row>
    <row r="5" spans="1:15" ht="15" customHeight="1">
      <c r="F5" s="11">
        <v>288.56207999999998</v>
      </c>
      <c r="G5" s="11">
        <v>773</v>
      </c>
      <c r="H5" s="11">
        <v>282.92</v>
      </c>
      <c r="I5" s="11">
        <f t="shared" si="0"/>
        <v>5.6420799999999645</v>
      </c>
      <c r="L5" s="11">
        <v>287.29304000000002</v>
      </c>
      <c r="M5" s="11">
        <v>771</v>
      </c>
      <c r="N5" s="11">
        <v>282.85000000000002</v>
      </c>
      <c r="O5" s="11">
        <f t="shared" si="1"/>
        <v>4.4430399999999963</v>
      </c>
    </row>
    <row r="6" spans="1:15" ht="15" customHeight="1">
      <c r="F6" s="11">
        <v>288.31666999999999</v>
      </c>
      <c r="G6" s="11">
        <v>1247</v>
      </c>
      <c r="H6" s="11">
        <v>282.79000000000002</v>
      </c>
      <c r="I6" s="11">
        <f t="shared" si="0"/>
        <v>5.5266699999999673</v>
      </c>
      <c r="L6" s="11">
        <v>287.30086999999997</v>
      </c>
      <c r="M6" s="11">
        <v>1248</v>
      </c>
      <c r="N6" s="11">
        <v>282.95</v>
      </c>
      <c r="O6" s="11">
        <f t="shared" si="1"/>
        <v>4.3508699999999862</v>
      </c>
    </row>
    <row r="7" spans="1:15" ht="15" customHeight="1">
      <c r="F7" s="11">
        <v>288.48791999999997</v>
      </c>
      <c r="G7" s="11">
        <v>1721</v>
      </c>
      <c r="H7" s="11">
        <v>282.79000000000002</v>
      </c>
      <c r="I7" s="11">
        <f t="shared" si="0"/>
        <v>5.6979199999999537</v>
      </c>
      <c r="L7" s="11">
        <v>287.09417000000002</v>
      </c>
      <c r="M7" s="11">
        <v>1721</v>
      </c>
      <c r="N7" s="11">
        <v>282.63</v>
      </c>
      <c r="O7" s="11">
        <f t="shared" si="1"/>
        <v>4.4641700000000242</v>
      </c>
    </row>
    <row r="8" spans="1:15" ht="15" customHeight="1">
      <c r="F8" s="11">
        <v>288.64499999999998</v>
      </c>
      <c r="G8" s="11">
        <v>2193</v>
      </c>
      <c r="H8" s="11">
        <v>283.2</v>
      </c>
      <c r="I8" s="11">
        <f t="shared" si="0"/>
        <v>5.4449999999999932</v>
      </c>
      <c r="L8" s="11">
        <v>286.90348</v>
      </c>
      <c r="M8" s="11">
        <v>2193</v>
      </c>
      <c r="N8" s="11">
        <v>282.92</v>
      </c>
      <c r="O8" s="11">
        <f t="shared" si="1"/>
        <v>3.9834799999999859</v>
      </c>
    </row>
    <row r="9" spans="1:15" ht="15" customHeight="1">
      <c r="F9" s="11">
        <v>288.05347999999998</v>
      </c>
      <c r="G9" s="11">
        <v>2668</v>
      </c>
      <c r="H9" s="11">
        <v>282.35000000000002</v>
      </c>
      <c r="I9" s="11">
        <f t="shared" si="0"/>
        <v>5.7034799999999564</v>
      </c>
      <c r="L9" s="11">
        <v>287.14832999999999</v>
      </c>
      <c r="M9" s="11">
        <v>2667</v>
      </c>
      <c r="N9" s="11">
        <v>282.89</v>
      </c>
      <c r="O9" s="11">
        <f t="shared" si="1"/>
        <v>4.2583300000000008</v>
      </c>
    </row>
    <row r="10" spans="1:15" ht="15" customHeight="1">
      <c r="F10" s="11">
        <v>288.55707999999998</v>
      </c>
      <c r="G10" s="11">
        <v>3142</v>
      </c>
      <c r="H10" s="11">
        <v>282.66000000000003</v>
      </c>
      <c r="I10" s="11">
        <f t="shared" si="0"/>
        <v>5.8970799999999599</v>
      </c>
      <c r="L10" s="11">
        <v>286.27832999999998</v>
      </c>
      <c r="M10" s="11">
        <v>3249</v>
      </c>
      <c r="N10" s="11">
        <v>283.7</v>
      </c>
      <c r="O10" s="11">
        <f t="shared" si="1"/>
        <v>2.578329999999994</v>
      </c>
    </row>
    <row r="11" spans="1:15" ht="15" customHeight="1">
      <c r="F11" s="11">
        <v>288.18875000000003</v>
      </c>
      <c r="G11" s="11">
        <v>3613</v>
      </c>
      <c r="H11" s="11">
        <v>282.76</v>
      </c>
      <c r="I11" s="11">
        <f t="shared" si="0"/>
        <v>5.4287500000000364</v>
      </c>
      <c r="L11" s="11">
        <v>286.74167</v>
      </c>
      <c r="M11" s="11">
        <v>3723</v>
      </c>
      <c r="N11" s="11">
        <v>284.51</v>
      </c>
      <c r="O11" s="11">
        <f t="shared" si="1"/>
        <v>2.2316700000000083</v>
      </c>
    </row>
    <row r="12" spans="1:15" ht="15" customHeight="1">
      <c r="F12" s="11">
        <v>287.17917</v>
      </c>
      <c r="G12" s="11">
        <v>4088</v>
      </c>
      <c r="H12" s="11">
        <v>282.23</v>
      </c>
      <c r="I12" s="11">
        <f t="shared" si="0"/>
        <v>4.949169999999981</v>
      </c>
      <c r="L12" s="11">
        <v>286.85043000000002</v>
      </c>
      <c r="M12" s="11">
        <v>4197</v>
      </c>
      <c r="N12" s="11">
        <v>284.76</v>
      </c>
      <c r="O12" s="11">
        <f t="shared" si="1"/>
        <v>2.0904300000000262</v>
      </c>
    </row>
    <row r="13" spans="1:15" ht="15" customHeight="1">
      <c r="E13" s="8" t="s">
        <v>23</v>
      </c>
      <c r="F13" s="11">
        <v>287.29304000000002</v>
      </c>
      <c r="G13" s="11">
        <v>4558</v>
      </c>
      <c r="H13" s="11">
        <v>282.85000000000002</v>
      </c>
      <c r="I13" s="11">
        <f t="shared" si="0"/>
        <v>4.4430399999999963</v>
      </c>
      <c r="K13" s="8" t="s">
        <v>24</v>
      </c>
      <c r="L13" s="11">
        <v>286.99207999999999</v>
      </c>
      <c r="M13" s="11">
        <v>4670</v>
      </c>
      <c r="N13" s="11">
        <v>284.75</v>
      </c>
      <c r="O13" s="11">
        <f t="shared" si="1"/>
        <v>2.2420799999999872</v>
      </c>
    </row>
    <row r="14" spans="1:15" ht="15" customHeight="1">
      <c r="F14" s="11">
        <v>287.30086999999997</v>
      </c>
      <c r="G14" s="11">
        <v>5035</v>
      </c>
      <c r="H14" s="11">
        <v>282.95</v>
      </c>
      <c r="I14" s="11">
        <f t="shared" si="0"/>
        <v>4.3508699999999862</v>
      </c>
      <c r="L14" s="11">
        <v>287.23833000000002</v>
      </c>
      <c r="M14" s="11">
        <v>5243</v>
      </c>
      <c r="N14" s="11">
        <v>284.95</v>
      </c>
      <c r="O14" s="11">
        <f t="shared" si="1"/>
        <v>2.2883300000000304</v>
      </c>
    </row>
    <row r="15" spans="1:15" ht="15" customHeight="1">
      <c r="F15" s="11">
        <v>287.09417000000002</v>
      </c>
      <c r="G15" s="11">
        <v>5508</v>
      </c>
      <c r="H15" s="11">
        <v>282.63</v>
      </c>
      <c r="I15" s="11">
        <f t="shared" si="0"/>
        <v>4.4641700000000242</v>
      </c>
      <c r="L15" s="11">
        <v>287.57477999999998</v>
      </c>
      <c r="M15" s="11">
        <v>5615</v>
      </c>
      <c r="N15" s="11">
        <v>285.14</v>
      </c>
      <c r="O15" s="11">
        <f t="shared" si="1"/>
        <v>2.4347799999999893</v>
      </c>
    </row>
    <row r="16" spans="1:15" ht="15" customHeight="1">
      <c r="F16" s="11">
        <v>286.90348</v>
      </c>
      <c r="G16" s="11">
        <v>5980</v>
      </c>
      <c r="H16" s="11">
        <v>282.92</v>
      </c>
      <c r="I16" s="11">
        <f t="shared" si="0"/>
        <v>3.9834799999999859</v>
      </c>
    </row>
    <row r="17" spans="6:9" ht="15" customHeight="1">
      <c r="F17" s="11">
        <v>287.14832999999999</v>
      </c>
      <c r="G17" s="11">
        <v>6454</v>
      </c>
      <c r="H17" s="11">
        <v>282.89</v>
      </c>
      <c r="I17" s="11">
        <f t="shared" si="0"/>
        <v>4.2583300000000008</v>
      </c>
    </row>
  </sheetData>
  <mergeCells count="2">
    <mergeCell ref="F1:I1"/>
    <mergeCell ref="L1:O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7"/>
  <sheetViews>
    <sheetView workbookViewId="0"/>
  </sheetViews>
  <sheetFormatPr defaultColWidth="11.19921875" defaultRowHeight="15" customHeight="1"/>
  <cols>
    <col min="1" max="45" width="8.59765625" customWidth="1"/>
  </cols>
  <sheetData>
    <row r="1" spans="1:34" ht="15" customHeight="1">
      <c r="A1" s="1" t="s">
        <v>77</v>
      </c>
      <c r="F1" s="2"/>
      <c r="G1" s="136" t="s">
        <v>78</v>
      </c>
      <c r="H1" s="134"/>
      <c r="I1" s="134"/>
      <c r="J1" s="135"/>
      <c r="K1" s="2"/>
      <c r="L1" s="2"/>
      <c r="M1" s="136" t="s">
        <v>79</v>
      </c>
      <c r="N1" s="134"/>
      <c r="O1" s="134"/>
      <c r="P1" s="135"/>
      <c r="R1" s="2"/>
      <c r="S1" s="136" t="s">
        <v>80</v>
      </c>
      <c r="T1" s="134"/>
      <c r="U1" s="134"/>
      <c r="V1" s="135"/>
      <c r="X1" s="8" t="s">
        <v>27</v>
      </c>
      <c r="Y1" s="133" t="s">
        <v>81</v>
      </c>
      <c r="Z1" s="134"/>
      <c r="AA1" s="134"/>
      <c r="AB1" s="135"/>
      <c r="AD1" s="8" t="s">
        <v>27</v>
      </c>
      <c r="AE1" s="133" t="s">
        <v>82</v>
      </c>
      <c r="AF1" s="134"/>
      <c r="AG1" s="134"/>
      <c r="AH1" s="135"/>
    </row>
    <row r="2" spans="1:34" ht="15" customHeight="1">
      <c r="A2" s="1" t="s">
        <v>83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2"/>
      <c r="S2" s="2"/>
      <c r="T2" s="2"/>
      <c r="U2" s="2"/>
      <c r="V2" s="2"/>
    </row>
    <row r="3" spans="1:34" ht="15" customHeight="1">
      <c r="A3" s="1" t="s">
        <v>84</v>
      </c>
      <c r="F3" s="2"/>
      <c r="G3" s="5" t="s">
        <v>10</v>
      </c>
      <c r="H3" s="6" t="s">
        <v>11</v>
      </c>
      <c r="I3" s="6" t="s">
        <v>12</v>
      </c>
      <c r="J3" s="6" t="s">
        <v>85</v>
      </c>
      <c r="K3" s="2"/>
      <c r="L3" s="2"/>
      <c r="M3" s="5" t="s">
        <v>10</v>
      </c>
      <c r="N3" s="6" t="s">
        <v>11</v>
      </c>
      <c r="O3" s="6" t="s">
        <v>12</v>
      </c>
      <c r="P3" s="36" t="s">
        <v>85</v>
      </c>
      <c r="R3" s="2"/>
      <c r="S3" s="5" t="s">
        <v>10</v>
      </c>
      <c r="T3" s="6" t="s">
        <v>11</v>
      </c>
      <c r="U3" s="6" t="s">
        <v>12</v>
      </c>
      <c r="V3" s="36" t="s">
        <v>85</v>
      </c>
      <c r="Y3" s="3" t="s">
        <v>10</v>
      </c>
      <c r="Z3" s="3" t="s">
        <v>11</v>
      </c>
      <c r="AA3" s="3" t="s">
        <v>12</v>
      </c>
      <c r="AB3" s="4" t="s">
        <v>86</v>
      </c>
      <c r="AE3" s="3" t="s">
        <v>10</v>
      </c>
      <c r="AF3" s="3" t="s">
        <v>11</v>
      </c>
      <c r="AG3" s="3" t="s">
        <v>12</v>
      </c>
      <c r="AH3" s="4" t="s">
        <v>87</v>
      </c>
    </row>
    <row r="4" spans="1:34" ht="15" customHeight="1">
      <c r="F4" s="2" t="s">
        <v>65</v>
      </c>
      <c r="G4" s="37">
        <v>285.5308</v>
      </c>
      <c r="H4" s="38">
        <v>301</v>
      </c>
      <c r="I4" s="38">
        <v>276.72000000000003</v>
      </c>
      <c r="J4" s="38">
        <v>8.8108299999999993</v>
      </c>
      <c r="K4" s="2"/>
      <c r="L4" s="2" t="s">
        <v>22</v>
      </c>
      <c r="M4" s="37">
        <v>285.39879999999999</v>
      </c>
      <c r="N4" s="38">
        <v>301</v>
      </c>
      <c r="O4" s="38">
        <v>278.7</v>
      </c>
      <c r="P4" s="39">
        <v>6.6987500000000004</v>
      </c>
      <c r="Q4" s="8"/>
      <c r="R4" s="2" t="s">
        <v>66</v>
      </c>
      <c r="S4" s="37">
        <v>284.71749999999997</v>
      </c>
      <c r="T4" s="38">
        <v>301</v>
      </c>
      <c r="U4" s="38">
        <v>277.87</v>
      </c>
      <c r="V4" s="39">
        <v>6.8475000000000001</v>
      </c>
      <c r="W4" s="8"/>
      <c r="X4" s="40" t="s">
        <v>65</v>
      </c>
      <c r="Y4" s="41">
        <v>287.48421000000002</v>
      </c>
      <c r="Z4" s="41">
        <v>360</v>
      </c>
      <c r="AA4" s="41">
        <v>281.5</v>
      </c>
      <c r="AB4" s="41">
        <f t="shared" ref="AB4:AB15" si="0">Y4-AA4</f>
        <v>5.9842100000000187</v>
      </c>
      <c r="AD4" s="3" t="s">
        <v>22</v>
      </c>
      <c r="AE4" s="41">
        <v>286.40965999999997</v>
      </c>
      <c r="AF4" s="41">
        <v>316</v>
      </c>
      <c r="AG4" s="41">
        <v>281.63</v>
      </c>
      <c r="AH4" s="41">
        <f t="shared" ref="AH4:AH17" si="1">AE4-AG4</f>
        <v>4.7796599999999785</v>
      </c>
    </row>
    <row r="5" spans="1:34" ht="15" customHeight="1">
      <c r="F5" s="2"/>
      <c r="G5" s="37">
        <v>285.55040000000002</v>
      </c>
      <c r="H5" s="38">
        <v>776</v>
      </c>
      <c r="I5" s="38">
        <v>276.89</v>
      </c>
      <c r="J5" s="38">
        <v>8.6604200000000002</v>
      </c>
      <c r="K5" s="2"/>
      <c r="L5" s="2"/>
      <c r="M5" s="37">
        <v>285.39879999999999</v>
      </c>
      <c r="N5" s="38">
        <v>774</v>
      </c>
      <c r="O5" s="38">
        <v>278.67</v>
      </c>
      <c r="P5" s="39">
        <v>6.7287499999999998</v>
      </c>
      <c r="Q5" s="8"/>
      <c r="R5" s="2"/>
      <c r="S5" s="37">
        <v>284.91329999999999</v>
      </c>
      <c r="T5" s="38">
        <v>775</v>
      </c>
      <c r="U5" s="38">
        <v>277.82</v>
      </c>
      <c r="V5" s="39">
        <v>7.0933299999999999</v>
      </c>
      <c r="W5" s="8"/>
      <c r="X5" s="40"/>
      <c r="Y5" s="41">
        <v>287.45121</v>
      </c>
      <c r="Z5" s="41">
        <v>834</v>
      </c>
      <c r="AA5" s="41">
        <v>281.67000999999999</v>
      </c>
      <c r="AB5" s="41">
        <f t="shared" si="0"/>
        <v>5.7812000000000126</v>
      </c>
      <c r="AD5" s="3"/>
      <c r="AE5" s="41">
        <v>286.44666999999998</v>
      </c>
      <c r="AF5" s="41">
        <v>792</v>
      </c>
      <c r="AG5" s="41">
        <v>281.57001000000002</v>
      </c>
      <c r="AH5" s="41">
        <f t="shared" si="1"/>
        <v>4.8766599999999585</v>
      </c>
    </row>
    <row r="6" spans="1:34" ht="15" customHeight="1">
      <c r="F6" s="2"/>
      <c r="G6" s="42">
        <v>285.57960000000003</v>
      </c>
      <c r="H6" s="38">
        <v>1248</v>
      </c>
      <c r="I6" s="38">
        <v>277.23</v>
      </c>
      <c r="J6" s="38">
        <v>8.3495799999999996</v>
      </c>
      <c r="K6" s="2"/>
      <c r="L6" s="2"/>
      <c r="M6" s="37">
        <v>285.36959999999999</v>
      </c>
      <c r="N6" s="38">
        <v>1248</v>
      </c>
      <c r="O6" s="38">
        <v>279.23</v>
      </c>
      <c r="P6" s="39">
        <v>6.13957</v>
      </c>
      <c r="Q6" s="8"/>
      <c r="R6" s="2"/>
      <c r="S6" s="37">
        <v>285.04579999999999</v>
      </c>
      <c r="T6" s="38">
        <v>1247</v>
      </c>
      <c r="U6" s="38">
        <v>277.64</v>
      </c>
      <c r="V6" s="39">
        <v>7.4058400000000004</v>
      </c>
      <c r="W6" s="8"/>
      <c r="X6" s="40"/>
      <c r="Y6" s="41">
        <v>287.32175000000001</v>
      </c>
      <c r="Z6" s="41">
        <v>1306</v>
      </c>
      <c r="AA6" s="41">
        <v>281.70999</v>
      </c>
      <c r="AB6" s="41">
        <f t="shared" si="0"/>
        <v>5.6117600000000039</v>
      </c>
      <c r="AD6" s="3"/>
      <c r="AE6" s="41">
        <v>286.37157999999999</v>
      </c>
      <c r="AF6" s="41">
        <v>18830</v>
      </c>
      <c r="AG6" s="41">
        <v>281.58999999999997</v>
      </c>
      <c r="AH6" s="41">
        <f t="shared" si="1"/>
        <v>4.7815800000000195</v>
      </c>
    </row>
    <row r="7" spans="1:34" ht="15" customHeight="1">
      <c r="F7" s="2"/>
      <c r="G7" s="43">
        <v>285.63830000000002</v>
      </c>
      <c r="H7" s="38">
        <v>1722</v>
      </c>
      <c r="I7" s="38">
        <v>276.85000000000002</v>
      </c>
      <c r="J7" s="38">
        <v>8.7883300000000002</v>
      </c>
      <c r="K7" s="2"/>
      <c r="L7" s="2"/>
      <c r="M7" s="37">
        <v>285.49040000000002</v>
      </c>
      <c r="N7" s="38">
        <v>1720</v>
      </c>
      <c r="O7" s="38">
        <v>278.81</v>
      </c>
      <c r="P7" s="39">
        <v>6.6804199999999998</v>
      </c>
      <c r="Q7" s="8"/>
      <c r="R7" s="2"/>
      <c r="S7" s="37">
        <v>285.05579999999998</v>
      </c>
      <c r="T7" s="38">
        <v>1721</v>
      </c>
      <c r="U7" s="38">
        <v>277.57</v>
      </c>
      <c r="V7" s="39">
        <v>7.48583</v>
      </c>
      <c r="W7" s="8"/>
      <c r="X7" s="40"/>
      <c r="Y7" s="41">
        <v>287.44983000000002</v>
      </c>
      <c r="Z7" s="41">
        <v>1780</v>
      </c>
      <c r="AA7" s="41">
        <v>281.63</v>
      </c>
      <c r="AB7" s="41">
        <f t="shared" si="0"/>
        <v>5.8198300000000245</v>
      </c>
      <c r="AD7" s="3"/>
      <c r="AE7" s="41">
        <v>286.45841999999999</v>
      </c>
      <c r="AF7" s="41">
        <v>19301</v>
      </c>
      <c r="AG7" s="41">
        <v>281.60998999999998</v>
      </c>
      <c r="AH7" s="41">
        <f t="shared" si="1"/>
        <v>4.8484300000000076</v>
      </c>
    </row>
    <row r="8" spans="1:34" ht="15" customHeight="1">
      <c r="F8" s="2"/>
      <c r="G8" s="37">
        <v>285.55709999999999</v>
      </c>
      <c r="H8" s="38">
        <v>2196</v>
      </c>
      <c r="I8" s="38">
        <v>277.2</v>
      </c>
      <c r="J8" s="38">
        <v>8.3570799999999998</v>
      </c>
      <c r="K8" s="2"/>
      <c r="L8" s="2"/>
      <c r="M8" s="37">
        <v>285.35879999999997</v>
      </c>
      <c r="N8" s="38">
        <v>2195</v>
      </c>
      <c r="O8" s="38">
        <v>278.85000000000002</v>
      </c>
      <c r="P8" s="39">
        <v>6.50875</v>
      </c>
      <c r="Q8" s="8"/>
      <c r="R8" s="2"/>
      <c r="S8" s="37">
        <v>285.16079999999999</v>
      </c>
      <c r="T8" s="38">
        <v>2194</v>
      </c>
      <c r="U8" s="38">
        <v>277.89</v>
      </c>
      <c r="V8" s="39">
        <v>7.2708300000000001</v>
      </c>
      <c r="W8" s="8"/>
      <c r="X8" s="40"/>
      <c r="Y8" s="41">
        <v>287.37403999999998</v>
      </c>
      <c r="Z8" s="41">
        <v>2253</v>
      </c>
      <c r="AA8" s="41">
        <v>281.63</v>
      </c>
      <c r="AB8" s="41">
        <f t="shared" si="0"/>
        <v>5.744039999999984</v>
      </c>
      <c r="AD8" s="3"/>
      <c r="AE8" s="41">
        <v>286.50578999999999</v>
      </c>
      <c r="AF8" s="41">
        <v>19778</v>
      </c>
      <c r="AG8" s="41">
        <v>281.5</v>
      </c>
      <c r="AH8" s="41">
        <f t="shared" si="1"/>
        <v>5.0057899999999904</v>
      </c>
    </row>
    <row r="9" spans="1:34" ht="15" customHeight="1">
      <c r="F9" s="2"/>
      <c r="G9" s="37">
        <v>285.68130000000002</v>
      </c>
      <c r="H9" s="38">
        <v>2668</v>
      </c>
      <c r="I9" s="38">
        <v>277.51</v>
      </c>
      <c r="J9" s="38">
        <v>8.1712500000000006</v>
      </c>
      <c r="K9" s="2"/>
      <c r="L9" s="2"/>
      <c r="M9" s="37">
        <v>285.39249999999998</v>
      </c>
      <c r="N9" s="38">
        <v>2668</v>
      </c>
      <c r="O9" s="38">
        <v>279.12</v>
      </c>
      <c r="P9" s="39">
        <v>6.2725</v>
      </c>
      <c r="Q9" s="8"/>
      <c r="R9" s="2"/>
      <c r="S9" s="37">
        <v>285.3646</v>
      </c>
      <c r="T9" s="38">
        <v>2668</v>
      </c>
      <c r="U9" s="38">
        <v>278.47000000000003</v>
      </c>
      <c r="V9" s="39">
        <v>6.8945800000000004</v>
      </c>
      <c r="W9" s="8"/>
      <c r="X9" s="40"/>
      <c r="Y9" s="41">
        <v>287.13224000000002</v>
      </c>
      <c r="Z9" s="41">
        <v>2728</v>
      </c>
      <c r="AA9" s="41">
        <v>281.23000999999999</v>
      </c>
      <c r="AB9" s="41">
        <f t="shared" si="0"/>
        <v>5.9022300000000314</v>
      </c>
      <c r="AD9" s="3"/>
      <c r="AE9" s="41">
        <v>286.42707000000001</v>
      </c>
      <c r="AF9" s="41">
        <v>20248</v>
      </c>
      <c r="AG9" s="41">
        <v>281.35998999999998</v>
      </c>
      <c r="AH9" s="41">
        <f t="shared" si="1"/>
        <v>5.0670800000000327</v>
      </c>
    </row>
    <row r="10" spans="1:34" ht="15" customHeight="1">
      <c r="F10" s="2" t="s">
        <v>22</v>
      </c>
      <c r="G10" s="44">
        <v>285.23880000000003</v>
      </c>
      <c r="H10" s="45">
        <v>3140</v>
      </c>
      <c r="I10" s="45">
        <v>278.10000000000002</v>
      </c>
      <c r="J10" s="45">
        <v>7.1387499999999999</v>
      </c>
      <c r="K10" s="2"/>
      <c r="L10" s="2" t="s">
        <v>24</v>
      </c>
      <c r="M10" s="44">
        <v>284.79379999999998</v>
      </c>
      <c r="N10" s="45">
        <v>3141</v>
      </c>
      <c r="O10" s="45">
        <v>281.23</v>
      </c>
      <c r="P10" s="46">
        <v>3.5637500000000002</v>
      </c>
      <c r="Q10" s="8"/>
      <c r="R10" s="2" t="s">
        <v>67</v>
      </c>
      <c r="S10" s="44">
        <v>284.49169999999998</v>
      </c>
      <c r="T10" s="45">
        <v>3141</v>
      </c>
      <c r="U10" s="45">
        <v>277.72000000000003</v>
      </c>
      <c r="V10" s="46">
        <v>6.7716700000000003</v>
      </c>
      <c r="W10" s="8"/>
      <c r="X10" s="40" t="s">
        <v>22</v>
      </c>
      <c r="Y10" s="41">
        <v>286.40965999999997</v>
      </c>
      <c r="Z10" s="41">
        <v>3200</v>
      </c>
      <c r="AA10" s="41">
        <v>281.63</v>
      </c>
      <c r="AB10" s="41">
        <f t="shared" si="0"/>
        <v>4.7796599999999785</v>
      </c>
      <c r="AD10" s="3" t="s">
        <v>24</v>
      </c>
      <c r="AE10" s="3">
        <v>285.48604</v>
      </c>
      <c r="AF10" s="3">
        <v>20722</v>
      </c>
      <c r="AG10" s="3">
        <v>282.13</v>
      </c>
      <c r="AH10" s="3">
        <f t="shared" si="1"/>
        <v>3.3560400000000072</v>
      </c>
    </row>
    <row r="11" spans="1:34" ht="15" customHeight="1">
      <c r="F11" s="2"/>
      <c r="G11" s="37">
        <v>285.39879999999999</v>
      </c>
      <c r="H11" s="38">
        <v>3615</v>
      </c>
      <c r="I11" s="38">
        <v>278.7</v>
      </c>
      <c r="J11" s="38">
        <v>6.6987500000000004</v>
      </c>
      <c r="K11" s="2"/>
      <c r="L11" s="2"/>
      <c r="M11" s="37">
        <v>284.89479999999998</v>
      </c>
      <c r="N11" s="38">
        <v>3613</v>
      </c>
      <c r="O11" s="38">
        <v>282.23</v>
      </c>
      <c r="P11" s="39">
        <v>2.6647799999999999</v>
      </c>
      <c r="Q11" s="8"/>
      <c r="R11" s="2"/>
      <c r="S11" s="37">
        <v>284.89460000000003</v>
      </c>
      <c r="T11" s="38">
        <v>3614</v>
      </c>
      <c r="U11" s="38">
        <v>278.64</v>
      </c>
      <c r="V11" s="39">
        <v>6.2545900000000003</v>
      </c>
      <c r="W11" s="8"/>
      <c r="X11" s="40"/>
      <c r="Y11" s="41">
        <v>286.44666999999998</v>
      </c>
      <c r="Z11" s="41">
        <v>3676</v>
      </c>
      <c r="AA11" s="41">
        <v>281.57001000000002</v>
      </c>
      <c r="AB11" s="41">
        <f t="shared" si="0"/>
        <v>4.8766599999999585</v>
      </c>
      <c r="AD11" s="3"/>
      <c r="AE11" s="3">
        <v>285.34350999999998</v>
      </c>
      <c r="AF11" s="3">
        <v>21194</v>
      </c>
      <c r="AG11" s="3">
        <v>282.33999999999997</v>
      </c>
      <c r="AH11" s="3">
        <f t="shared" si="1"/>
        <v>3.0035100000000057</v>
      </c>
    </row>
    <row r="12" spans="1:34" ht="15" customHeight="1">
      <c r="F12" s="2"/>
      <c r="G12" s="37">
        <v>285.39879999999999</v>
      </c>
      <c r="H12" s="38">
        <v>4088</v>
      </c>
      <c r="I12" s="38">
        <v>278.67</v>
      </c>
      <c r="J12" s="38">
        <v>6.7287499999999998</v>
      </c>
      <c r="K12" s="2"/>
      <c r="L12" s="2"/>
      <c r="M12" s="37">
        <v>284.93669999999997</v>
      </c>
      <c r="N12" s="38">
        <v>4087</v>
      </c>
      <c r="O12" s="38">
        <v>282.22000000000003</v>
      </c>
      <c r="P12" s="39">
        <v>2.7166700000000001</v>
      </c>
      <c r="Q12" s="8"/>
      <c r="R12" s="2"/>
      <c r="S12" s="37">
        <v>285.04419999999999</v>
      </c>
      <c r="T12" s="38">
        <v>4087</v>
      </c>
      <c r="U12" s="38">
        <v>279.39</v>
      </c>
      <c r="V12" s="39">
        <v>5.6541699999999997</v>
      </c>
      <c r="W12" s="8"/>
      <c r="X12" s="40"/>
      <c r="Y12" s="41">
        <v>286.37157999999999</v>
      </c>
      <c r="Z12" s="41">
        <v>4150</v>
      </c>
      <c r="AA12" s="41">
        <v>281.58999999999997</v>
      </c>
      <c r="AB12" s="41">
        <f t="shared" si="0"/>
        <v>4.7815800000000195</v>
      </c>
      <c r="AD12" s="3"/>
      <c r="AE12" s="41">
        <v>285.27879999999999</v>
      </c>
      <c r="AF12" s="41">
        <v>21668</v>
      </c>
      <c r="AG12" s="41">
        <v>282.48998999999998</v>
      </c>
      <c r="AH12" s="41">
        <f t="shared" si="1"/>
        <v>2.7888100000000122</v>
      </c>
    </row>
    <row r="13" spans="1:34" ht="15" customHeight="1">
      <c r="F13" s="2"/>
      <c r="G13" s="37">
        <v>285.36959999999999</v>
      </c>
      <c r="H13" s="38">
        <v>4562</v>
      </c>
      <c r="I13" s="38">
        <v>279.23</v>
      </c>
      <c r="J13" s="38">
        <v>6.13957</v>
      </c>
      <c r="K13" s="2"/>
      <c r="L13" s="2"/>
      <c r="M13" s="37">
        <v>285.06920000000002</v>
      </c>
      <c r="N13" s="38">
        <v>4562</v>
      </c>
      <c r="O13" s="38">
        <v>282.23</v>
      </c>
      <c r="P13" s="39">
        <v>2.8391700000000002</v>
      </c>
      <c r="Q13" s="8"/>
      <c r="R13" s="2"/>
      <c r="S13" s="37">
        <v>285.17630000000003</v>
      </c>
      <c r="T13" s="38">
        <v>4561</v>
      </c>
      <c r="U13" s="38">
        <v>279.10000000000002</v>
      </c>
      <c r="V13" s="39">
        <v>6.0762499999999999</v>
      </c>
      <c r="W13" s="8"/>
      <c r="X13" s="40"/>
      <c r="Y13" s="41">
        <v>286.45841999999999</v>
      </c>
      <c r="Z13" s="41">
        <v>4621</v>
      </c>
      <c r="AA13" s="41">
        <v>281.60998999999998</v>
      </c>
      <c r="AB13" s="41">
        <f t="shared" si="0"/>
        <v>4.8484300000000076</v>
      </c>
      <c r="AD13" s="3"/>
      <c r="AE13" s="41">
        <v>285.14845000000003</v>
      </c>
      <c r="AF13" s="41">
        <v>22141</v>
      </c>
      <c r="AG13" s="41">
        <v>282.39999</v>
      </c>
      <c r="AH13" s="41">
        <f t="shared" si="1"/>
        <v>2.7484600000000228</v>
      </c>
    </row>
    <row r="14" spans="1:34" ht="15" customHeight="1">
      <c r="F14" s="2"/>
      <c r="G14" s="37">
        <v>285.49040000000002</v>
      </c>
      <c r="H14" s="38">
        <v>5034</v>
      </c>
      <c r="I14" s="38">
        <v>278.81</v>
      </c>
      <c r="J14" s="38">
        <v>6.6804199999999998</v>
      </c>
      <c r="K14" s="2"/>
      <c r="L14" s="2"/>
      <c r="M14" s="37">
        <v>285.02210000000002</v>
      </c>
      <c r="N14" s="38">
        <v>5034</v>
      </c>
      <c r="O14" s="38">
        <v>282.38</v>
      </c>
      <c r="P14" s="39">
        <v>2.64208</v>
      </c>
      <c r="Q14" s="8"/>
      <c r="R14" s="2"/>
      <c r="S14" s="37">
        <v>285.26260000000002</v>
      </c>
      <c r="T14" s="38">
        <v>5034</v>
      </c>
      <c r="U14" s="38">
        <v>279.01</v>
      </c>
      <c r="V14" s="39">
        <v>6.2526099999999998</v>
      </c>
      <c r="W14" s="8"/>
      <c r="X14" s="40"/>
      <c r="Y14" s="41">
        <v>286.50578999999999</v>
      </c>
      <c r="Z14" s="41">
        <v>5098</v>
      </c>
      <c r="AA14" s="41">
        <v>281.5</v>
      </c>
      <c r="AB14" s="41">
        <f t="shared" si="0"/>
        <v>5.0057899999999904</v>
      </c>
      <c r="AD14" s="3"/>
      <c r="AE14" s="41">
        <v>285.12632000000002</v>
      </c>
      <c r="AF14" s="41">
        <v>22618</v>
      </c>
      <c r="AG14" s="41">
        <v>282.33999999999997</v>
      </c>
      <c r="AH14" s="41">
        <f t="shared" si="1"/>
        <v>2.7863200000000461</v>
      </c>
    </row>
    <row r="15" spans="1:34" ht="15" customHeight="1">
      <c r="F15" s="2"/>
      <c r="G15" s="37">
        <v>285.35879999999997</v>
      </c>
      <c r="H15" s="38">
        <v>5509</v>
      </c>
      <c r="I15" s="38">
        <v>278.85000000000002</v>
      </c>
      <c r="J15" s="38">
        <v>6.50875</v>
      </c>
      <c r="K15" s="2"/>
      <c r="L15" s="2"/>
      <c r="M15" s="37">
        <v>285.15379999999999</v>
      </c>
      <c r="N15" s="38">
        <v>5506</v>
      </c>
      <c r="O15" s="38">
        <v>282.73</v>
      </c>
      <c r="P15" s="39">
        <v>2.4237500000000001</v>
      </c>
      <c r="Q15" s="8"/>
      <c r="R15" s="2"/>
      <c r="S15" s="37">
        <v>285.4658</v>
      </c>
      <c r="T15" s="38">
        <v>5508</v>
      </c>
      <c r="U15" s="38">
        <v>279.26</v>
      </c>
      <c r="V15" s="39">
        <v>6.2058400000000002</v>
      </c>
      <c r="W15" s="8"/>
      <c r="X15" s="40"/>
      <c r="Y15" s="41">
        <v>286.42707000000001</v>
      </c>
      <c r="Z15" s="41">
        <v>5568</v>
      </c>
      <c r="AA15" s="41">
        <v>281.35998999999998</v>
      </c>
      <c r="AB15" s="41">
        <f t="shared" si="0"/>
        <v>5.0670800000000327</v>
      </c>
      <c r="AD15" s="3"/>
      <c r="AE15" s="41">
        <v>285.01828</v>
      </c>
      <c r="AF15" s="41">
        <v>23090</v>
      </c>
      <c r="AG15" s="41">
        <v>282.26001000000002</v>
      </c>
      <c r="AH15" s="41">
        <f t="shared" si="1"/>
        <v>2.7582699999999818</v>
      </c>
    </row>
    <row r="16" spans="1:34" ht="15" customHeight="1">
      <c r="F16" s="2"/>
      <c r="G16" s="37">
        <v>285.39249999999998</v>
      </c>
      <c r="H16" s="38">
        <v>5982</v>
      </c>
      <c r="I16" s="38">
        <v>279.12</v>
      </c>
      <c r="J16" s="38">
        <v>6.2725</v>
      </c>
      <c r="K16" s="2"/>
      <c r="L16" s="2"/>
      <c r="M16" s="37">
        <v>285.3048</v>
      </c>
      <c r="N16" s="38">
        <v>5982</v>
      </c>
      <c r="O16" s="38">
        <v>282.77999999999997</v>
      </c>
      <c r="P16" s="39">
        <v>2.5247799999999998</v>
      </c>
      <c r="Q16" s="8"/>
      <c r="R16" s="2"/>
      <c r="S16" s="37">
        <v>285.61079999999998</v>
      </c>
      <c r="T16" s="38">
        <v>5982</v>
      </c>
      <c r="U16" s="38">
        <v>279.45</v>
      </c>
      <c r="V16" s="39">
        <v>6.1608299999999998</v>
      </c>
      <c r="AD16" s="3"/>
      <c r="AE16" s="41">
        <v>285.01929999999999</v>
      </c>
      <c r="AF16" s="41">
        <v>23563</v>
      </c>
      <c r="AG16" s="41">
        <v>282.47000000000003</v>
      </c>
      <c r="AH16" s="41">
        <f t="shared" si="1"/>
        <v>2.5492999999999597</v>
      </c>
    </row>
    <row r="17" spans="17:34" ht="15" customHeight="1">
      <c r="Q17" s="8"/>
      <c r="R17" s="2"/>
      <c r="S17" s="37">
        <v>285.79669999999999</v>
      </c>
      <c r="T17" s="38">
        <v>6455</v>
      </c>
      <c r="U17" s="38">
        <v>279.76</v>
      </c>
      <c r="V17" s="39">
        <v>6.03667</v>
      </c>
      <c r="AD17" s="3"/>
      <c r="AE17" s="41">
        <v>285.07776000000001</v>
      </c>
      <c r="AF17" s="41">
        <v>24035</v>
      </c>
      <c r="AG17" s="41">
        <v>282.57001000000002</v>
      </c>
      <c r="AH17" s="41">
        <f t="shared" si="1"/>
        <v>2.5077499999999873</v>
      </c>
    </row>
  </sheetData>
  <mergeCells count="5">
    <mergeCell ref="G1:J1"/>
    <mergeCell ref="M1:P1"/>
    <mergeCell ref="S1:V1"/>
    <mergeCell ref="Y1:AB1"/>
    <mergeCell ref="AE1:AH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5"/>
  <sheetViews>
    <sheetView workbookViewId="0"/>
  </sheetViews>
  <sheetFormatPr defaultColWidth="11.19921875" defaultRowHeight="15" customHeight="1"/>
  <cols>
    <col min="1" max="1" width="25" customWidth="1"/>
    <col min="2" max="2" width="15.69921875" customWidth="1"/>
  </cols>
  <sheetData>
    <row r="1" spans="1:6" ht="15" customHeight="1">
      <c r="A1" s="1" t="s">
        <v>88</v>
      </c>
      <c r="B1" s="8"/>
      <c r="C1" s="137" t="s">
        <v>89</v>
      </c>
      <c r="D1" s="134"/>
      <c r="E1" s="134"/>
      <c r="F1" s="135"/>
    </row>
    <row r="2" spans="1:6" ht="15" customHeight="1">
      <c r="A2" s="1" t="s">
        <v>90</v>
      </c>
      <c r="B2" s="8"/>
      <c r="C2" s="47"/>
      <c r="D2" s="47"/>
      <c r="E2" s="47"/>
      <c r="F2" s="47"/>
    </row>
    <row r="3" spans="1:6" ht="15" customHeight="1">
      <c r="A3" s="48" t="s">
        <v>91</v>
      </c>
      <c r="B3" s="49"/>
      <c r="C3" s="50" t="s">
        <v>10</v>
      </c>
      <c r="D3" s="50" t="s">
        <v>11</v>
      </c>
      <c r="E3" s="50" t="s">
        <v>12</v>
      </c>
      <c r="F3" s="51" t="s">
        <v>92</v>
      </c>
    </row>
    <row r="4" spans="1:6" ht="15" customHeight="1">
      <c r="A4" s="48" t="s">
        <v>93</v>
      </c>
      <c r="B4" s="52" t="s">
        <v>94</v>
      </c>
      <c r="C4" s="53">
        <v>284.24792000000002</v>
      </c>
      <c r="D4" s="53">
        <v>301</v>
      </c>
      <c r="E4" s="53">
        <v>262.82</v>
      </c>
      <c r="F4" s="53">
        <f t="shared" ref="F4:F15" si="0">C4-E4</f>
        <v>21.427920000000029</v>
      </c>
    </row>
    <row r="5" spans="1:6" ht="15" customHeight="1">
      <c r="A5" s="8"/>
      <c r="B5" s="49"/>
      <c r="C5" s="53">
        <v>284.35174000000001</v>
      </c>
      <c r="D5" s="53">
        <v>771</v>
      </c>
      <c r="E5" s="53">
        <v>262.73</v>
      </c>
      <c r="F5" s="53">
        <f t="shared" si="0"/>
        <v>21.621739999999988</v>
      </c>
    </row>
    <row r="6" spans="1:6" ht="15" customHeight="1">
      <c r="A6" s="8"/>
      <c r="B6" s="49"/>
      <c r="C6" s="53">
        <v>284.20875000000001</v>
      </c>
      <c r="D6" s="53">
        <v>1245</v>
      </c>
      <c r="E6" s="53">
        <v>261.64</v>
      </c>
      <c r="F6" s="53">
        <f t="shared" si="0"/>
        <v>22.568750000000023</v>
      </c>
    </row>
    <row r="7" spans="1:6" ht="15" customHeight="1">
      <c r="A7" s="8"/>
      <c r="B7" s="49"/>
      <c r="C7" s="53">
        <v>284.01416999999998</v>
      </c>
      <c r="D7" s="53">
        <v>1720</v>
      </c>
      <c r="E7" s="53">
        <v>262.16000000000003</v>
      </c>
      <c r="F7" s="53">
        <f t="shared" si="0"/>
        <v>21.854169999999954</v>
      </c>
    </row>
    <row r="8" spans="1:6" ht="15" customHeight="1">
      <c r="A8" s="8"/>
      <c r="B8" s="49"/>
      <c r="C8" s="53">
        <v>284.07044000000002</v>
      </c>
      <c r="D8" s="53">
        <v>2193</v>
      </c>
      <c r="E8" s="53">
        <v>262.66000000000003</v>
      </c>
      <c r="F8" s="53">
        <f t="shared" si="0"/>
        <v>21.410439999999994</v>
      </c>
    </row>
    <row r="9" spans="1:6" ht="15" customHeight="1">
      <c r="A9" s="8"/>
      <c r="B9" s="49"/>
      <c r="C9" s="53">
        <v>283.85390999999998</v>
      </c>
      <c r="D9" s="53">
        <v>2665</v>
      </c>
      <c r="E9" s="53">
        <v>262.47000000000003</v>
      </c>
      <c r="F9" s="53">
        <f t="shared" si="0"/>
        <v>21.383909999999958</v>
      </c>
    </row>
    <row r="10" spans="1:6" ht="15" customHeight="1">
      <c r="A10" s="8"/>
      <c r="B10" s="52" t="s">
        <v>95</v>
      </c>
      <c r="C10" s="53">
        <v>283.50958000000003</v>
      </c>
      <c r="D10" s="53">
        <v>3137</v>
      </c>
      <c r="E10" s="53">
        <v>264.67</v>
      </c>
      <c r="F10" s="53">
        <f t="shared" si="0"/>
        <v>18.839580000000012</v>
      </c>
    </row>
    <row r="11" spans="1:6" ht="15" customHeight="1">
      <c r="A11" s="8"/>
      <c r="B11" s="49"/>
      <c r="C11" s="53">
        <v>283.53043000000002</v>
      </c>
      <c r="D11" s="53">
        <v>3610</v>
      </c>
      <c r="E11" s="53">
        <v>264.67</v>
      </c>
      <c r="F11" s="53">
        <f t="shared" si="0"/>
        <v>18.860430000000008</v>
      </c>
    </row>
    <row r="12" spans="1:6" ht="15" customHeight="1">
      <c r="A12" s="8"/>
      <c r="B12" s="49"/>
      <c r="C12" s="53">
        <v>283.38749999999999</v>
      </c>
      <c r="D12" s="53">
        <v>4085</v>
      </c>
      <c r="E12" s="53">
        <v>264.19</v>
      </c>
      <c r="F12" s="53">
        <f t="shared" si="0"/>
        <v>19.197499999999991</v>
      </c>
    </row>
    <row r="13" spans="1:6" ht="15" customHeight="1">
      <c r="A13" s="8"/>
      <c r="B13" s="49"/>
      <c r="C13" s="53">
        <v>282.93565000000001</v>
      </c>
      <c r="D13" s="53">
        <v>4558</v>
      </c>
      <c r="E13" s="53">
        <v>264.45</v>
      </c>
      <c r="F13" s="53">
        <f t="shared" si="0"/>
        <v>18.485650000000021</v>
      </c>
    </row>
    <row r="14" spans="1:6" ht="15" customHeight="1">
      <c r="A14" s="8"/>
      <c r="B14" s="49"/>
      <c r="C14" s="53">
        <v>282.91791999999998</v>
      </c>
      <c r="D14" s="53">
        <v>5032</v>
      </c>
      <c r="E14" s="53">
        <v>264.98</v>
      </c>
      <c r="F14" s="53">
        <f t="shared" si="0"/>
        <v>17.937919999999963</v>
      </c>
    </row>
    <row r="15" spans="1:6" ht="15" customHeight="1">
      <c r="A15" s="8"/>
      <c r="B15" s="49"/>
      <c r="C15" s="53">
        <v>283.55624999999998</v>
      </c>
      <c r="D15" s="53">
        <v>5504</v>
      </c>
      <c r="E15" s="53">
        <v>266.01</v>
      </c>
      <c r="F15" s="53">
        <f t="shared" si="0"/>
        <v>17.546249999999986</v>
      </c>
    </row>
  </sheetData>
  <mergeCells count="1">
    <mergeCell ref="C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"/>
  <sheetViews>
    <sheetView workbookViewId="0"/>
  </sheetViews>
  <sheetFormatPr defaultColWidth="11.19921875" defaultRowHeight="15" customHeight="1"/>
  <cols>
    <col min="1" max="27" width="8.59765625" customWidth="1"/>
  </cols>
  <sheetData>
    <row r="1" spans="1:27" ht="15" customHeight="1">
      <c r="A1" s="1" t="s">
        <v>96</v>
      </c>
      <c r="E1" s="8"/>
      <c r="F1" s="138" t="s">
        <v>97</v>
      </c>
      <c r="G1" s="134"/>
      <c r="H1" s="134"/>
      <c r="I1" s="135"/>
      <c r="L1" s="54" t="s">
        <v>98</v>
      </c>
      <c r="M1" s="54"/>
      <c r="N1" s="54"/>
      <c r="O1" s="54"/>
      <c r="Q1" s="8"/>
      <c r="R1" s="138" t="s">
        <v>99</v>
      </c>
      <c r="S1" s="134"/>
      <c r="T1" s="134"/>
      <c r="U1" s="135"/>
      <c r="X1" s="54" t="s">
        <v>100</v>
      </c>
      <c r="Y1" s="54"/>
      <c r="Z1" s="54"/>
      <c r="AA1" s="54"/>
    </row>
    <row r="2" spans="1:27" ht="15" customHeight="1">
      <c r="A2" s="1" t="s">
        <v>90</v>
      </c>
      <c r="E2" s="8"/>
      <c r="F2" s="47"/>
      <c r="G2" s="47"/>
      <c r="H2" s="47"/>
      <c r="I2" s="47"/>
      <c r="Q2" s="8"/>
      <c r="R2" s="47"/>
      <c r="S2" s="47"/>
      <c r="T2" s="47"/>
      <c r="U2" s="47"/>
    </row>
    <row r="3" spans="1:27" ht="15" customHeight="1">
      <c r="A3" s="48" t="s">
        <v>91</v>
      </c>
      <c r="E3" s="49"/>
      <c r="F3" s="50" t="s">
        <v>10</v>
      </c>
      <c r="G3" s="50" t="s">
        <v>11</v>
      </c>
      <c r="H3" s="50" t="s">
        <v>12</v>
      </c>
      <c r="I3" s="51" t="s">
        <v>101</v>
      </c>
      <c r="K3" s="8"/>
      <c r="L3" s="4" t="s">
        <v>10</v>
      </c>
      <c r="M3" s="4" t="s">
        <v>11</v>
      </c>
      <c r="N3" s="4" t="s">
        <v>12</v>
      </c>
      <c r="O3" s="55" t="s">
        <v>102</v>
      </c>
      <c r="Q3" s="49"/>
      <c r="R3" s="56" t="s">
        <v>10</v>
      </c>
      <c r="S3" s="56" t="s">
        <v>11</v>
      </c>
      <c r="T3" s="56" t="s">
        <v>12</v>
      </c>
      <c r="U3" s="56" t="s">
        <v>103</v>
      </c>
      <c r="V3" s="57"/>
      <c r="W3" s="57"/>
      <c r="X3" s="58" t="s">
        <v>10</v>
      </c>
      <c r="Y3" s="58" t="s">
        <v>11</v>
      </c>
      <c r="Z3" s="58" t="s">
        <v>12</v>
      </c>
      <c r="AA3" s="58" t="s">
        <v>104</v>
      </c>
    </row>
    <row r="4" spans="1:27" ht="15" customHeight="1">
      <c r="A4" s="48" t="s">
        <v>105</v>
      </c>
      <c r="E4" s="52" t="s">
        <v>106</v>
      </c>
      <c r="F4" s="59">
        <v>281.92719</v>
      </c>
      <c r="G4" s="59">
        <v>299</v>
      </c>
      <c r="H4" s="59">
        <v>272.55</v>
      </c>
      <c r="I4" s="59">
        <v>9.3771899999999846</v>
      </c>
      <c r="K4" s="60" t="s">
        <v>94</v>
      </c>
      <c r="L4" s="41">
        <v>281.31211000000002</v>
      </c>
      <c r="M4" s="41">
        <v>440</v>
      </c>
      <c r="N4" s="41">
        <v>273.83</v>
      </c>
      <c r="O4" s="41">
        <f t="shared" ref="O4:O16" si="0">L4-N4</f>
        <v>7.4821100000000342</v>
      </c>
      <c r="Q4" s="52" t="s">
        <v>106</v>
      </c>
      <c r="R4" s="61">
        <v>287.90289000000001</v>
      </c>
      <c r="S4" s="61">
        <v>454</v>
      </c>
      <c r="T4" s="61">
        <v>277.62000999999998</v>
      </c>
      <c r="U4" s="61">
        <v>10.282880000000034</v>
      </c>
      <c r="V4" s="57"/>
      <c r="W4" s="62" t="s">
        <v>94</v>
      </c>
      <c r="X4" s="63">
        <v>285.24385999999998</v>
      </c>
      <c r="Y4" s="63">
        <v>265</v>
      </c>
      <c r="Z4" s="63">
        <v>277.57001000000002</v>
      </c>
      <c r="AA4" s="63">
        <v>7.673849999999959</v>
      </c>
    </row>
    <row r="5" spans="1:27" ht="15" customHeight="1">
      <c r="A5" s="8"/>
      <c r="E5" s="49"/>
      <c r="F5" s="59">
        <v>282.42052999999999</v>
      </c>
      <c r="G5" s="59">
        <v>772</v>
      </c>
      <c r="H5" s="59">
        <v>273.33</v>
      </c>
      <c r="I5" s="59">
        <v>9.0905300000000011</v>
      </c>
      <c r="K5" s="8"/>
      <c r="L5" s="41">
        <v>281.16631999999998</v>
      </c>
      <c r="M5" s="41">
        <v>915</v>
      </c>
      <c r="N5" s="41">
        <v>273.58</v>
      </c>
      <c r="O5" s="41">
        <f t="shared" si="0"/>
        <v>7.5863200000000006</v>
      </c>
      <c r="Q5" s="49"/>
      <c r="R5" s="61">
        <v>287.75518</v>
      </c>
      <c r="S5" s="61">
        <v>920</v>
      </c>
      <c r="T5" s="61">
        <v>277.39</v>
      </c>
      <c r="U5" s="61">
        <v>10.365180000000009</v>
      </c>
      <c r="V5" s="57"/>
      <c r="W5" s="57"/>
      <c r="X5" s="63">
        <v>285.15759000000003</v>
      </c>
      <c r="Y5" s="63">
        <v>737</v>
      </c>
      <c r="Z5" s="63">
        <v>277.52999999999997</v>
      </c>
      <c r="AA5" s="63">
        <v>7.6275900000000547</v>
      </c>
    </row>
    <row r="6" spans="1:27" ht="15" customHeight="1">
      <c r="A6" s="8"/>
      <c r="E6" s="49"/>
      <c r="F6" s="59">
        <v>282.47683999999998</v>
      </c>
      <c r="G6" s="59">
        <v>1245</v>
      </c>
      <c r="H6" s="59">
        <v>273.35000000000002</v>
      </c>
      <c r="I6" s="59">
        <v>9.1268399999999588</v>
      </c>
      <c r="K6" s="8"/>
      <c r="L6" s="41">
        <v>281.14947999999998</v>
      </c>
      <c r="M6" s="41">
        <v>1385</v>
      </c>
      <c r="N6" s="41">
        <v>273.5</v>
      </c>
      <c r="O6" s="41">
        <f t="shared" si="0"/>
        <v>7.6494799999999827</v>
      </c>
      <c r="Q6" s="49"/>
      <c r="R6" s="61">
        <v>287.66262</v>
      </c>
      <c r="S6" s="61">
        <v>1394</v>
      </c>
      <c r="T6" s="61">
        <v>276.75999000000002</v>
      </c>
      <c r="U6" s="61">
        <v>10.902629999999988</v>
      </c>
      <c r="V6" s="57"/>
      <c r="W6" s="57"/>
      <c r="X6" s="63">
        <v>285.09735000000001</v>
      </c>
      <c r="Y6" s="63">
        <v>1213</v>
      </c>
      <c r="Z6" s="63">
        <v>277.45001000000002</v>
      </c>
      <c r="AA6" s="63">
        <v>7.6473399999999856</v>
      </c>
    </row>
    <row r="7" spans="1:27" ht="15" customHeight="1">
      <c r="A7" s="8"/>
      <c r="E7" s="49"/>
      <c r="F7" s="59">
        <v>282.47120999999999</v>
      </c>
      <c r="G7" s="59">
        <v>1720</v>
      </c>
      <c r="H7" s="59">
        <v>273.37</v>
      </c>
      <c r="I7" s="59">
        <v>9.1012099999999805</v>
      </c>
      <c r="K7" s="8"/>
      <c r="L7" s="41">
        <v>281.27447999999998</v>
      </c>
      <c r="M7" s="41">
        <v>1860</v>
      </c>
      <c r="N7" s="41">
        <v>273.85000000000002</v>
      </c>
      <c r="O7" s="41">
        <f t="shared" si="0"/>
        <v>7.42447999999996</v>
      </c>
      <c r="Q7" s="49"/>
      <c r="R7" s="61">
        <v>287.44060000000002</v>
      </c>
      <c r="S7" s="61">
        <v>1866</v>
      </c>
      <c r="T7" s="61">
        <v>277.87000999999998</v>
      </c>
      <c r="U7" s="61">
        <v>9.5705900000000383</v>
      </c>
      <c r="V7" s="57"/>
      <c r="W7" s="57"/>
      <c r="X7" s="63">
        <v>285.05964</v>
      </c>
      <c r="Y7" s="63">
        <v>1683</v>
      </c>
      <c r="Z7" s="63">
        <v>277.14999</v>
      </c>
      <c r="AA7" s="63">
        <v>7.9096499999999992</v>
      </c>
    </row>
    <row r="8" spans="1:27" ht="15" customHeight="1">
      <c r="E8" s="49"/>
      <c r="F8" s="59">
        <v>282.43281000000002</v>
      </c>
      <c r="G8" s="59">
        <v>2193</v>
      </c>
      <c r="H8" s="59">
        <v>272.97000000000003</v>
      </c>
      <c r="I8" s="59">
        <v>9.4628099999999904</v>
      </c>
      <c r="K8" s="8"/>
      <c r="L8" s="41">
        <v>281.46240999999998</v>
      </c>
      <c r="M8" s="41">
        <v>2333</v>
      </c>
      <c r="N8" s="41">
        <v>273.75</v>
      </c>
      <c r="O8" s="41">
        <f t="shared" si="0"/>
        <v>7.7124099999999771</v>
      </c>
      <c r="Q8" s="49"/>
      <c r="R8" s="61">
        <v>287.47095000000002</v>
      </c>
      <c r="S8" s="61">
        <v>2339</v>
      </c>
      <c r="T8" s="61">
        <v>277.83</v>
      </c>
      <c r="U8" s="61">
        <v>9.6409500000000321</v>
      </c>
      <c r="V8" s="57"/>
      <c r="W8" s="57"/>
      <c r="X8" s="63">
        <v>284.85262</v>
      </c>
      <c r="Y8" s="63">
        <v>8940</v>
      </c>
      <c r="Z8" s="63">
        <v>277.07001000000002</v>
      </c>
      <c r="AA8" s="63">
        <v>7.7826099999999769</v>
      </c>
    </row>
    <row r="9" spans="1:27" ht="15" customHeight="1">
      <c r="E9" s="49"/>
      <c r="F9" s="59">
        <v>282.22842000000003</v>
      </c>
      <c r="G9" s="59">
        <v>2667</v>
      </c>
      <c r="H9" s="59">
        <v>273.56</v>
      </c>
      <c r="I9" s="59">
        <v>8.668420000000026</v>
      </c>
      <c r="K9" s="8"/>
      <c r="L9" s="41">
        <v>281.27809999999999</v>
      </c>
      <c r="M9" s="41">
        <v>2807</v>
      </c>
      <c r="N9" s="41">
        <v>273.43</v>
      </c>
      <c r="O9" s="41">
        <f t="shared" si="0"/>
        <v>7.8480999999999881</v>
      </c>
      <c r="Q9" s="49"/>
      <c r="R9" s="61">
        <v>287.34589999999997</v>
      </c>
      <c r="S9" s="61">
        <v>2813</v>
      </c>
      <c r="T9" s="61">
        <v>277.14</v>
      </c>
      <c r="U9" s="61">
        <v>10.205899999999986</v>
      </c>
      <c r="V9" s="57"/>
      <c r="W9" s="57"/>
      <c r="X9" s="63">
        <v>284.95434</v>
      </c>
      <c r="Y9" s="63">
        <v>9412</v>
      </c>
      <c r="Z9" s="63">
        <v>276.98998999999998</v>
      </c>
      <c r="AA9" s="63">
        <v>7.9643500000000245</v>
      </c>
    </row>
    <row r="10" spans="1:27" ht="15" customHeight="1">
      <c r="E10" s="52" t="s">
        <v>94</v>
      </c>
      <c r="F10" s="59">
        <v>281.31211000000002</v>
      </c>
      <c r="G10" s="59">
        <v>3140</v>
      </c>
      <c r="H10" s="59">
        <v>273.83</v>
      </c>
      <c r="I10" s="59">
        <v>7.4821100000000342</v>
      </c>
      <c r="K10" s="60" t="s">
        <v>107</v>
      </c>
      <c r="L10" s="3">
        <v>280.98491000000001</v>
      </c>
      <c r="M10" s="3">
        <v>3281</v>
      </c>
      <c r="N10" s="3">
        <v>275.29000000000002</v>
      </c>
      <c r="O10" s="3">
        <f t="shared" si="0"/>
        <v>5.694909999999993</v>
      </c>
      <c r="Q10" s="52" t="s">
        <v>94</v>
      </c>
      <c r="R10" s="64">
        <v>285.22469999999998</v>
      </c>
      <c r="S10" s="64">
        <v>3276</v>
      </c>
      <c r="T10" s="64">
        <v>277.35998999999998</v>
      </c>
      <c r="U10" s="64">
        <v>7.8647100000000023</v>
      </c>
      <c r="V10" s="57"/>
      <c r="W10" s="62" t="s">
        <v>107</v>
      </c>
      <c r="X10" s="65">
        <v>285.1687</v>
      </c>
      <c r="Y10" s="65">
        <v>9878</v>
      </c>
      <c r="Z10" s="65">
        <v>279.51999000000001</v>
      </c>
      <c r="AA10" s="65">
        <v>5.6487099999999941</v>
      </c>
    </row>
    <row r="11" spans="1:27" ht="15" customHeight="1">
      <c r="E11" s="49"/>
      <c r="F11" s="59">
        <v>281.16631999999998</v>
      </c>
      <c r="G11" s="59">
        <v>3615</v>
      </c>
      <c r="H11" s="59">
        <v>273.58</v>
      </c>
      <c r="I11" s="59">
        <v>7.5863200000000006</v>
      </c>
      <c r="K11" s="8"/>
      <c r="L11" s="41">
        <v>280.99158</v>
      </c>
      <c r="M11" s="41">
        <v>3755</v>
      </c>
      <c r="N11" s="41">
        <v>275.48</v>
      </c>
      <c r="O11" s="41">
        <f t="shared" si="0"/>
        <v>5.5115799999999808</v>
      </c>
      <c r="Q11" s="8"/>
      <c r="R11" s="66">
        <v>285.24385999999998</v>
      </c>
      <c r="S11" s="66">
        <v>3748</v>
      </c>
      <c r="T11" s="66">
        <v>277.57001000000002</v>
      </c>
      <c r="U11" s="66">
        <v>7.673849999999959</v>
      </c>
      <c r="V11" s="57"/>
      <c r="W11" s="57"/>
      <c r="X11" s="65">
        <v>284.94522000000001</v>
      </c>
      <c r="Y11" s="65">
        <v>10352</v>
      </c>
      <c r="Z11" s="65">
        <v>279.73000999999999</v>
      </c>
      <c r="AA11" s="65">
        <v>5.2152100000000132</v>
      </c>
    </row>
    <row r="12" spans="1:27" ht="15" customHeight="1">
      <c r="E12" s="49"/>
      <c r="F12" s="59">
        <v>281.14947999999998</v>
      </c>
      <c r="G12" s="59">
        <v>4085</v>
      </c>
      <c r="H12" s="59">
        <v>273.5</v>
      </c>
      <c r="I12" s="59">
        <v>7.6494799999999827</v>
      </c>
      <c r="K12" s="8"/>
      <c r="L12" s="41">
        <v>281.14193</v>
      </c>
      <c r="M12" s="41">
        <v>4227</v>
      </c>
      <c r="N12" s="41">
        <v>275.64999999999998</v>
      </c>
      <c r="O12" s="41">
        <f t="shared" si="0"/>
        <v>5.4919300000000248</v>
      </c>
      <c r="Q12" s="8"/>
      <c r="R12" s="66">
        <v>285.15759000000003</v>
      </c>
      <c r="S12" s="66">
        <v>4221</v>
      </c>
      <c r="T12" s="66">
        <v>277.52999999999997</v>
      </c>
      <c r="U12" s="66">
        <v>7.6275900000000547</v>
      </c>
      <c r="V12" s="57"/>
      <c r="W12" s="57"/>
      <c r="X12" s="63">
        <v>284.77825999999999</v>
      </c>
      <c r="Y12" s="63">
        <v>10825</v>
      </c>
      <c r="Z12" s="63">
        <v>279.69</v>
      </c>
      <c r="AA12" s="63">
        <v>5.0882599999999911</v>
      </c>
    </row>
    <row r="13" spans="1:27" ht="15" customHeight="1">
      <c r="E13" s="49"/>
      <c r="F13" s="59">
        <v>281.27447999999998</v>
      </c>
      <c r="G13" s="59">
        <v>4560</v>
      </c>
      <c r="H13" s="59">
        <v>273.85000000000002</v>
      </c>
      <c r="I13" s="59">
        <v>7.42447999999996</v>
      </c>
      <c r="K13" s="8"/>
      <c r="L13" s="41">
        <v>281.30158</v>
      </c>
      <c r="M13" s="41">
        <v>4702</v>
      </c>
      <c r="N13" s="41">
        <v>275.94</v>
      </c>
      <c r="O13" s="41">
        <f t="shared" si="0"/>
        <v>5.3615800000000036</v>
      </c>
      <c r="Q13" s="8"/>
      <c r="R13" s="66">
        <v>285.09735000000001</v>
      </c>
      <c r="S13" s="66">
        <v>4695</v>
      </c>
      <c r="T13" s="66">
        <v>277.45001000000002</v>
      </c>
      <c r="U13" s="66">
        <v>7.6473399999999856</v>
      </c>
      <c r="V13" s="57"/>
      <c r="W13" s="57"/>
      <c r="X13" s="63">
        <v>284.70111000000003</v>
      </c>
      <c r="Y13" s="63">
        <v>11298</v>
      </c>
      <c r="Z13" s="63">
        <v>279.75</v>
      </c>
      <c r="AA13" s="63">
        <v>4.9511100000000283</v>
      </c>
    </row>
    <row r="14" spans="1:27" ht="15" customHeight="1">
      <c r="E14" s="49"/>
      <c r="F14" s="59">
        <v>281.46240999999998</v>
      </c>
      <c r="G14" s="59">
        <v>5033</v>
      </c>
      <c r="H14" s="59">
        <v>273.75</v>
      </c>
      <c r="I14" s="59">
        <v>7.7124099999999771</v>
      </c>
      <c r="K14" s="8"/>
      <c r="L14" s="41">
        <v>281.10579000000001</v>
      </c>
      <c r="M14" s="41">
        <v>5175</v>
      </c>
      <c r="N14" s="41">
        <v>275.86</v>
      </c>
      <c r="O14" s="41">
        <f t="shared" si="0"/>
        <v>5.2457899999999995</v>
      </c>
      <c r="Q14" s="8"/>
      <c r="R14" s="66">
        <v>285.05964</v>
      </c>
      <c r="S14" s="66">
        <v>5167</v>
      </c>
      <c r="T14" s="66">
        <v>277.14999</v>
      </c>
      <c r="U14" s="66">
        <v>7.9096499999999992</v>
      </c>
      <c r="V14" s="57"/>
      <c r="W14" s="57"/>
      <c r="X14" s="63">
        <v>284.49347999999998</v>
      </c>
      <c r="Y14" s="63">
        <v>11771</v>
      </c>
      <c r="Z14" s="63">
        <v>279.62</v>
      </c>
      <c r="AA14" s="63">
        <v>4.8734799999999723</v>
      </c>
    </row>
    <row r="15" spans="1:27" ht="15" customHeight="1">
      <c r="E15" s="49"/>
      <c r="F15" s="59">
        <v>281.27809999999999</v>
      </c>
      <c r="G15" s="59">
        <v>5507</v>
      </c>
      <c r="H15" s="59">
        <v>273.43</v>
      </c>
      <c r="I15" s="59">
        <v>7.8480999999999881</v>
      </c>
      <c r="K15" s="8"/>
      <c r="L15" s="41">
        <v>281.19367999999997</v>
      </c>
      <c r="M15" s="41">
        <v>5650</v>
      </c>
      <c r="N15" s="41">
        <v>276.02999999999997</v>
      </c>
      <c r="O15" s="41">
        <f t="shared" si="0"/>
        <v>5.1636799999999994</v>
      </c>
      <c r="Q15" s="8"/>
      <c r="R15" s="66">
        <v>284.85262</v>
      </c>
      <c r="S15" s="66">
        <v>5641</v>
      </c>
      <c r="T15" s="66">
        <v>277.07001000000002</v>
      </c>
      <c r="U15" s="66">
        <v>7.7826099999999769</v>
      </c>
      <c r="V15" s="57"/>
      <c r="W15" s="57"/>
      <c r="X15" s="63">
        <v>284.39778000000001</v>
      </c>
      <c r="Y15" s="63">
        <v>12245</v>
      </c>
      <c r="Z15" s="63">
        <v>279.20001000000002</v>
      </c>
      <c r="AA15" s="63">
        <v>5.1977699999999913</v>
      </c>
    </row>
    <row r="16" spans="1:27" ht="15" customHeight="1">
      <c r="K16" s="8"/>
      <c r="L16" s="41">
        <v>281.22966000000002</v>
      </c>
      <c r="M16" s="41">
        <v>6112</v>
      </c>
      <c r="N16" s="41">
        <v>276</v>
      </c>
      <c r="O16" s="41">
        <f t="shared" si="0"/>
        <v>5.229660000000024</v>
      </c>
      <c r="Q16" s="8"/>
      <c r="R16" s="63">
        <v>284.95434</v>
      </c>
      <c r="S16" s="63">
        <v>6113</v>
      </c>
      <c r="T16" s="63">
        <v>276.98998999999998</v>
      </c>
      <c r="U16" s="63">
        <v>7.9643500000000245</v>
      </c>
      <c r="V16" s="57"/>
      <c r="W16" s="57"/>
      <c r="X16" s="63">
        <v>284.11133000000001</v>
      </c>
      <c r="Y16" s="63">
        <v>12719</v>
      </c>
      <c r="Z16" s="63">
        <v>279.06</v>
      </c>
      <c r="AA16" s="63">
        <v>5.0513300000000072</v>
      </c>
    </row>
    <row r="17" spans="18:27" ht="15" customHeight="1">
      <c r="R17" s="57"/>
      <c r="S17" s="57"/>
      <c r="T17" s="57"/>
      <c r="U17" s="57"/>
      <c r="V17" s="57"/>
      <c r="W17" s="57"/>
      <c r="X17" s="63">
        <v>283.91667000000001</v>
      </c>
      <c r="Y17" s="63">
        <v>13192</v>
      </c>
      <c r="Z17" s="63">
        <v>279.20001000000002</v>
      </c>
      <c r="AA17" s="63">
        <v>4.7166599999999903</v>
      </c>
    </row>
  </sheetData>
  <mergeCells count="2">
    <mergeCell ref="F1:I1"/>
    <mergeCell ref="R1:U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67" t="s">
        <v>108</v>
      </c>
      <c r="D1" s="68"/>
      <c r="E1" s="139" t="s">
        <v>109</v>
      </c>
      <c r="F1" s="140"/>
      <c r="G1" s="140"/>
      <c r="H1" s="140"/>
      <c r="J1" s="68"/>
      <c r="K1" s="139" t="s">
        <v>110</v>
      </c>
      <c r="L1" s="140"/>
      <c r="M1" s="140"/>
      <c r="N1" s="140"/>
    </row>
    <row r="2" spans="1:14" ht="15" customHeight="1">
      <c r="A2" s="67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70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70" t="s">
        <v>112</v>
      </c>
      <c r="D4" s="68" t="s">
        <v>113</v>
      </c>
      <c r="E4" s="74">
        <v>282.27539999999999</v>
      </c>
      <c r="F4" s="75">
        <v>301</v>
      </c>
      <c r="G4" s="75">
        <v>264.79000000000002</v>
      </c>
      <c r="H4" s="75">
        <v>17.485410000000002</v>
      </c>
      <c r="J4" s="68" t="s">
        <v>94</v>
      </c>
      <c r="K4" s="74">
        <v>281.62540000000001</v>
      </c>
      <c r="L4" s="75">
        <v>301</v>
      </c>
      <c r="M4" s="75">
        <v>267.22000000000003</v>
      </c>
      <c r="N4" s="75">
        <v>14.405419999999999</v>
      </c>
    </row>
    <row r="5" spans="1:14" ht="15" customHeight="1">
      <c r="D5" s="68"/>
      <c r="E5" s="74">
        <v>282.25290000000001</v>
      </c>
      <c r="F5" s="75">
        <v>775</v>
      </c>
      <c r="G5" s="75">
        <v>264.38</v>
      </c>
      <c r="H5" s="75">
        <v>17.872920000000001</v>
      </c>
      <c r="J5" s="68"/>
      <c r="K5" s="74">
        <v>281.3954</v>
      </c>
      <c r="L5" s="75">
        <v>774</v>
      </c>
      <c r="M5" s="75">
        <v>267.66000000000003</v>
      </c>
      <c r="N5" s="75">
        <v>13.73541</v>
      </c>
    </row>
    <row r="6" spans="1:14" ht="15" customHeight="1">
      <c r="D6" s="68"/>
      <c r="E6" s="74">
        <v>282.14909999999998</v>
      </c>
      <c r="F6" s="75">
        <v>1249</v>
      </c>
      <c r="G6" s="75">
        <v>264.44</v>
      </c>
      <c r="H6" s="75">
        <v>17.709140000000001</v>
      </c>
      <c r="J6" s="68"/>
      <c r="K6" s="74">
        <v>281.56580000000002</v>
      </c>
      <c r="L6" s="75">
        <v>1248</v>
      </c>
      <c r="M6" s="75">
        <v>267.81</v>
      </c>
      <c r="N6" s="75">
        <v>13.75583</v>
      </c>
    </row>
    <row r="7" spans="1:14" ht="15" customHeight="1">
      <c r="D7" s="68"/>
      <c r="E7" s="74">
        <v>282.21129999999999</v>
      </c>
      <c r="F7" s="75">
        <v>1722</v>
      </c>
      <c r="G7" s="75">
        <v>263.79000000000002</v>
      </c>
      <c r="H7" s="75">
        <v>18.421250000000001</v>
      </c>
      <c r="J7" s="68"/>
      <c r="K7" s="74">
        <v>281.80669999999998</v>
      </c>
      <c r="L7" s="75">
        <v>1723</v>
      </c>
      <c r="M7" s="75">
        <v>268.5</v>
      </c>
      <c r="N7" s="75">
        <v>13.306660000000001</v>
      </c>
    </row>
    <row r="8" spans="1:14" ht="15" customHeight="1">
      <c r="D8" s="68"/>
      <c r="E8" s="74">
        <v>282.23039999999997</v>
      </c>
      <c r="F8" s="75">
        <v>2195</v>
      </c>
      <c r="G8" s="75">
        <v>264.48</v>
      </c>
      <c r="H8" s="75">
        <v>17.750419999999998</v>
      </c>
      <c r="J8" s="68"/>
      <c r="K8" s="74">
        <v>281.93669999999997</v>
      </c>
      <c r="L8" s="75">
        <v>2196</v>
      </c>
      <c r="M8" s="75">
        <v>268</v>
      </c>
      <c r="N8" s="75">
        <v>13.936669999999999</v>
      </c>
    </row>
    <row r="9" spans="1:14" ht="15" customHeight="1">
      <c r="D9" s="68"/>
      <c r="E9" s="74">
        <v>282.16390000000001</v>
      </c>
      <c r="F9" s="75">
        <v>2669</v>
      </c>
      <c r="G9" s="75">
        <v>264.14</v>
      </c>
      <c r="H9" s="75">
        <v>18.02392</v>
      </c>
      <c r="J9" s="68"/>
      <c r="K9" s="74">
        <v>281.91460000000001</v>
      </c>
      <c r="L9" s="75">
        <v>2668</v>
      </c>
      <c r="M9" s="75">
        <v>267.72000000000003</v>
      </c>
      <c r="N9" s="75">
        <v>14.19458</v>
      </c>
    </row>
    <row r="10" spans="1:14" ht="15" customHeight="1">
      <c r="D10" s="68" t="s">
        <v>94</v>
      </c>
      <c r="E10" s="74">
        <v>281.62540000000001</v>
      </c>
      <c r="F10" s="75">
        <v>3140</v>
      </c>
      <c r="G10" s="75">
        <v>267.22000000000003</v>
      </c>
      <c r="H10" s="75">
        <v>14.405419999999999</v>
      </c>
      <c r="J10" s="68" t="s">
        <v>114</v>
      </c>
      <c r="K10" s="19">
        <v>280.23829999999998</v>
      </c>
      <c r="L10" s="20">
        <v>3167</v>
      </c>
      <c r="M10" s="20">
        <v>270.10000000000002</v>
      </c>
      <c r="N10" s="20">
        <v>10.138339999999999</v>
      </c>
    </row>
    <row r="11" spans="1:14" ht="15" customHeight="1">
      <c r="D11" s="68"/>
      <c r="E11" s="74">
        <v>281.3954</v>
      </c>
      <c r="F11" s="75">
        <v>3613</v>
      </c>
      <c r="G11" s="75">
        <v>267.66000000000003</v>
      </c>
      <c r="H11" s="75">
        <v>13.73541</v>
      </c>
      <c r="J11" s="68"/>
      <c r="K11" s="74">
        <v>279.70479999999998</v>
      </c>
      <c r="L11" s="75">
        <v>3642</v>
      </c>
      <c r="M11" s="75">
        <v>270.64</v>
      </c>
      <c r="N11" s="75">
        <v>9.0647900000000003</v>
      </c>
    </row>
    <row r="12" spans="1:14" ht="15" customHeight="1">
      <c r="D12" s="68"/>
      <c r="E12" s="74">
        <v>281.56580000000002</v>
      </c>
      <c r="F12" s="75">
        <v>4087</v>
      </c>
      <c r="G12" s="75">
        <v>267.81</v>
      </c>
      <c r="H12" s="75">
        <v>13.75583</v>
      </c>
      <c r="J12" s="68"/>
      <c r="K12" s="74">
        <v>279.96039999999999</v>
      </c>
      <c r="L12" s="75">
        <v>4117</v>
      </c>
      <c r="M12" s="75">
        <v>271.51</v>
      </c>
      <c r="N12" s="75">
        <v>8.4504199999999994</v>
      </c>
    </row>
    <row r="13" spans="1:14" ht="15" customHeight="1">
      <c r="D13" s="68"/>
      <c r="E13" s="74">
        <v>281.80669999999998</v>
      </c>
      <c r="F13" s="75">
        <v>4562</v>
      </c>
      <c r="G13" s="75">
        <v>268.5</v>
      </c>
      <c r="H13" s="75">
        <v>13.306660000000001</v>
      </c>
      <c r="J13" s="68"/>
      <c r="K13" s="74">
        <v>280.28960000000001</v>
      </c>
      <c r="L13" s="75">
        <v>4588</v>
      </c>
      <c r="M13" s="75">
        <v>271.76</v>
      </c>
      <c r="N13" s="75">
        <v>8.5295699999999997</v>
      </c>
    </row>
    <row r="14" spans="1:14" ht="15" customHeight="1">
      <c r="D14" s="68"/>
      <c r="E14" s="74">
        <v>281.93669999999997</v>
      </c>
      <c r="F14" s="75">
        <v>5035</v>
      </c>
      <c r="G14" s="75">
        <v>268</v>
      </c>
      <c r="H14" s="75">
        <v>13.936669999999999</v>
      </c>
      <c r="J14" s="68"/>
      <c r="K14" s="74">
        <v>280.57920000000001</v>
      </c>
      <c r="L14" s="75">
        <v>5062</v>
      </c>
      <c r="M14" s="75">
        <v>271.83999999999997</v>
      </c>
      <c r="N14" s="75">
        <v>8.7391699999999997</v>
      </c>
    </row>
    <row r="15" spans="1:14" ht="15" customHeight="1">
      <c r="D15" s="68"/>
      <c r="E15" s="74">
        <v>281.91460000000001</v>
      </c>
      <c r="F15" s="75">
        <v>5507</v>
      </c>
      <c r="G15" s="75">
        <v>267.72000000000003</v>
      </c>
      <c r="H15" s="75">
        <v>14.19458</v>
      </c>
      <c r="J15" s="68"/>
      <c r="K15" s="74">
        <v>280.3021</v>
      </c>
      <c r="L15" s="75">
        <v>5534</v>
      </c>
      <c r="M15" s="75">
        <v>271.33999999999997</v>
      </c>
      <c r="N15" s="75">
        <v>8.9620800000000003</v>
      </c>
    </row>
    <row r="16" spans="1:14" ht="15" customHeight="1">
      <c r="D16" s="68"/>
      <c r="E16" s="68"/>
      <c r="F16" s="68"/>
      <c r="G16" s="68"/>
      <c r="H16" s="68"/>
      <c r="J16" s="68"/>
      <c r="K16" s="74">
        <v>280.59739999999999</v>
      </c>
      <c r="L16" s="75">
        <v>6009</v>
      </c>
      <c r="M16" s="75">
        <v>271.97000000000003</v>
      </c>
      <c r="N16" s="75">
        <v>8.6273900000000001</v>
      </c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67" t="s">
        <v>115</v>
      </c>
      <c r="D1" s="68"/>
      <c r="E1" s="139" t="s">
        <v>116</v>
      </c>
      <c r="F1" s="140"/>
      <c r="G1" s="140"/>
      <c r="H1" s="140"/>
      <c r="J1" s="68"/>
      <c r="K1" s="139" t="s">
        <v>117</v>
      </c>
      <c r="L1" s="140"/>
      <c r="M1" s="140"/>
      <c r="N1" s="140"/>
    </row>
    <row r="2" spans="1:14" ht="15" customHeight="1">
      <c r="A2" s="67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70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70" t="s">
        <v>118</v>
      </c>
      <c r="D4" s="68" t="s">
        <v>94</v>
      </c>
      <c r="E4" s="74">
        <v>284.34649999999999</v>
      </c>
      <c r="F4" s="75">
        <v>301</v>
      </c>
      <c r="G4" s="75">
        <v>275.35000000000002</v>
      </c>
      <c r="H4" s="75">
        <v>8.9965200000000003</v>
      </c>
      <c r="J4" s="68" t="s">
        <v>119</v>
      </c>
      <c r="K4" s="74">
        <v>282.42039999999997</v>
      </c>
      <c r="L4" s="75">
        <v>301</v>
      </c>
      <c r="M4" s="75">
        <v>273.16000000000003</v>
      </c>
      <c r="N4" s="75">
        <v>9.2604199999999999</v>
      </c>
    </row>
    <row r="5" spans="1:14" ht="15" customHeight="1">
      <c r="D5" s="68"/>
      <c r="E5" s="74">
        <v>284.28300000000002</v>
      </c>
      <c r="F5" s="75">
        <v>778</v>
      </c>
      <c r="G5" s="75">
        <v>275.83999999999997</v>
      </c>
      <c r="H5" s="75">
        <v>8.4430399999999999</v>
      </c>
      <c r="J5" s="68"/>
      <c r="K5" s="74">
        <v>282.71129999999999</v>
      </c>
      <c r="L5" s="75">
        <v>776</v>
      </c>
      <c r="M5" s="75">
        <v>273.7</v>
      </c>
      <c r="N5" s="75">
        <v>9.0112500000000004</v>
      </c>
    </row>
    <row r="6" spans="1:14" ht="15" customHeight="1">
      <c r="D6" s="68"/>
      <c r="E6" s="74">
        <v>284.04379999999998</v>
      </c>
      <c r="F6" s="75">
        <v>1251</v>
      </c>
      <c r="G6" s="75">
        <v>275.26</v>
      </c>
      <c r="H6" s="75">
        <v>8.7837499999999995</v>
      </c>
      <c r="J6" s="68"/>
      <c r="K6" s="74">
        <v>282.91669999999999</v>
      </c>
      <c r="L6" s="75">
        <v>1250</v>
      </c>
      <c r="M6" s="75">
        <v>273.79000000000002</v>
      </c>
      <c r="N6" s="75">
        <v>9.1266700000000007</v>
      </c>
    </row>
    <row r="7" spans="1:14" ht="15" customHeight="1">
      <c r="D7" s="68"/>
      <c r="E7" s="74">
        <v>283.91039999999998</v>
      </c>
      <c r="F7" s="75">
        <v>1723</v>
      </c>
      <c r="G7" s="75">
        <v>274.79000000000002</v>
      </c>
      <c r="H7" s="75">
        <v>9.1204199999999993</v>
      </c>
      <c r="J7" s="68"/>
      <c r="K7" s="74">
        <v>282.9135</v>
      </c>
      <c r="L7" s="75">
        <v>1719</v>
      </c>
      <c r="M7" s="75">
        <v>273.91000000000003</v>
      </c>
      <c r="N7" s="75">
        <v>9.0034799999999997</v>
      </c>
    </row>
    <row r="8" spans="1:14" ht="15" customHeight="1">
      <c r="D8" s="68"/>
      <c r="E8" s="74">
        <v>283.99040000000002</v>
      </c>
      <c r="F8" s="75">
        <v>2198</v>
      </c>
      <c r="G8" s="75">
        <v>275</v>
      </c>
      <c r="H8" s="75">
        <v>8.9904299999999999</v>
      </c>
      <c r="J8" s="68"/>
      <c r="K8" s="74">
        <v>282.93259999999998</v>
      </c>
      <c r="L8" s="75">
        <v>2195</v>
      </c>
      <c r="M8" s="75">
        <v>273.67</v>
      </c>
      <c r="N8" s="75">
        <v>9.2626100000000005</v>
      </c>
    </row>
    <row r="9" spans="1:14" ht="15" customHeight="1">
      <c r="D9" s="68"/>
      <c r="E9" s="74">
        <v>283.7371</v>
      </c>
      <c r="F9" s="75">
        <v>2678</v>
      </c>
      <c r="G9" s="75">
        <v>273.98</v>
      </c>
      <c r="H9" s="75">
        <v>9.7570899999999998</v>
      </c>
      <c r="J9" s="68"/>
      <c r="K9" s="74">
        <v>283.05880000000002</v>
      </c>
      <c r="L9" s="75">
        <v>2666</v>
      </c>
      <c r="M9" s="75">
        <v>273.07</v>
      </c>
      <c r="N9" s="75">
        <v>9.9887499999999996</v>
      </c>
    </row>
    <row r="10" spans="1:14" ht="15" customHeight="1">
      <c r="D10" s="68"/>
      <c r="E10" s="74">
        <v>283.73129999999998</v>
      </c>
      <c r="F10" s="75">
        <v>3144</v>
      </c>
      <c r="G10" s="75">
        <v>274.60000000000002</v>
      </c>
      <c r="H10" s="75">
        <v>9.1312499999999996</v>
      </c>
      <c r="J10" s="68" t="s">
        <v>120</v>
      </c>
      <c r="K10" s="19">
        <v>283.21039999999999</v>
      </c>
      <c r="L10" s="20">
        <v>3140</v>
      </c>
      <c r="M10" s="20">
        <v>272.92</v>
      </c>
      <c r="N10" s="20">
        <v>10.290419999999999</v>
      </c>
    </row>
    <row r="11" spans="1:14" ht="15" customHeight="1">
      <c r="D11" s="68" t="s">
        <v>114</v>
      </c>
      <c r="E11" s="74">
        <v>281.84210000000002</v>
      </c>
      <c r="F11" s="75">
        <v>3617</v>
      </c>
      <c r="G11" s="75">
        <v>273.79000000000002</v>
      </c>
      <c r="H11" s="75">
        <v>8.0520800000000001</v>
      </c>
      <c r="J11" s="68"/>
      <c r="K11" s="19">
        <v>282.50830000000002</v>
      </c>
      <c r="L11" s="20">
        <v>3613</v>
      </c>
      <c r="M11" s="20">
        <v>273.42</v>
      </c>
      <c r="N11" s="20">
        <v>9.08826</v>
      </c>
    </row>
    <row r="12" spans="1:14" ht="15" customHeight="1">
      <c r="D12" s="68"/>
      <c r="E12" s="74">
        <v>282.28829999999999</v>
      </c>
      <c r="F12" s="75">
        <v>4089</v>
      </c>
      <c r="G12" s="75">
        <v>275.23</v>
      </c>
      <c r="H12" s="75">
        <v>7.0583299999999998</v>
      </c>
      <c r="J12" s="68"/>
      <c r="K12" s="74">
        <v>282.61630000000002</v>
      </c>
      <c r="L12" s="75">
        <v>4084</v>
      </c>
      <c r="M12" s="75">
        <v>273.95</v>
      </c>
      <c r="N12" s="75">
        <v>8.6662499999999998</v>
      </c>
    </row>
    <row r="13" spans="1:14" ht="15" customHeight="1">
      <c r="D13" s="68"/>
      <c r="E13" s="74">
        <v>282.27670000000001</v>
      </c>
      <c r="F13" s="75">
        <v>4574</v>
      </c>
      <c r="G13" s="75">
        <v>274.26</v>
      </c>
      <c r="H13" s="75">
        <v>8.0166699999999995</v>
      </c>
      <c r="J13" s="68"/>
      <c r="K13" s="74">
        <v>282.75209999999998</v>
      </c>
      <c r="L13" s="75">
        <v>4559</v>
      </c>
      <c r="M13" s="75">
        <v>274.10000000000002</v>
      </c>
      <c r="N13" s="75">
        <v>8.6520799999999998</v>
      </c>
    </row>
    <row r="14" spans="1:14" ht="15" customHeight="1">
      <c r="D14" s="68"/>
      <c r="E14" s="74">
        <v>282.3546</v>
      </c>
      <c r="F14" s="75">
        <v>5036</v>
      </c>
      <c r="G14" s="75">
        <v>275.01</v>
      </c>
      <c r="H14" s="75">
        <v>7.3445799999999997</v>
      </c>
      <c r="J14" s="68"/>
      <c r="K14" s="74">
        <v>282.90249999999997</v>
      </c>
      <c r="L14" s="75">
        <v>5031</v>
      </c>
      <c r="M14" s="75">
        <v>274.48</v>
      </c>
      <c r="N14" s="75">
        <v>8.4224999999999994</v>
      </c>
    </row>
    <row r="15" spans="1:14" ht="15" customHeight="1">
      <c r="D15" s="68"/>
      <c r="E15" s="74">
        <v>282.5274</v>
      </c>
      <c r="F15" s="75">
        <v>5511</v>
      </c>
      <c r="G15" s="75">
        <v>275.31</v>
      </c>
      <c r="H15" s="75">
        <v>7.21739</v>
      </c>
      <c r="J15" s="68"/>
      <c r="K15" s="74">
        <v>282.99459999999999</v>
      </c>
      <c r="L15" s="75">
        <v>5511</v>
      </c>
      <c r="M15" s="75">
        <v>274.37</v>
      </c>
      <c r="N15" s="75">
        <v>8.6245799999999999</v>
      </c>
    </row>
    <row r="16" spans="1:14" ht="15" customHeight="1">
      <c r="D16" s="68"/>
      <c r="E16" s="74">
        <v>282.71289999999999</v>
      </c>
      <c r="F16" s="75">
        <v>5983</v>
      </c>
      <c r="G16" s="75">
        <v>275.54000000000002</v>
      </c>
      <c r="H16" s="75">
        <v>7.1729200000000004</v>
      </c>
      <c r="J16" s="68"/>
      <c r="K16" s="74">
        <v>283.19439999999997</v>
      </c>
      <c r="L16" s="75">
        <v>5982</v>
      </c>
      <c r="M16" s="75">
        <v>274.7</v>
      </c>
      <c r="N16" s="75">
        <v>8.4943500000000007</v>
      </c>
    </row>
    <row r="17" spans="4:14" ht="15" customHeight="1">
      <c r="D17" s="68"/>
      <c r="E17" s="74">
        <v>282.94170000000003</v>
      </c>
      <c r="F17" s="75">
        <v>6457</v>
      </c>
      <c r="G17" s="75">
        <v>275.79000000000002</v>
      </c>
      <c r="H17" s="75">
        <v>7.1516700000000002</v>
      </c>
      <c r="J17" s="68"/>
      <c r="K17" s="74">
        <v>283.39460000000003</v>
      </c>
      <c r="L17" s="75">
        <v>6454</v>
      </c>
      <c r="M17" s="75">
        <v>274.75</v>
      </c>
      <c r="N17" s="75">
        <v>8.6445900000000009</v>
      </c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7"/>
  <sheetViews>
    <sheetView workbookViewId="0"/>
  </sheetViews>
  <sheetFormatPr defaultColWidth="11.19921875" defaultRowHeight="15" customHeight="1"/>
  <sheetData>
    <row r="1" spans="1:8" ht="15" customHeight="1">
      <c r="A1" s="67" t="s">
        <v>121</v>
      </c>
      <c r="B1" s="76"/>
      <c r="C1" s="76"/>
      <c r="D1" s="68"/>
      <c r="E1" s="139" t="s">
        <v>122</v>
      </c>
      <c r="F1" s="140"/>
      <c r="G1" s="140"/>
      <c r="H1" s="140"/>
    </row>
    <row r="2" spans="1:8" ht="15" customHeight="1">
      <c r="A2" s="67" t="s">
        <v>90</v>
      </c>
      <c r="B2" s="76"/>
      <c r="C2" s="76"/>
      <c r="D2" s="68"/>
      <c r="E2" s="68"/>
      <c r="F2" s="68"/>
      <c r="G2" s="68"/>
      <c r="H2" s="68"/>
    </row>
    <row r="3" spans="1:8" ht="15" customHeight="1">
      <c r="A3" s="70" t="s">
        <v>111</v>
      </c>
      <c r="B3" s="76"/>
      <c r="C3" s="76"/>
      <c r="D3" s="71"/>
      <c r="E3" s="72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70" t="s">
        <v>118</v>
      </c>
      <c r="B4" s="76"/>
      <c r="C4" s="76"/>
      <c r="D4" s="77" t="s">
        <v>66</v>
      </c>
      <c r="E4" s="78">
        <v>292.69639999999998</v>
      </c>
      <c r="F4" s="78">
        <v>317</v>
      </c>
      <c r="G4" s="78">
        <v>281.51999000000001</v>
      </c>
      <c r="H4" s="78">
        <v>11.176410000000001</v>
      </c>
    </row>
    <row r="5" spans="1:8" ht="15" customHeight="1">
      <c r="A5" s="76"/>
      <c r="B5" s="76"/>
      <c r="C5" s="76"/>
      <c r="D5" s="77"/>
      <c r="E5" s="78">
        <v>292.56970000000001</v>
      </c>
      <c r="F5" s="78">
        <v>790</v>
      </c>
      <c r="G5" s="78">
        <v>281.67000999999999</v>
      </c>
      <c r="H5" s="78">
        <v>10.89972</v>
      </c>
    </row>
    <row r="6" spans="1:8" ht="15" customHeight="1">
      <c r="A6" s="76"/>
      <c r="B6" s="76"/>
      <c r="C6" s="76"/>
      <c r="D6" s="77"/>
      <c r="E6" s="78">
        <v>292.69400000000002</v>
      </c>
      <c r="F6" s="78">
        <v>1263</v>
      </c>
      <c r="G6" s="78">
        <v>281.44</v>
      </c>
      <c r="H6" s="78">
        <v>11.254</v>
      </c>
    </row>
    <row r="7" spans="1:8" ht="15" customHeight="1">
      <c r="A7" s="76"/>
      <c r="B7" s="76"/>
      <c r="C7" s="76"/>
      <c r="D7" s="77"/>
      <c r="E7" s="78">
        <v>292.59969999999998</v>
      </c>
      <c r="F7" s="78">
        <v>1737</v>
      </c>
      <c r="G7" s="78">
        <v>281.85998999999998</v>
      </c>
      <c r="H7" s="78">
        <v>10.739739999999999</v>
      </c>
    </row>
    <row r="8" spans="1:8" ht="15" customHeight="1">
      <c r="A8" s="76"/>
      <c r="B8" s="76"/>
      <c r="C8" s="76"/>
      <c r="D8" s="77"/>
      <c r="E8" s="78">
        <v>292.32130000000001</v>
      </c>
      <c r="F8" s="78">
        <v>2211</v>
      </c>
      <c r="G8" s="78">
        <v>281.23000999999999</v>
      </c>
      <c r="H8" s="78">
        <v>11.09132</v>
      </c>
    </row>
    <row r="9" spans="1:8" ht="15" customHeight="1">
      <c r="A9" s="76"/>
      <c r="B9" s="76"/>
      <c r="C9" s="76"/>
      <c r="D9" s="77"/>
      <c r="E9" s="78">
        <v>291.1703</v>
      </c>
      <c r="F9" s="78">
        <v>2684</v>
      </c>
      <c r="G9" s="78">
        <v>280.60998999999998</v>
      </c>
      <c r="H9" s="78">
        <v>10.560280000000001</v>
      </c>
    </row>
    <row r="10" spans="1:8" ht="15" customHeight="1">
      <c r="A10" s="76"/>
      <c r="B10" s="76"/>
      <c r="C10" s="76"/>
      <c r="D10" s="77" t="s">
        <v>23</v>
      </c>
      <c r="E10" s="79">
        <v>290.86579999999998</v>
      </c>
      <c r="F10" s="79">
        <v>3157</v>
      </c>
      <c r="G10" s="79">
        <v>281.38</v>
      </c>
      <c r="H10" s="79">
        <v>9.4858100000000007</v>
      </c>
    </row>
    <row r="11" spans="1:8" ht="15" customHeight="1">
      <c r="A11" s="76"/>
      <c r="B11" s="76"/>
      <c r="C11" s="76"/>
      <c r="D11" s="77"/>
      <c r="E11" s="78">
        <v>289.97329999999999</v>
      </c>
      <c r="F11" s="78">
        <v>3634</v>
      </c>
      <c r="G11" s="78">
        <v>281.48000999999999</v>
      </c>
      <c r="H11" s="78">
        <v>8.4933200000000006</v>
      </c>
    </row>
    <row r="12" spans="1:8" ht="15" customHeight="1">
      <c r="A12" s="76"/>
      <c r="B12" s="76"/>
      <c r="C12" s="76"/>
      <c r="D12" s="77"/>
      <c r="E12" s="78">
        <v>290.20389999999998</v>
      </c>
      <c r="F12" s="78">
        <v>4106</v>
      </c>
      <c r="G12" s="78">
        <v>281.57001000000002</v>
      </c>
      <c r="H12" s="78">
        <v>8.6339100000000002</v>
      </c>
    </row>
    <row r="13" spans="1:8" ht="15" customHeight="1">
      <c r="A13" s="76"/>
      <c r="B13" s="76"/>
      <c r="C13" s="76"/>
      <c r="D13" s="77"/>
      <c r="E13" s="78">
        <v>289.66320000000002</v>
      </c>
      <c r="F13" s="78">
        <v>4583</v>
      </c>
      <c r="G13" s="78">
        <v>280.75</v>
      </c>
      <c r="H13" s="78">
        <v>8.9132400000000001</v>
      </c>
    </row>
    <row r="14" spans="1:8" ht="15" customHeight="1">
      <c r="A14" s="76"/>
      <c r="B14" s="76"/>
      <c r="C14" s="76"/>
      <c r="D14" s="77"/>
      <c r="E14" s="78">
        <v>289.99160000000001</v>
      </c>
      <c r="F14" s="78">
        <v>5055</v>
      </c>
      <c r="G14" s="78">
        <v>281.39999</v>
      </c>
      <c r="H14" s="78">
        <v>8.5916300000000003</v>
      </c>
    </row>
    <row r="15" spans="1:8" ht="15" customHeight="1">
      <c r="A15" s="76"/>
      <c r="B15" s="76"/>
      <c r="C15" s="76"/>
      <c r="D15" s="77"/>
      <c r="E15" s="78">
        <v>289.80070000000001</v>
      </c>
      <c r="F15" s="78">
        <v>5530</v>
      </c>
      <c r="G15" s="78">
        <v>281.54998999999998</v>
      </c>
      <c r="H15" s="78">
        <v>8.2506799999999991</v>
      </c>
    </row>
    <row r="16" spans="1:8" ht="15" customHeight="1">
      <c r="A16" s="76"/>
      <c r="B16" s="76"/>
      <c r="C16" s="76"/>
      <c r="D16" s="77"/>
      <c r="E16" s="78">
        <v>290.35770000000002</v>
      </c>
      <c r="F16" s="78">
        <v>6002</v>
      </c>
      <c r="G16" s="78">
        <v>281.82001000000002</v>
      </c>
      <c r="H16" s="78">
        <v>8.5376899999999996</v>
      </c>
    </row>
    <row r="17" spans="1:8" ht="15" customHeight="1">
      <c r="A17" s="76"/>
      <c r="B17" s="76"/>
      <c r="C17" s="76"/>
      <c r="D17" s="30"/>
      <c r="E17" s="20"/>
      <c r="F17" s="20"/>
      <c r="G17" s="20"/>
      <c r="H17" s="20"/>
    </row>
  </sheetData>
  <mergeCells count="1">
    <mergeCell ref="E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0"/>
  <sheetViews>
    <sheetView workbookViewId="0"/>
  </sheetViews>
  <sheetFormatPr defaultColWidth="11.19921875" defaultRowHeight="15" customHeight="1"/>
  <sheetData>
    <row r="1" spans="1:8" ht="15" customHeight="1">
      <c r="A1" s="67" t="s">
        <v>123</v>
      </c>
      <c r="B1" s="76"/>
      <c r="C1" s="76"/>
      <c r="D1" s="68"/>
      <c r="E1" s="139" t="s">
        <v>124</v>
      </c>
      <c r="F1" s="140"/>
      <c r="G1" s="140"/>
      <c r="H1" s="140"/>
    </row>
    <row r="2" spans="1:8" ht="15" customHeight="1">
      <c r="A2" s="67" t="s">
        <v>90</v>
      </c>
      <c r="B2" s="76"/>
      <c r="C2" s="76"/>
      <c r="D2" s="68"/>
      <c r="E2" s="68"/>
      <c r="F2" s="68"/>
      <c r="G2" s="68"/>
      <c r="H2" s="68"/>
    </row>
    <row r="3" spans="1:8" ht="15" customHeight="1">
      <c r="A3" s="70" t="s">
        <v>111</v>
      </c>
      <c r="B3" s="76"/>
      <c r="C3" s="76"/>
      <c r="D3" s="71"/>
      <c r="E3" s="72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70" t="s">
        <v>118</v>
      </c>
      <c r="B4" s="76"/>
      <c r="C4" s="76"/>
      <c r="D4" s="77" t="s">
        <v>66</v>
      </c>
      <c r="E4" s="78">
        <v>288.87819999999999</v>
      </c>
      <c r="F4" s="78">
        <v>342</v>
      </c>
      <c r="G4" s="78">
        <v>282.45999999999998</v>
      </c>
      <c r="H4" s="78">
        <v>6.4182300000000003</v>
      </c>
    </row>
    <row r="5" spans="1:8" ht="15" customHeight="1">
      <c r="A5" s="76"/>
      <c r="B5" s="76"/>
      <c r="C5" s="76"/>
      <c r="D5" s="77"/>
      <c r="E5" s="78">
        <v>288.69240000000002</v>
      </c>
      <c r="F5" s="78">
        <v>818</v>
      </c>
      <c r="G5" s="78">
        <v>282.44000999999997</v>
      </c>
      <c r="H5" s="78">
        <v>6.2524100000000002</v>
      </c>
    </row>
    <row r="6" spans="1:8" ht="15" customHeight="1">
      <c r="A6" s="76"/>
      <c r="B6" s="76"/>
      <c r="C6" s="76"/>
      <c r="D6" s="77"/>
      <c r="E6" s="78">
        <v>288.21899999999999</v>
      </c>
      <c r="F6" s="78">
        <v>1293</v>
      </c>
      <c r="G6" s="78">
        <v>281.70999</v>
      </c>
      <c r="H6" s="78">
        <v>6.5090300000000001</v>
      </c>
    </row>
    <row r="7" spans="1:8" ht="15" customHeight="1">
      <c r="A7" s="76"/>
      <c r="B7" s="76"/>
      <c r="C7" s="76"/>
      <c r="D7" s="77"/>
      <c r="E7" s="78">
        <v>287.64890000000003</v>
      </c>
      <c r="F7" s="78">
        <v>21764</v>
      </c>
      <c r="G7" s="78">
        <v>281.39999</v>
      </c>
      <c r="H7" s="78">
        <v>6.2488799999999998</v>
      </c>
    </row>
    <row r="8" spans="1:8" ht="15" customHeight="1">
      <c r="A8" s="76"/>
      <c r="B8" s="76"/>
      <c r="C8" s="76"/>
      <c r="D8" s="77"/>
      <c r="E8" s="78">
        <v>287.01319999999998</v>
      </c>
      <c r="F8" s="78">
        <v>22238</v>
      </c>
      <c r="G8" s="78">
        <v>280.94</v>
      </c>
      <c r="H8" s="78">
        <v>6.0732200000000001</v>
      </c>
    </row>
    <row r="9" spans="1:8" ht="15" customHeight="1">
      <c r="A9" s="76"/>
      <c r="B9" s="76"/>
      <c r="C9" s="76"/>
      <c r="D9" s="77"/>
      <c r="E9" s="78">
        <v>286.1626</v>
      </c>
      <c r="F9" s="78">
        <v>22710</v>
      </c>
      <c r="G9" s="78">
        <v>279.62</v>
      </c>
      <c r="H9" s="78">
        <v>6.5426200000000003</v>
      </c>
    </row>
    <row r="10" spans="1:8" ht="15" customHeight="1">
      <c r="A10" s="76"/>
      <c r="B10" s="76"/>
      <c r="C10" s="76"/>
      <c r="D10" s="77" t="s">
        <v>68</v>
      </c>
      <c r="E10" s="78">
        <v>286.2792</v>
      </c>
      <c r="F10" s="78">
        <v>23183</v>
      </c>
      <c r="G10" s="78">
        <v>281.89001000000002</v>
      </c>
      <c r="H10" s="78">
        <v>4.3891799999999996</v>
      </c>
    </row>
    <row r="11" spans="1:8" ht="15" customHeight="1">
      <c r="A11" s="76"/>
      <c r="B11" s="76"/>
      <c r="C11" s="76"/>
      <c r="D11" s="77"/>
      <c r="E11" s="78">
        <v>286.26900000000001</v>
      </c>
      <c r="F11" s="78">
        <v>23657</v>
      </c>
      <c r="G11" s="78">
        <v>281.85001</v>
      </c>
      <c r="H11" s="78">
        <v>4.4190199999999997</v>
      </c>
    </row>
    <row r="12" spans="1:8" ht="15" customHeight="1">
      <c r="A12" s="76"/>
      <c r="B12" s="76"/>
      <c r="C12" s="76"/>
      <c r="D12" s="77"/>
      <c r="E12" s="78">
        <v>286.45229999999998</v>
      </c>
      <c r="F12" s="78">
        <v>24132</v>
      </c>
      <c r="G12" s="78">
        <v>282.32999000000001</v>
      </c>
      <c r="H12" s="78">
        <v>4.1223000000000001</v>
      </c>
    </row>
    <row r="13" spans="1:8" ht="15" customHeight="1">
      <c r="A13" s="76"/>
      <c r="B13" s="76"/>
      <c r="C13" s="76"/>
      <c r="D13" s="77"/>
      <c r="E13" s="78">
        <v>286.16419999999999</v>
      </c>
      <c r="F13" s="78">
        <v>24610</v>
      </c>
      <c r="G13" s="78">
        <v>281.87</v>
      </c>
      <c r="H13" s="78">
        <v>4.2941900000000004</v>
      </c>
    </row>
    <row r="14" spans="1:8" ht="15" customHeight="1">
      <c r="A14" s="76"/>
      <c r="B14" s="76"/>
      <c r="C14" s="76"/>
      <c r="D14" s="77"/>
      <c r="E14" s="78">
        <v>286.0958</v>
      </c>
      <c r="F14" s="78">
        <v>25079</v>
      </c>
      <c r="G14" s="78">
        <v>281.98998999999998</v>
      </c>
      <c r="H14" s="78">
        <v>4.10581</v>
      </c>
    </row>
    <row r="15" spans="1:8" ht="15" customHeight="1">
      <c r="A15" s="76"/>
      <c r="B15" s="76"/>
      <c r="C15" s="76"/>
      <c r="D15" s="77"/>
      <c r="E15" s="78">
        <v>285.6044</v>
      </c>
      <c r="F15" s="78">
        <v>25555</v>
      </c>
      <c r="G15" s="78">
        <v>281.52999999999997</v>
      </c>
      <c r="H15" s="78">
        <v>4.0743499999999999</v>
      </c>
    </row>
    <row r="16" spans="1:8" ht="15" customHeight="1">
      <c r="A16" s="76"/>
      <c r="B16" s="76"/>
      <c r="C16" s="76"/>
      <c r="D16" s="77"/>
      <c r="E16" s="80"/>
      <c r="F16" s="80"/>
      <c r="G16" s="80"/>
      <c r="H16" s="80"/>
    </row>
    <row r="17" spans="1:8" ht="15" customHeight="1">
      <c r="A17" s="76"/>
      <c r="B17" s="76"/>
      <c r="C17" s="76"/>
      <c r="D17" s="30"/>
      <c r="E17" s="20"/>
      <c r="F17" s="20"/>
      <c r="G17" s="20"/>
      <c r="H17" s="20"/>
    </row>
    <row r="18" spans="1:8" ht="15" customHeight="1">
      <c r="A18" s="76"/>
      <c r="B18" s="76"/>
      <c r="C18" s="76"/>
      <c r="D18" s="76"/>
      <c r="E18" s="76"/>
      <c r="F18" s="76"/>
      <c r="G18" s="76"/>
      <c r="H18" s="76"/>
    </row>
    <row r="19" spans="1:8" ht="15" customHeight="1">
      <c r="A19" s="76"/>
      <c r="B19" s="76"/>
      <c r="C19" s="76"/>
      <c r="D19" s="76"/>
      <c r="E19" s="76"/>
      <c r="F19" s="76"/>
      <c r="G19" s="76"/>
      <c r="H19" s="76"/>
    </row>
    <row r="20" spans="1:8" ht="15" customHeight="1">
      <c r="A20" s="76"/>
      <c r="B20" s="76"/>
      <c r="C20" s="76"/>
      <c r="D20" s="76"/>
      <c r="E20" s="76"/>
      <c r="F20" s="76"/>
      <c r="G20" s="76"/>
      <c r="H20" s="76"/>
    </row>
  </sheetData>
  <mergeCells count="1">
    <mergeCell ref="E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42"/>
  <sheetViews>
    <sheetView workbookViewId="0"/>
  </sheetViews>
  <sheetFormatPr defaultColWidth="11.19921875" defaultRowHeight="15" customHeight="1"/>
  <sheetData>
    <row r="1" spans="1:8" ht="15" customHeight="1">
      <c r="A1" s="81" t="s">
        <v>125</v>
      </c>
      <c r="D1" s="68"/>
      <c r="E1" s="139" t="s">
        <v>126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127</v>
      </c>
      <c r="D4" s="68" t="s">
        <v>119</v>
      </c>
      <c r="E4" s="74">
        <v>286.75420000000003</v>
      </c>
      <c r="F4" s="75">
        <v>301</v>
      </c>
      <c r="G4" s="75">
        <v>276.51</v>
      </c>
      <c r="H4" s="75">
        <v>10.24417</v>
      </c>
    </row>
    <row r="5" spans="1:8" ht="15" customHeight="1">
      <c r="D5" s="68"/>
      <c r="E5" s="74">
        <v>286.68380000000002</v>
      </c>
      <c r="F5" s="75">
        <v>773</v>
      </c>
      <c r="G5" s="75">
        <v>276.35000000000002</v>
      </c>
      <c r="H5" s="75">
        <v>10.33375</v>
      </c>
    </row>
    <row r="6" spans="1:8" ht="15" customHeight="1">
      <c r="D6" s="68"/>
      <c r="E6" s="74">
        <v>286.94709999999998</v>
      </c>
      <c r="F6" s="75">
        <v>1246</v>
      </c>
      <c r="G6" s="75">
        <v>277.48</v>
      </c>
      <c r="H6" s="75">
        <v>9.4670900000000007</v>
      </c>
    </row>
    <row r="7" spans="1:8" ht="15" customHeight="1">
      <c r="D7" s="68"/>
      <c r="E7" s="74">
        <v>286.91669999999999</v>
      </c>
      <c r="F7" s="75">
        <v>1721</v>
      </c>
      <c r="G7" s="75">
        <v>276.95</v>
      </c>
      <c r="H7" s="75">
        <v>9.9666599999999992</v>
      </c>
    </row>
    <row r="8" spans="1:8" ht="15" customHeight="1">
      <c r="D8" s="68"/>
      <c r="E8" s="74">
        <v>287.12909999999999</v>
      </c>
      <c r="F8" s="75">
        <v>2194</v>
      </c>
      <c r="G8" s="75">
        <v>276.85000000000002</v>
      </c>
      <c r="H8" s="75">
        <v>10.27913</v>
      </c>
    </row>
    <row r="9" spans="1:8" ht="15" customHeight="1">
      <c r="D9" s="68"/>
      <c r="E9" s="74">
        <v>286.9196</v>
      </c>
      <c r="F9" s="75">
        <v>2667</v>
      </c>
      <c r="G9" s="75">
        <v>276.83999999999997</v>
      </c>
      <c r="H9" s="75">
        <v>10.07957</v>
      </c>
    </row>
    <row r="10" spans="1:8" ht="15" customHeight="1">
      <c r="D10" s="68"/>
      <c r="E10" s="74">
        <v>286.65629999999999</v>
      </c>
      <c r="F10" s="75">
        <v>3141</v>
      </c>
      <c r="G10" s="75">
        <v>277.17</v>
      </c>
      <c r="H10" s="75">
        <v>9.4862900000000003</v>
      </c>
    </row>
    <row r="11" spans="1:8" ht="15" customHeight="1">
      <c r="D11" s="68" t="s">
        <v>107</v>
      </c>
      <c r="E11" s="74">
        <v>286.82080000000002</v>
      </c>
      <c r="F11" s="75">
        <v>3611</v>
      </c>
      <c r="G11" s="75">
        <v>280.45</v>
      </c>
      <c r="H11" s="75">
        <v>6.3708299999999998</v>
      </c>
    </row>
    <row r="12" spans="1:8" ht="15" customHeight="1">
      <c r="D12" s="68"/>
      <c r="E12" s="74">
        <v>286.92630000000003</v>
      </c>
      <c r="F12" s="75">
        <v>4082</v>
      </c>
      <c r="G12" s="75">
        <v>281.26</v>
      </c>
      <c r="H12" s="75">
        <v>5.6662499999999998</v>
      </c>
    </row>
    <row r="13" spans="1:8" ht="15" customHeight="1">
      <c r="D13" s="68"/>
      <c r="E13" s="74">
        <v>287.005</v>
      </c>
      <c r="F13" s="75">
        <v>4556</v>
      </c>
      <c r="G13" s="75">
        <v>281.92</v>
      </c>
      <c r="H13" s="75">
        <v>5.085</v>
      </c>
    </row>
    <row r="14" spans="1:8" ht="15" customHeight="1">
      <c r="D14" s="68"/>
      <c r="E14" s="74">
        <v>286.96460000000002</v>
      </c>
      <c r="F14" s="75">
        <v>5030</v>
      </c>
      <c r="G14" s="75">
        <v>282.14</v>
      </c>
      <c r="H14" s="75">
        <v>4.8245800000000001</v>
      </c>
    </row>
    <row r="15" spans="1:8" ht="15" customHeight="1">
      <c r="D15" s="68"/>
      <c r="E15" s="74">
        <v>287.2013</v>
      </c>
      <c r="F15" s="75">
        <v>5502</v>
      </c>
      <c r="G15" s="75">
        <v>282.48</v>
      </c>
      <c r="H15" s="75">
        <v>4.7213000000000003</v>
      </c>
    </row>
    <row r="16" spans="1:8" ht="15" customHeight="1">
      <c r="D16" s="68"/>
      <c r="E16" s="74">
        <v>287.5179</v>
      </c>
      <c r="F16" s="75">
        <v>5977</v>
      </c>
      <c r="G16" s="75">
        <v>282.22000000000003</v>
      </c>
      <c r="H16" s="75">
        <v>5.2979200000000004</v>
      </c>
    </row>
    <row r="17" spans="4:8" ht="15" customHeight="1">
      <c r="D17" s="68"/>
      <c r="E17" s="74">
        <v>287.00709999999998</v>
      </c>
      <c r="F17" s="75">
        <v>6449</v>
      </c>
      <c r="G17" s="75">
        <v>280.92</v>
      </c>
      <c r="H17" s="75">
        <v>6.0870800000000003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  <row r="27" spans="4:8" ht="15" customHeight="1">
      <c r="D27" s="68"/>
      <c r="E27" s="68"/>
      <c r="F27" s="68"/>
      <c r="G27" s="68"/>
      <c r="H27" s="68"/>
    </row>
    <row r="28" spans="4:8" ht="15.6">
      <c r="D28" s="68"/>
      <c r="E28" s="68"/>
      <c r="F28" s="68"/>
      <c r="G28" s="68"/>
      <c r="H28" s="68"/>
    </row>
    <row r="29" spans="4:8" ht="15.6">
      <c r="D29" s="68"/>
      <c r="E29" s="68"/>
      <c r="F29" s="68"/>
      <c r="G29" s="68"/>
      <c r="H29" s="68"/>
    </row>
    <row r="30" spans="4:8" ht="15.6">
      <c r="D30" s="68"/>
      <c r="E30" s="68"/>
      <c r="F30" s="68"/>
      <c r="G30" s="68"/>
      <c r="H30" s="68"/>
    </row>
    <row r="31" spans="4:8" ht="15.6">
      <c r="D31" s="68"/>
      <c r="E31" s="68"/>
      <c r="F31" s="68"/>
      <c r="G31" s="68"/>
      <c r="H31" s="68"/>
    </row>
    <row r="32" spans="4:8" ht="15.6">
      <c r="D32" s="68"/>
      <c r="E32" s="68"/>
      <c r="F32" s="68"/>
      <c r="G32" s="68"/>
      <c r="H32" s="68"/>
    </row>
    <row r="33" spans="4:8" ht="15.6">
      <c r="D33" s="68"/>
      <c r="E33" s="68"/>
      <c r="F33" s="68"/>
      <c r="G33" s="68"/>
      <c r="H33" s="68"/>
    </row>
    <row r="34" spans="4:8" ht="15.6">
      <c r="D34" s="68"/>
      <c r="E34" s="68"/>
      <c r="F34" s="68"/>
      <c r="G34" s="68"/>
      <c r="H34" s="68"/>
    </row>
    <row r="35" spans="4:8" ht="15.6">
      <c r="D35" s="68"/>
      <c r="E35" s="68"/>
      <c r="F35" s="68"/>
      <c r="G35" s="68"/>
      <c r="H35" s="68"/>
    </row>
    <row r="36" spans="4:8" ht="15.6">
      <c r="D36" s="68"/>
      <c r="E36" s="68"/>
      <c r="F36" s="68"/>
      <c r="G36" s="68"/>
      <c r="H36" s="68"/>
    </row>
    <row r="37" spans="4:8" ht="15.6">
      <c r="D37" s="68"/>
      <c r="E37" s="68"/>
      <c r="F37" s="68"/>
      <c r="G37" s="68"/>
      <c r="H37" s="68"/>
    </row>
    <row r="38" spans="4:8" ht="15.6">
      <c r="D38" s="68"/>
      <c r="E38" s="68"/>
      <c r="F38" s="68"/>
      <c r="G38" s="68"/>
      <c r="H38" s="68"/>
    </row>
    <row r="39" spans="4:8" ht="15.6">
      <c r="D39" s="68"/>
      <c r="E39" s="68"/>
      <c r="F39" s="68"/>
      <c r="G39" s="68"/>
      <c r="H39" s="68"/>
    </row>
    <row r="40" spans="4:8" ht="15.6">
      <c r="D40" s="68"/>
      <c r="E40" s="68"/>
      <c r="F40" s="68"/>
      <c r="G40" s="68"/>
      <c r="H40" s="68"/>
    </row>
    <row r="41" spans="4:8" ht="15.6">
      <c r="D41" s="68"/>
      <c r="E41" s="68"/>
      <c r="F41" s="68"/>
      <c r="G41" s="68"/>
      <c r="H41" s="68"/>
    </row>
    <row r="42" spans="4:8" ht="15.6">
      <c r="D42" s="68"/>
      <c r="E42" s="68"/>
      <c r="F42" s="68"/>
      <c r="G42" s="68"/>
      <c r="H42" s="68"/>
    </row>
  </sheetData>
  <mergeCells count="1">
    <mergeCell ref="E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3" t="s">
        <v>128</v>
      </c>
      <c r="B1" s="84"/>
      <c r="C1" s="84"/>
      <c r="D1" s="68"/>
      <c r="E1" s="139" t="s">
        <v>129</v>
      </c>
      <c r="F1" s="140"/>
      <c r="G1" s="140"/>
      <c r="H1" s="140"/>
      <c r="J1" s="68"/>
      <c r="K1" s="139" t="s">
        <v>130</v>
      </c>
      <c r="L1" s="140"/>
      <c r="M1" s="140"/>
      <c r="N1" s="140"/>
    </row>
    <row r="2" spans="1:14" ht="15" customHeight="1">
      <c r="A2" s="67" t="s">
        <v>90</v>
      </c>
      <c r="B2" s="84"/>
      <c r="C2" s="84"/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70" t="s">
        <v>111</v>
      </c>
      <c r="B3" s="84"/>
      <c r="C3" s="84"/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70" t="s">
        <v>131</v>
      </c>
      <c r="B4" s="84"/>
      <c r="C4" s="84"/>
      <c r="D4" s="68" t="s">
        <v>119</v>
      </c>
      <c r="E4" s="74">
        <v>292.35390000000001</v>
      </c>
      <c r="F4" s="75">
        <v>301</v>
      </c>
      <c r="G4" s="75">
        <v>276.83999999999997</v>
      </c>
      <c r="H4" s="75">
        <v>15.51389</v>
      </c>
      <c r="J4" s="68" t="s">
        <v>95</v>
      </c>
      <c r="K4" s="74">
        <v>292.7611</v>
      </c>
      <c r="L4" s="75">
        <v>301</v>
      </c>
      <c r="M4" s="75">
        <v>273.95</v>
      </c>
      <c r="N4" s="75">
        <v>18.811140000000002</v>
      </c>
    </row>
    <row r="5" spans="1:14" ht="15" customHeight="1">
      <c r="D5" s="68"/>
      <c r="E5" s="74">
        <v>292.27690000000001</v>
      </c>
      <c r="F5" s="75">
        <v>774</v>
      </c>
      <c r="G5" s="75">
        <v>276.17</v>
      </c>
      <c r="H5" s="75">
        <v>16.106850000000001</v>
      </c>
      <c r="J5" s="68"/>
      <c r="K5" s="74">
        <v>292.4051</v>
      </c>
      <c r="L5" s="75">
        <v>776</v>
      </c>
      <c r="M5" s="75">
        <v>273.75</v>
      </c>
      <c r="N5" s="75">
        <v>18.655139999999999</v>
      </c>
    </row>
    <row r="6" spans="1:14" ht="15" customHeight="1">
      <c r="D6" s="68"/>
      <c r="E6" s="74">
        <v>291.70740000000001</v>
      </c>
      <c r="F6" s="75">
        <v>1249</v>
      </c>
      <c r="G6" s="75">
        <v>276.44</v>
      </c>
      <c r="H6" s="75">
        <v>15.267429999999999</v>
      </c>
      <c r="J6" s="68"/>
      <c r="K6" s="74">
        <v>292.26740000000001</v>
      </c>
      <c r="L6" s="75">
        <v>1249</v>
      </c>
      <c r="M6" s="75">
        <v>272.82</v>
      </c>
      <c r="N6" s="75">
        <v>19.447430000000001</v>
      </c>
    </row>
    <row r="7" spans="1:14" ht="15" customHeight="1">
      <c r="D7" s="68"/>
      <c r="E7" s="74">
        <v>290.97890000000001</v>
      </c>
      <c r="F7" s="75">
        <v>1721</v>
      </c>
      <c r="G7" s="75">
        <v>276.27999999999997</v>
      </c>
      <c r="H7" s="75">
        <v>14.69889</v>
      </c>
      <c r="J7" s="68"/>
      <c r="K7" s="74">
        <v>292.29090000000002</v>
      </c>
      <c r="L7" s="75">
        <v>1721</v>
      </c>
      <c r="M7" s="75">
        <v>274.16000000000003</v>
      </c>
      <c r="N7" s="75">
        <v>18.130859999999998</v>
      </c>
    </row>
    <row r="8" spans="1:14" ht="15" customHeight="1">
      <c r="D8" s="68"/>
      <c r="E8" s="74">
        <v>291.4051</v>
      </c>
      <c r="F8" s="75">
        <v>2197</v>
      </c>
      <c r="G8" s="75">
        <v>276.54000000000002</v>
      </c>
      <c r="H8" s="75">
        <v>14.86514</v>
      </c>
      <c r="J8" s="68"/>
      <c r="K8" s="74">
        <v>292.23169999999999</v>
      </c>
      <c r="L8" s="75">
        <v>2196</v>
      </c>
      <c r="M8" s="75">
        <v>275.17</v>
      </c>
      <c r="N8" s="75">
        <v>17.061710000000001</v>
      </c>
    </row>
    <row r="9" spans="1:14" ht="15" customHeight="1">
      <c r="D9" s="68" t="s">
        <v>94</v>
      </c>
      <c r="E9" s="19">
        <v>289.85399999999998</v>
      </c>
      <c r="F9" s="20">
        <v>2670</v>
      </c>
      <c r="G9" s="20">
        <v>276.04000000000002</v>
      </c>
      <c r="H9" s="20">
        <v>13.814</v>
      </c>
      <c r="J9" s="68" t="s">
        <v>119</v>
      </c>
      <c r="K9" s="74">
        <v>291.8929</v>
      </c>
      <c r="L9" s="75">
        <v>2671</v>
      </c>
      <c r="M9" s="75">
        <v>273.64</v>
      </c>
      <c r="N9" s="75">
        <v>18.252859999999998</v>
      </c>
    </row>
    <row r="10" spans="1:14" ht="15" customHeight="1">
      <c r="D10" s="68"/>
      <c r="E10" s="19">
        <v>290.6046</v>
      </c>
      <c r="F10" s="20">
        <v>3116</v>
      </c>
      <c r="G10" s="20">
        <v>277.47000000000003</v>
      </c>
      <c r="H10" s="20">
        <v>13.13457</v>
      </c>
      <c r="J10" s="68"/>
      <c r="K10" s="74">
        <v>292.35390000000001</v>
      </c>
      <c r="L10" s="75">
        <v>3143</v>
      </c>
      <c r="M10" s="75">
        <v>276.83999999999997</v>
      </c>
      <c r="N10" s="75">
        <v>15.51389</v>
      </c>
    </row>
    <row r="11" spans="1:14" ht="15" customHeight="1">
      <c r="D11" s="68"/>
      <c r="E11" s="19">
        <v>290.78710000000001</v>
      </c>
      <c r="F11" s="20">
        <v>3590</v>
      </c>
      <c r="G11" s="20">
        <v>277.14</v>
      </c>
      <c r="H11" s="20">
        <v>13.64714</v>
      </c>
      <c r="J11" s="68"/>
      <c r="K11" s="74">
        <v>292.27690000000001</v>
      </c>
      <c r="L11" s="75">
        <v>3616</v>
      </c>
      <c r="M11" s="75">
        <v>276.17</v>
      </c>
      <c r="N11" s="75">
        <v>16.106850000000001</v>
      </c>
    </row>
    <row r="12" spans="1:14" ht="15" customHeight="1">
      <c r="D12" s="68"/>
      <c r="E12" s="19">
        <v>289.6431</v>
      </c>
      <c r="F12" s="20">
        <v>4062</v>
      </c>
      <c r="G12" s="20">
        <v>277.41000000000003</v>
      </c>
      <c r="H12" s="20">
        <v>12.233140000000001</v>
      </c>
      <c r="J12" s="68"/>
      <c r="K12" s="74">
        <v>291.70740000000001</v>
      </c>
      <c r="L12" s="75">
        <v>4091</v>
      </c>
      <c r="M12" s="75">
        <v>276.44</v>
      </c>
      <c r="N12" s="75">
        <v>15.267429999999999</v>
      </c>
    </row>
    <row r="13" spans="1:14" ht="15" customHeight="1">
      <c r="D13" s="68"/>
      <c r="E13" s="74">
        <v>289.4914</v>
      </c>
      <c r="F13" s="75">
        <v>4537</v>
      </c>
      <c r="G13" s="75">
        <v>277.47000000000003</v>
      </c>
      <c r="H13" s="75">
        <v>12.021430000000001</v>
      </c>
      <c r="J13" s="68"/>
      <c r="K13" s="74">
        <v>290.97890000000001</v>
      </c>
      <c r="L13" s="75">
        <v>4563</v>
      </c>
      <c r="M13" s="75">
        <v>276.27999999999997</v>
      </c>
      <c r="N13" s="75">
        <v>14.69889</v>
      </c>
    </row>
    <row r="14" spans="1:14" ht="15" customHeight="1">
      <c r="D14" s="68"/>
      <c r="E14" s="74">
        <v>289.3023</v>
      </c>
      <c r="F14" s="75">
        <v>5013</v>
      </c>
      <c r="G14" s="75">
        <v>276.64</v>
      </c>
      <c r="H14" s="75">
        <v>12.66229</v>
      </c>
      <c r="J14" s="68"/>
      <c r="K14" s="74">
        <v>291.4051</v>
      </c>
      <c r="L14" s="75">
        <v>5039</v>
      </c>
      <c r="M14" s="75">
        <v>276.54000000000002</v>
      </c>
      <c r="N14" s="75">
        <v>14.86514</v>
      </c>
    </row>
    <row r="15" spans="1:14" ht="15" customHeight="1">
      <c r="D15" s="68"/>
      <c r="E15" s="74">
        <v>288.0471</v>
      </c>
      <c r="F15" s="75">
        <v>5484</v>
      </c>
      <c r="G15" s="75">
        <v>274.7</v>
      </c>
      <c r="H15" s="75">
        <v>13.34714</v>
      </c>
      <c r="J15" s="68"/>
      <c r="K15" s="68"/>
      <c r="L15" s="68"/>
      <c r="M15" s="68"/>
      <c r="N15" s="68"/>
    </row>
    <row r="16" spans="1:14" ht="15" customHeight="1">
      <c r="D16" s="68"/>
      <c r="E16" s="74">
        <v>289.90890000000002</v>
      </c>
      <c r="F16" s="75">
        <v>5958</v>
      </c>
      <c r="G16" s="75">
        <v>277.51</v>
      </c>
      <c r="H16" s="75">
        <v>12.398860000000001</v>
      </c>
      <c r="J16" s="68"/>
      <c r="K16" s="68"/>
      <c r="L16" s="68"/>
      <c r="M16" s="68"/>
      <c r="N16" s="68"/>
    </row>
    <row r="17" spans="4:14" ht="15" customHeight="1">
      <c r="D17" s="68"/>
      <c r="E17" s="74">
        <v>289.10910000000001</v>
      </c>
      <c r="F17" s="75">
        <v>6434</v>
      </c>
      <c r="G17" s="75">
        <v>276</v>
      </c>
      <c r="H17" s="75">
        <v>13.10914</v>
      </c>
      <c r="J17" s="68"/>
      <c r="K17" s="68"/>
      <c r="L17" s="68"/>
      <c r="M17" s="68"/>
      <c r="N17" s="68"/>
    </row>
    <row r="18" spans="4:14" ht="15" customHeight="1">
      <c r="D18" s="68"/>
      <c r="E18" s="74">
        <v>288.32600000000002</v>
      </c>
      <c r="F18" s="75">
        <v>6908</v>
      </c>
      <c r="G18" s="75">
        <v>275.42</v>
      </c>
      <c r="H18" s="75">
        <v>12.906000000000001</v>
      </c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000"/>
  <sheetViews>
    <sheetView workbookViewId="0"/>
  </sheetViews>
  <sheetFormatPr defaultColWidth="11.19921875" defaultRowHeight="15" customHeight="1"/>
  <sheetData>
    <row r="1" spans="1:8" ht="15" customHeight="1">
      <c r="A1" s="83" t="s">
        <v>132</v>
      </c>
      <c r="B1" s="84"/>
      <c r="C1" s="84"/>
      <c r="D1" s="84"/>
      <c r="E1" s="141" t="s">
        <v>133</v>
      </c>
      <c r="F1" s="140"/>
      <c r="G1" s="140"/>
      <c r="H1" s="140"/>
    </row>
    <row r="2" spans="1:8" ht="15" customHeight="1">
      <c r="A2" s="67" t="s">
        <v>90</v>
      </c>
      <c r="B2" s="84"/>
      <c r="C2" s="84"/>
      <c r="D2" s="84"/>
      <c r="E2" s="85"/>
      <c r="F2" s="85"/>
      <c r="G2" s="85"/>
      <c r="H2" s="85"/>
    </row>
    <row r="3" spans="1:8" ht="15" customHeight="1">
      <c r="A3" s="70" t="s">
        <v>111</v>
      </c>
      <c r="B3" s="84"/>
      <c r="C3" s="84"/>
      <c r="D3" s="86"/>
      <c r="E3" s="50" t="s">
        <v>10</v>
      </c>
      <c r="F3" s="50" t="s">
        <v>11</v>
      </c>
      <c r="G3" s="50" t="s">
        <v>12</v>
      </c>
      <c r="H3" s="87" t="s">
        <v>85</v>
      </c>
    </row>
    <row r="4" spans="1:8" ht="15" customHeight="1">
      <c r="A4" s="70" t="s">
        <v>131</v>
      </c>
      <c r="B4" s="84"/>
      <c r="C4" s="84"/>
      <c r="D4" s="52" t="s">
        <v>95</v>
      </c>
      <c r="E4" s="88">
        <v>284.91039999999998</v>
      </c>
      <c r="F4" s="88">
        <v>301</v>
      </c>
      <c r="G4" s="88">
        <v>268.75</v>
      </c>
      <c r="H4" s="88">
        <v>16.160419999999998</v>
      </c>
    </row>
    <row r="5" spans="1:8" ht="15" customHeight="1">
      <c r="D5" s="86"/>
      <c r="E5" s="88">
        <v>284.93430000000001</v>
      </c>
      <c r="F5" s="88">
        <v>775</v>
      </c>
      <c r="G5" s="88">
        <v>268.89</v>
      </c>
      <c r="H5" s="88">
        <v>16.044339999999998</v>
      </c>
    </row>
    <row r="6" spans="1:8" ht="15" customHeight="1">
      <c r="D6" s="86"/>
      <c r="E6" s="88">
        <v>284.80439999999999</v>
      </c>
      <c r="F6" s="88">
        <v>1250</v>
      </c>
      <c r="G6" s="88">
        <v>269.14</v>
      </c>
      <c r="H6" s="88">
        <v>15.664350000000001</v>
      </c>
    </row>
    <row r="7" spans="1:8" ht="15" customHeight="1">
      <c r="D7" s="86"/>
      <c r="E7" s="88">
        <v>284.83589999999998</v>
      </c>
      <c r="F7" s="88">
        <v>1723</v>
      </c>
      <c r="G7" s="88">
        <v>269.12</v>
      </c>
      <c r="H7" s="88">
        <v>15.71588</v>
      </c>
    </row>
    <row r="8" spans="1:8" ht="15" customHeight="1">
      <c r="D8" s="86"/>
      <c r="E8" s="88">
        <v>284.78820000000002</v>
      </c>
      <c r="F8" s="88">
        <v>2195</v>
      </c>
      <c r="G8" s="88">
        <v>269.54000000000002</v>
      </c>
      <c r="H8" s="88">
        <v>15.248239999999999</v>
      </c>
    </row>
    <row r="9" spans="1:8" ht="15" customHeight="1">
      <c r="D9" s="86"/>
      <c r="E9" s="88">
        <v>284.7285</v>
      </c>
      <c r="F9" s="88">
        <v>2667</v>
      </c>
      <c r="G9" s="88">
        <v>269.7</v>
      </c>
      <c r="H9" s="88">
        <v>15.02853</v>
      </c>
    </row>
    <row r="10" spans="1:8" ht="15" customHeight="1">
      <c r="D10" s="52" t="s">
        <v>119</v>
      </c>
      <c r="E10" s="89">
        <v>284.40629999999999</v>
      </c>
      <c r="F10" s="89">
        <v>3140</v>
      </c>
      <c r="G10" s="89">
        <v>269.48</v>
      </c>
      <c r="H10" s="89">
        <v>14.92629</v>
      </c>
    </row>
    <row r="11" spans="1:8" ht="15" customHeight="1">
      <c r="D11" s="86"/>
      <c r="E11" s="88">
        <v>284.39120000000003</v>
      </c>
      <c r="F11" s="88">
        <v>3614</v>
      </c>
      <c r="G11" s="88">
        <v>269.73</v>
      </c>
      <c r="H11" s="88">
        <v>14.66118</v>
      </c>
    </row>
    <row r="12" spans="1:8" ht="15" customHeight="1">
      <c r="D12" s="86"/>
      <c r="E12" s="88">
        <v>284.29379999999998</v>
      </c>
      <c r="F12" s="88">
        <v>4086</v>
      </c>
      <c r="G12" s="88">
        <v>269.69</v>
      </c>
      <c r="H12" s="88">
        <v>14.603820000000001</v>
      </c>
    </row>
    <row r="13" spans="1:8" ht="15" customHeight="1">
      <c r="D13" s="86"/>
      <c r="E13" s="88">
        <v>284.06909999999999</v>
      </c>
      <c r="F13" s="88">
        <v>4559</v>
      </c>
      <c r="G13" s="88">
        <v>269.85000000000002</v>
      </c>
      <c r="H13" s="88">
        <v>14.219139999999999</v>
      </c>
    </row>
    <row r="14" spans="1:8" ht="15" customHeight="1">
      <c r="D14" s="86"/>
      <c r="E14" s="88">
        <v>283.93200000000002</v>
      </c>
      <c r="F14" s="88">
        <v>5033</v>
      </c>
      <c r="G14" s="88">
        <v>269.95</v>
      </c>
      <c r="H14" s="88">
        <v>13.981999999999999</v>
      </c>
    </row>
    <row r="15" spans="1:8" ht="15" customHeight="1">
      <c r="D15" s="86"/>
      <c r="E15" s="88">
        <v>283.22890000000001</v>
      </c>
      <c r="F15" s="88">
        <v>5511</v>
      </c>
      <c r="G15" s="88">
        <v>268.48</v>
      </c>
      <c r="H15" s="88">
        <v>14.748860000000001</v>
      </c>
    </row>
    <row r="16" spans="1:8" ht="15" customHeight="1">
      <c r="D16" s="84"/>
      <c r="E16" s="84"/>
      <c r="F16" s="84"/>
      <c r="G16" s="84"/>
      <c r="H16" s="84"/>
    </row>
    <row r="17" spans="4:8" ht="15" customHeight="1">
      <c r="D17" s="84"/>
      <c r="E17" s="84"/>
      <c r="F17" s="84"/>
      <c r="G17" s="84"/>
      <c r="H17" s="84"/>
    </row>
    <row r="18" spans="4:8" ht="15" customHeight="1">
      <c r="D18" s="84"/>
      <c r="E18" s="84"/>
      <c r="F18" s="84"/>
      <c r="G18" s="84"/>
      <c r="H18" s="84"/>
    </row>
    <row r="19" spans="4:8" ht="15" customHeight="1">
      <c r="D19" s="84"/>
      <c r="E19" s="84"/>
      <c r="F19" s="84"/>
      <c r="G19" s="84"/>
      <c r="H19" s="84"/>
    </row>
    <row r="20" spans="4:8" ht="15" customHeight="1">
      <c r="D20" s="84"/>
      <c r="E20" s="84"/>
      <c r="F20" s="84"/>
      <c r="G20" s="84"/>
      <c r="H20" s="84"/>
    </row>
    <row r="21" spans="4:8" ht="15" customHeight="1">
      <c r="D21" s="84"/>
      <c r="E21" s="84"/>
      <c r="F21" s="84"/>
      <c r="G21" s="84"/>
      <c r="H21" s="84"/>
    </row>
    <row r="22" spans="4:8" ht="15" customHeight="1">
      <c r="D22" s="84"/>
      <c r="E22" s="84"/>
      <c r="F22" s="84"/>
      <c r="G22" s="84"/>
      <c r="H22" s="84"/>
    </row>
    <row r="23" spans="4:8" ht="15" customHeight="1">
      <c r="D23" s="84"/>
      <c r="E23" s="84"/>
      <c r="F23" s="84"/>
      <c r="G23" s="84"/>
      <c r="H23" s="84"/>
    </row>
    <row r="24" spans="4:8" ht="15" customHeight="1">
      <c r="D24" s="84"/>
      <c r="E24" s="84"/>
      <c r="F24" s="84"/>
      <c r="G24" s="84"/>
      <c r="H24" s="84"/>
    </row>
    <row r="25" spans="4:8" ht="15" customHeight="1">
      <c r="D25" s="84"/>
      <c r="E25" s="84"/>
      <c r="F25" s="84"/>
      <c r="G25" s="84"/>
      <c r="H25" s="84"/>
    </row>
    <row r="26" spans="4:8" ht="15" customHeight="1">
      <c r="D26" s="84"/>
      <c r="E26" s="84"/>
      <c r="F26" s="84"/>
      <c r="G26" s="84"/>
      <c r="H26" s="84"/>
    </row>
    <row r="27" spans="4:8" ht="15" customHeight="1">
      <c r="D27" s="84"/>
      <c r="E27" s="84"/>
      <c r="F27" s="84"/>
      <c r="G27" s="84"/>
      <c r="H27" s="84"/>
    </row>
    <row r="28" spans="4:8" ht="15.6">
      <c r="D28" s="84"/>
      <c r="E28" s="84"/>
      <c r="F28" s="84"/>
      <c r="G28" s="84"/>
      <c r="H28" s="84"/>
    </row>
    <row r="29" spans="4:8" ht="15.6">
      <c r="D29" s="84"/>
      <c r="E29" s="84"/>
      <c r="F29" s="84"/>
      <c r="G29" s="84"/>
      <c r="H29" s="84"/>
    </row>
    <row r="30" spans="4:8" ht="15.6">
      <c r="D30" s="84"/>
      <c r="E30" s="84"/>
      <c r="F30" s="84"/>
      <c r="G30" s="84"/>
      <c r="H30" s="84"/>
    </row>
    <row r="31" spans="4:8" ht="15.6">
      <c r="D31" s="84"/>
      <c r="E31" s="84"/>
      <c r="F31" s="84"/>
      <c r="G31" s="84"/>
      <c r="H31" s="84"/>
    </row>
    <row r="32" spans="4:8" ht="15.6">
      <c r="D32" s="84"/>
      <c r="E32" s="84"/>
      <c r="F32" s="84"/>
      <c r="G32" s="84"/>
      <c r="H32" s="84"/>
    </row>
    <row r="33" spans="4:8" ht="15.6">
      <c r="D33" s="84"/>
      <c r="E33" s="84"/>
      <c r="F33" s="84"/>
      <c r="G33" s="84"/>
      <c r="H33" s="84"/>
    </row>
    <row r="34" spans="4:8" ht="15.6">
      <c r="D34" s="84"/>
      <c r="E34" s="84"/>
      <c r="F34" s="84"/>
      <c r="G34" s="84"/>
      <c r="H34" s="84"/>
    </row>
    <row r="35" spans="4:8" ht="15.6">
      <c r="D35" s="84"/>
      <c r="E35" s="84"/>
      <c r="F35" s="84"/>
      <c r="G35" s="84"/>
      <c r="H35" s="84"/>
    </row>
    <row r="36" spans="4:8" ht="15.6">
      <c r="D36" s="84"/>
      <c r="E36" s="84"/>
      <c r="F36" s="84"/>
      <c r="G36" s="84"/>
      <c r="H36" s="84"/>
    </row>
    <row r="37" spans="4:8" ht="15.6">
      <c r="D37" s="84"/>
      <c r="E37" s="84"/>
      <c r="F37" s="84"/>
      <c r="G37" s="84"/>
      <c r="H37" s="84"/>
    </row>
    <row r="38" spans="4:8" ht="15.6">
      <c r="D38" s="84"/>
      <c r="E38" s="84"/>
      <c r="F38" s="84"/>
      <c r="G38" s="84"/>
      <c r="H38" s="84"/>
    </row>
    <row r="39" spans="4:8" ht="15.6">
      <c r="D39" s="84"/>
      <c r="E39" s="84"/>
      <c r="F39" s="84"/>
      <c r="G39" s="84"/>
      <c r="H39" s="84"/>
    </row>
    <row r="40" spans="4:8" ht="15.6">
      <c r="D40" s="84"/>
      <c r="E40" s="84"/>
      <c r="F40" s="84"/>
      <c r="G40" s="84"/>
      <c r="H40" s="84"/>
    </row>
    <row r="41" spans="4:8" ht="15.6">
      <c r="D41" s="84"/>
      <c r="E41" s="84"/>
      <c r="F41" s="84"/>
      <c r="G41" s="84"/>
      <c r="H41" s="84"/>
    </row>
    <row r="42" spans="4:8" ht="15.6">
      <c r="D42" s="84"/>
      <c r="E42" s="84"/>
      <c r="F42" s="84"/>
      <c r="G42" s="84"/>
      <c r="H42" s="84"/>
    </row>
    <row r="43" spans="4:8" ht="15.6">
      <c r="D43" s="84"/>
      <c r="E43" s="84"/>
      <c r="F43" s="84"/>
      <c r="G43" s="84"/>
      <c r="H43" s="84"/>
    </row>
    <row r="44" spans="4:8" ht="15.6">
      <c r="D44" s="84"/>
      <c r="E44" s="84"/>
      <c r="F44" s="84"/>
      <c r="G44" s="84"/>
      <c r="H44" s="84"/>
    </row>
    <row r="45" spans="4:8" ht="15.6">
      <c r="D45" s="84"/>
      <c r="E45" s="84"/>
      <c r="F45" s="84"/>
      <c r="G45" s="84"/>
      <c r="H45" s="84"/>
    </row>
    <row r="46" spans="4:8" ht="15.6">
      <c r="D46" s="84"/>
      <c r="E46" s="84"/>
      <c r="F46" s="84"/>
      <c r="G46" s="84"/>
      <c r="H46" s="84"/>
    </row>
    <row r="47" spans="4:8" ht="15.6">
      <c r="D47" s="84"/>
      <c r="E47" s="84"/>
      <c r="F47" s="84"/>
      <c r="G47" s="84"/>
      <c r="H47" s="84"/>
    </row>
    <row r="48" spans="4:8" ht="15.6">
      <c r="D48" s="84"/>
      <c r="E48" s="84"/>
      <c r="F48" s="84"/>
      <c r="G48" s="84"/>
      <c r="H48" s="84"/>
    </row>
    <row r="49" spans="4:8" ht="15.6">
      <c r="D49" s="84"/>
      <c r="E49" s="84"/>
      <c r="F49" s="84"/>
      <c r="G49" s="84"/>
      <c r="H49" s="84"/>
    </row>
    <row r="50" spans="4:8" ht="15.6">
      <c r="D50" s="84"/>
      <c r="E50" s="84"/>
      <c r="F50" s="84"/>
      <c r="G50" s="84"/>
      <c r="H50" s="84"/>
    </row>
    <row r="51" spans="4:8" ht="15.6">
      <c r="D51" s="84"/>
      <c r="E51" s="84"/>
      <c r="F51" s="84"/>
      <c r="G51" s="84"/>
      <c r="H51" s="84"/>
    </row>
    <row r="52" spans="4:8" ht="15.6">
      <c r="D52" s="84"/>
      <c r="E52" s="84"/>
      <c r="F52" s="84"/>
      <c r="G52" s="84"/>
      <c r="H52" s="84"/>
    </row>
    <row r="53" spans="4:8" ht="15.6">
      <c r="D53" s="84"/>
      <c r="E53" s="84"/>
      <c r="F53" s="84"/>
      <c r="G53" s="84"/>
      <c r="H53" s="84"/>
    </row>
    <row r="54" spans="4:8" ht="15.6">
      <c r="D54" s="84"/>
      <c r="E54" s="84"/>
      <c r="F54" s="84"/>
      <c r="G54" s="84"/>
      <c r="H54" s="84"/>
    </row>
    <row r="55" spans="4:8" ht="15.6">
      <c r="D55" s="84"/>
      <c r="E55" s="84"/>
      <c r="F55" s="84"/>
      <c r="G55" s="84"/>
      <c r="H55" s="84"/>
    </row>
    <row r="56" spans="4:8" ht="15.6">
      <c r="D56" s="84"/>
      <c r="E56" s="84"/>
      <c r="F56" s="84"/>
      <c r="G56" s="84"/>
      <c r="H56" s="84"/>
    </row>
    <row r="57" spans="4:8" ht="15.6">
      <c r="D57" s="84"/>
      <c r="E57" s="84"/>
      <c r="F57" s="84"/>
      <c r="G57" s="84"/>
      <c r="H57" s="84"/>
    </row>
    <row r="58" spans="4:8" ht="15.6">
      <c r="D58" s="84"/>
      <c r="E58" s="84"/>
      <c r="F58" s="84"/>
      <c r="G58" s="84"/>
      <c r="H58" s="84"/>
    </row>
    <row r="59" spans="4:8" ht="15.6">
      <c r="D59" s="84"/>
      <c r="E59" s="84"/>
      <c r="F59" s="84"/>
      <c r="G59" s="84"/>
      <c r="H59" s="84"/>
    </row>
    <row r="60" spans="4:8" ht="15.6">
      <c r="D60" s="84"/>
      <c r="E60" s="84"/>
      <c r="F60" s="84"/>
      <c r="G60" s="84"/>
      <c r="H60" s="84"/>
    </row>
    <row r="61" spans="4:8" ht="15.6">
      <c r="D61" s="84"/>
      <c r="E61" s="84"/>
      <c r="F61" s="84"/>
      <c r="G61" s="84"/>
      <c r="H61" s="84"/>
    </row>
    <row r="62" spans="4:8" ht="15.6">
      <c r="D62" s="84"/>
      <c r="E62" s="84"/>
      <c r="F62" s="84"/>
      <c r="G62" s="84"/>
      <c r="H62" s="84"/>
    </row>
    <row r="63" spans="4:8" ht="15.6">
      <c r="D63" s="84"/>
      <c r="E63" s="84"/>
      <c r="F63" s="84"/>
      <c r="G63" s="84"/>
      <c r="H63" s="84"/>
    </row>
    <row r="64" spans="4:8" ht="15.6">
      <c r="D64" s="84"/>
      <c r="E64" s="84"/>
      <c r="F64" s="84"/>
      <c r="G64" s="84"/>
      <c r="H64" s="84"/>
    </row>
    <row r="65" spans="4:8" ht="15.6">
      <c r="D65" s="84"/>
      <c r="E65" s="84"/>
      <c r="F65" s="84"/>
      <c r="G65" s="84"/>
      <c r="H65" s="84"/>
    </row>
    <row r="66" spans="4:8" ht="15.6">
      <c r="D66" s="84"/>
      <c r="E66" s="84"/>
      <c r="F66" s="84"/>
      <c r="G66" s="84"/>
      <c r="H66" s="84"/>
    </row>
    <row r="67" spans="4:8" ht="15.6">
      <c r="D67" s="84"/>
      <c r="E67" s="84"/>
      <c r="F67" s="84"/>
      <c r="G67" s="84"/>
      <c r="H67" s="84"/>
    </row>
    <row r="68" spans="4:8" ht="15.6">
      <c r="D68" s="84"/>
      <c r="E68" s="84"/>
      <c r="F68" s="84"/>
      <c r="G68" s="84"/>
      <c r="H68" s="84"/>
    </row>
    <row r="69" spans="4:8" ht="15.6">
      <c r="D69" s="84"/>
      <c r="E69" s="84"/>
      <c r="F69" s="84"/>
      <c r="G69" s="84"/>
      <c r="H69" s="84"/>
    </row>
    <row r="70" spans="4:8" ht="15.6">
      <c r="D70" s="84"/>
      <c r="E70" s="84"/>
      <c r="F70" s="84"/>
      <c r="G70" s="84"/>
      <c r="H70" s="84"/>
    </row>
    <row r="71" spans="4:8" ht="15.6">
      <c r="D71" s="84"/>
      <c r="E71" s="84"/>
      <c r="F71" s="84"/>
      <c r="G71" s="84"/>
      <c r="H71" s="84"/>
    </row>
    <row r="72" spans="4:8" ht="15.6">
      <c r="D72" s="84"/>
      <c r="E72" s="84"/>
      <c r="F72" s="84"/>
      <c r="G72" s="84"/>
      <c r="H72" s="84"/>
    </row>
    <row r="73" spans="4:8" ht="15.6">
      <c r="D73" s="84"/>
      <c r="E73" s="84"/>
      <c r="F73" s="84"/>
      <c r="G73" s="84"/>
      <c r="H73" s="84"/>
    </row>
    <row r="74" spans="4:8" ht="15.6">
      <c r="D74" s="84"/>
      <c r="E74" s="84"/>
      <c r="F74" s="84"/>
      <c r="G74" s="84"/>
      <c r="H74" s="84"/>
    </row>
    <row r="75" spans="4:8" ht="15.6">
      <c r="D75" s="84"/>
      <c r="E75" s="84"/>
      <c r="F75" s="84"/>
      <c r="G75" s="84"/>
      <c r="H75" s="84"/>
    </row>
    <row r="76" spans="4:8" ht="15.6">
      <c r="D76" s="84"/>
      <c r="E76" s="84"/>
      <c r="F76" s="84"/>
      <c r="G76" s="84"/>
      <c r="H76" s="84"/>
    </row>
    <row r="77" spans="4:8" ht="15.6">
      <c r="D77" s="84"/>
      <c r="E77" s="84"/>
      <c r="F77" s="84"/>
      <c r="G77" s="84"/>
      <c r="H77" s="84"/>
    </row>
    <row r="78" spans="4:8" ht="15.6">
      <c r="D78" s="84"/>
      <c r="E78" s="84"/>
      <c r="F78" s="84"/>
      <c r="G78" s="84"/>
      <c r="H78" s="84"/>
    </row>
    <row r="79" spans="4:8" ht="15.6">
      <c r="D79" s="84"/>
      <c r="E79" s="84"/>
      <c r="F79" s="84"/>
      <c r="G79" s="84"/>
      <c r="H79" s="84"/>
    </row>
    <row r="80" spans="4:8" ht="15.6">
      <c r="D80" s="84"/>
      <c r="E80" s="84"/>
      <c r="F80" s="84"/>
      <c r="G80" s="84"/>
      <c r="H80" s="84"/>
    </row>
    <row r="81" spans="4:8" ht="15.6">
      <c r="D81" s="84"/>
      <c r="E81" s="84"/>
      <c r="F81" s="84"/>
      <c r="G81" s="84"/>
      <c r="H81" s="84"/>
    </row>
    <row r="82" spans="4:8" ht="15.6">
      <c r="D82" s="84"/>
      <c r="E82" s="84"/>
      <c r="F82" s="84"/>
      <c r="G82" s="84"/>
      <c r="H82" s="84"/>
    </row>
    <row r="83" spans="4:8" ht="15.6">
      <c r="D83" s="84"/>
      <c r="E83" s="84"/>
      <c r="F83" s="84"/>
      <c r="G83" s="84"/>
      <c r="H83" s="84"/>
    </row>
    <row r="84" spans="4:8" ht="15.6">
      <c r="D84" s="84"/>
      <c r="E84" s="84"/>
      <c r="F84" s="84"/>
      <c r="G84" s="84"/>
      <c r="H84" s="84"/>
    </row>
    <row r="85" spans="4:8" ht="15.6">
      <c r="D85" s="84"/>
      <c r="E85" s="84"/>
      <c r="F85" s="84"/>
      <c r="G85" s="84"/>
      <c r="H85" s="84"/>
    </row>
    <row r="86" spans="4:8" ht="15.6">
      <c r="D86" s="84"/>
      <c r="E86" s="84"/>
      <c r="F86" s="84"/>
      <c r="G86" s="84"/>
      <c r="H86" s="84"/>
    </row>
    <row r="87" spans="4:8" ht="15.6">
      <c r="D87" s="84"/>
      <c r="E87" s="84"/>
      <c r="F87" s="84"/>
      <c r="G87" s="84"/>
      <c r="H87" s="84"/>
    </row>
    <row r="88" spans="4:8" ht="15.6">
      <c r="D88" s="84"/>
      <c r="E88" s="84"/>
      <c r="F88" s="84"/>
      <c r="G88" s="84"/>
      <c r="H88" s="84"/>
    </row>
    <row r="89" spans="4:8" ht="15.6">
      <c r="D89" s="84"/>
      <c r="E89" s="84"/>
      <c r="F89" s="84"/>
      <c r="G89" s="84"/>
      <c r="H89" s="84"/>
    </row>
    <row r="90" spans="4:8" ht="15.6">
      <c r="D90" s="84"/>
      <c r="E90" s="84"/>
      <c r="F90" s="84"/>
      <c r="G90" s="84"/>
      <c r="H90" s="84"/>
    </row>
    <row r="91" spans="4:8" ht="15.6">
      <c r="D91" s="84"/>
      <c r="E91" s="84"/>
      <c r="F91" s="84"/>
      <c r="G91" s="84"/>
      <c r="H91" s="84"/>
    </row>
    <row r="92" spans="4:8" ht="15.6">
      <c r="D92" s="84"/>
      <c r="E92" s="84"/>
      <c r="F92" s="84"/>
      <c r="G92" s="84"/>
      <c r="H92" s="84"/>
    </row>
    <row r="93" spans="4:8" ht="15.6">
      <c r="D93" s="84"/>
      <c r="E93" s="84"/>
      <c r="F93" s="84"/>
      <c r="G93" s="84"/>
      <c r="H93" s="84"/>
    </row>
    <row r="94" spans="4:8" ht="15.6">
      <c r="D94" s="84"/>
      <c r="E94" s="84"/>
      <c r="F94" s="84"/>
      <c r="G94" s="84"/>
      <c r="H94" s="84"/>
    </row>
    <row r="95" spans="4:8" ht="15.6">
      <c r="D95" s="84"/>
      <c r="E95" s="84"/>
      <c r="F95" s="84"/>
      <c r="G95" s="84"/>
      <c r="H95" s="84"/>
    </row>
    <row r="96" spans="4:8" ht="15.6">
      <c r="D96" s="84"/>
      <c r="E96" s="84"/>
      <c r="F96" s="84"/>
      <c r="G96" s="84"/>
      <c r="H96" s="84"/>
    </row>
    <row r="97" spans="4:8" ht="15.6">
      <c r="D97" s="84"/>
      <c r="E97" s="84"/>
      <c r="F97" s="84"/>
      <c r="G97" s="84"/>
      <c r="H97" s="84"/>
    </row>
    <row r="98" spans="4:8" ht="15.6">
      <c r="D98" s="84"/>
      <c r="E98" s="84"/>
      <c r="F98" s="84"/>
      <c r="G98" s="84"/>
      <c r="H98" s="84"/>
    </row>
    <row r="99" spans="4:8" ht="15.6">
      <c r="D99" s="84"/>
      <c r="E99" s="84"/>
      <c r="F99" s="84"/>
      <c r="G99" s="84"/>
      <c r="H99" s="84"/>
    </row>
    <row r="100" spans="4:8" ht="15.6">
      <c r="D100" s="84"/>
      <c r="E100" s="84"/>
      <c r="F100" s="84"/>
      <c r="G100" s="84"/>
      <c r="H100" s="84"/>
    </row>
    <row r="101" spans="4:8" ht="15.6">
      <c r="D101" s="84"/>
      <c r="E101" s="84"/>
      <c r="F101" s="84"/>
      <c r="G101" s="84"/>
      <c r="H101" s="84"/>
    </row>
    <row r="102" spans="4:8" ht="15.6">
      <c r="D102" s="84"/>
      <c r="E102" s="84"/>
      <c r="F102" s="84"/>
      <c r="G102" s="84"/>
      <c r="H102" s="84"/>
    </row>
    <row r="103" spans="4:8" ht="15.6">
      <c r="D103" s="84"/>
      <c r="E103" s="84"/>
      <c r="F103" s="84"/>
      <c r="G103" s="84"/>
      <c r="H103" s="84"/>
    </row>
    <row r="104" spans="4:8" ht="15.6">
      <c r="D104" s="84"/>
      <c r="E104" s="84"/>
      <c r="F104" s="84"/>
      <c r="G104" s="84"/>
      <c r="H104" s="84"/>
    </row>
    <row r="105" spans="4:8" ht="15.6">
      <c r="D105" s="84"/>
      <c r="E105" s="84"/>
      <c r="F105" s="84"/>
      <c r="G105" s="84"/>
      <c r="H105" s="84"/>
    </row>
    <row r="106" spans="4:8" ht="15.6">
      <c r="D106" s="84"/>
      <c r="E106" s="84"/>
      <c r="F106" s="84"/>
      <c r="G106" s="84"/>
      <c r="H106" s="84"/>
    </row>
    <row r="107" spans="4:8" ht="15.6">
      <c r="D107" s="84"/>
      <c r="E107" s="84"/>
      <c r="F107" s="84"/>
      <c r="G107" s="84"/>
      <c r="H107" s="84"/>
    </row>
    <row r="108" spans="4:8" ht="15.6">
      <c r="D108" s="84"/>
      <c r="E108" s="84"/>
      <c r="F108" s="84"/>
      <c r="G108" s="84"/>
      <c r="H108" s="84"/>
    </row>
    <row r="109" spans="4:8" ht="15.6">
      <c r="D109" s="84"/>
      <c r="E109" s="84"/>
      <c r="F109" s="84"/>
      <c r="G109" s="84"/>
      <c r="H109" s="84"/>
    </row>
    <row r="110" spans="4:8" ht="15.6">
      <c r="D110" s="84"/>
      <c r="E110" s="84"/>
      <c r="F110" s="84"/>
      <c r="G110" s="84"/>
      <c r="H110" s="84"/>
    </row>
    <row r="111" spans="4:8" ht="15.6">
      <c r="D111" s="84"/>
      <c r="E111" s="84"/>
      <c r="F111" s="84"/>
      <c r="G111" s="84"/>
      <c r="H111" s="84"/>
    </row>
    <row r="112" spans="4:8" ht="15.6">
      <c r="D112" s="84"/>
      <c r="E112" s="84"/>
      <c r="F112" s="84"/>
      <c r="G112" s="84"/>
      <c r="H112" s="84"/>
    </row>
    <row r="113" spans="4:8" ht="15.6">
      <c r="D113" s="84"/>
      <c r="E113" s="84"/>
      <c r="F113" s="84"/>
      <c r="G113" s="84"/>
      <c r="H113" s="84"/>
    </row>
    <row r="114" spans="4:8" ht="15.6">
      <c r="D114" s="84"/>
      <c r="E114" s="84"/>
      <c r="F114" s="84"/>
      <c r="G114" s="84"/>
      <c r="H114" s="84"/>
    </row>
    <row r="115" spans="4:8" ht="15.6">
      <c r="D115" s="84"/>
      <c r="E115" s="84"/>
      <c r="F115" s="84"/>
      <c r="G115" s="84"/>
      <c r="H115" s="84"/>
    </row>
    <row r="116" spans="4:8" ht="15.6">
      <c r="D116" s="84"/>
      <c r="E116" s="84"/>
      <c r="F116" s="84"/>
      <c r="G116" s="84"/>
      <c r="H116" s="84"/>
    </row>
    <row r="117" spans="4:8" ht="15.6">
      <c r="D117" s="84"/>
      <c r="E117" s="84"/>
      <c r="F117" s="84"/>
      <c r="G117" s="84"/>
      <c r="H117" s="84"/>
    </row>
    <row r="118" spans="4:8" ht="15.6">
      <c r="D118" s="84"/>
      <c r="E118" s="84"/>
      <c r="F118" s="84"/>
      <c r="G118" s="84"/>
      <c r="H118" s="84"/>
    </row>
    <row r="119" spans="4:8" ht="15.6">
      <c r="D119" s="84"/>
      <c r="E119" s="84"/>
      <c r="F119" s="84"/>
      <c r="G119" s="84"/>
      <c r="H119" s="84"/>
    </row>
    <row r="120" spans="4:8" ht="15.6">
      <c r="D120" s="84"/>
      <c r="E120" s="84"/>
      <c r="F120" s="84"/>
      <c r="G120" s="84"/>
      <c r="H120" s="84"/>
    </row>
    <row r="121" spans="4:8" ht="15.6">
      <c r="D121" s="84"/>
      <c r="E121" s="84"/>
      <c r="F121" s="84"/>
      <c r="G121" s="84"/>
      <c r="H121" s="84"/>
    </row>
    <row r="122" spans="4:8" ht="15.6">
      <c r="D122" s="84"/>
      <c r="E122" s="84"/>
      <c r="F122" s="84"/>
      <c r="G122" s="84"/>
      <c r="H122" s="84"/>
    </row>
    <row r="123" spans="4:8" ht="15.6">
      <c r="D123" s="84"/>
      <c r="E123" s="84"/>
      <c r="F123" s="84"/>
      <c r="G123" s="84"/>
      <c r="H123" s="84"/>
    </row>
    <row r="124" spans="4:8" ht="15.6">
      <c r="D124" s="84"/>
      <c r="E124" s="84"/>
      <c r="F124" s="84"/>
      <c r="G124" s="84"/>
      <c r="H124" s="84"/>
    </row>
    <row r="125" spans="4:8" ht="15.6">
      <c r="D125" s="84"/>
      <c r="E125" s="84"/>
      <c r="F125" s="84"/>
      <c r="G125" s="84"/>
      <c r="H125" s="84"/>
    </row>
    <row r="126" spans="4:8" ht="15.6">
      <c r="D126" s="84"/>
      <c r="E126" s="84"/>
      <c r="F126" s="84"/>
      <c r="G126" s="84"/>
      <c r="H126" s="84"/>
    </row>
    <row r="127" spans="4:8" ht="15.6">
      <c r="D127" s="84"/>
      <c r="E127" s="84"/>
      <c r="F127" s="84"/>
      <c r="G127" s="84"/>
      <c r="H127" s="84"/>
    </row>
    <row r="128" spans="4:8" ht="15.6">
      <c r="D128" s="84"/>
      <c r="E128" s="84"/>
      <c r="F128" s="84"/>
      <c r="G128" s="84"/>
      <c r="H128" s="84"/>
    </row>
    <row r="129" spans="4:8" ht="15.6">
      <c r="D129" s="84"/>
      <c r="E129" s="84"/>
      <c r="F129" s="84"/>
      <c r="G129" s="84"/>
      <c r="H129" s="84"/>
    </row>
    <row r="130" spans="4:8" ht="15.6">
      <c r="D130" s="84"/>
      <c r="E130" s="84"/>
      <c r="F130" s="84"/>
      <c r="G130" s="84"/>
      <c r="H130" s="84"/>
    </row>
    <row r="131" spans="4:8" ht="15.6">
      <c r="D131" s="84"/>
      <c r="E131" s="84"/>
      <c r="F131" s="84"/>
      <c r="G131" s="84"/>
      <c r="H131" s="84"/>
    </row>
    <row r="132" spans="4:8" ht="15.6">
      <c r="D132" s="84"/>
      <c r="E132" s="84"/>
      <c r="F132" s="84"/>
      <c r="G132" s="84"/>
      <c r="H132" s="84"/>
    </row>
    <row r="133" spans="4:8" ht="15.6">
      <c r="D133" s="84"/>
      <c r="E133" s="84"/>
      <c r="F133" s="84"/>
      <c r="G133" s="84"/>
      <c r="H133" s="84"/>
    </row>
    <row r="134" spans="4:8" ht="15.6">
      <c r="D134" s="84"/>
      <c r="E134" s="84"/>
      <c r="F134" s="84"/>
      <c r="G134" s="84"/>
      <c r="H134" s="84"/>
    </row>
    <row r="135" spans="4:8" ht="15.6">
      <c r="D135" s="84"/>
      <c r="E135" s="84"/>
      <c r="F135" s="84"/>
      <c r="G135" s="84"/>
      <c r="H135" s="84"/>
    </row>
    <row r="136" spans="4:8" ht="15.6">
      <c r="D136" s="84"/>
      <c r="E136" s="84"/>
      <c r="F136" s="84"/>
      <c r="G136" s="84"/>
      <c r="H136" s="84"/>
    </row>
    <row r="137" spans="4:8" ht="15.6">
      <c r="D137" s="84"/>
      <c r="E137" s="84"/>
      <c r="F137" s="84"/>
      <c r="G137" s="84"/>
      <c r="H137" s="84"/>
    </row>
    <row r="138" spans="4:8" ht="15.6">
      <c r="D138" s="84"/>
      <c r="E138" s="84"/>
      <c r="F138" s="84"/>
      <c r="G138" s="84"/>
      <c r="H138" s="84"/>
    </row>
    <row r="139" spans="4:8" ht="15.6">
      <c r="D139" s="84"/>
      <c r="E139" s="84"/>
      <c r="F139" s="84"/>
      <c r="G139" s="84"/>
      <c r="H139" s="84"/>
    </row>
    <row r="140" spans="4:8" ht="15.6">
      <c r="D140" s="84"/>
      <c r="E140" s="84"/>
      <c r="F140" s="84"/>
      <c r="G140" s="84"/>
      <c r="H140" s="84"/>
    </row>
    <row r="141" spans="4:8" ht="15.6">
      <c r="D141" s="84"/>
      <c r="E141" s="84"/>
      <c r="F141" s="84"/>
      <c r="G141" s="84"/>
      <c r="H141" s="84"/>
    </row>
    <row r="142" spans="4:8" ht="15.6">
      <c r="D142" s="84"/>
      <c r="E142" s="84"/>
      <c r="F142" s="84"/>
      <c r="G142" s="84"/>
      <c r="H142" s="84"/>
    </row>
    <row r="143" spans="4:8" ht="15.6">
      <c r="D143" s="84"/>
      <c r="E143" s="84"/>
      <c r="F143" s="84"/>
      <c r="G143" s="84"/>
      <c r="H143" s="84"/>
    </row>
    <row r="144" spans="4:8" ht="15.6">
      <c r="D144" s="84"/>
      <c r="E144" s="84"/>
      <c r="F144" s="84"/>
      <c r="G144" s="84"/>
      <c r="H144" s="84"/>
    </row>
    <row r="145" spans="4:8" ht="15.6">
      <c r="D145" s="84"/>
      <c r="E145" s="84"/>
      <c r="F145" s="84"/>
      <c r="G145" s="84"/>
      <c r="H145" s="84"/>
    </row>
    <row r="146" spans="4:8" ht="15.6">
      <c r="D146" s="84"/>
      <c r="E146" s="84"/>
      <c r="F146" s="84"/>
      <c r="G146" s="84"/>
      <c r="H146" s="84"/>
    </row>
    <row r="147" spans="4:8" ht="15.6">
      <c r="D147" s="84"/>
      <c r="E147" s="84"/>
      <c r="F147" s="84"/>
      <c r="G147" s="84"/>
      <c r="H147" s="84"/>
    </row>
    <row r="148" spans="4:8" ht="15.6">
      <c r="D148" s="84"/>
      <c r="E148" s="84"/>
      <c r="F148" s="84"/>
      <c r="G148" s="84"/>
      <c r="H148" s="84"/>
    </row>
    <row r="149" spans="4:8" ht="15.6">
      <c r="D149" s="84"/>
      <c r="E149" s="84"/>
      <c r="F149" s="84"/>
      <c r="G149" s="84"/>
      <c r="H149" s="84"/>
    </row>
    <row r="150" spans="4:8" ht="15.6">
      <c r="D150" s="84"/>
      <c r="E150" s="84"/>
      <c r="F150" s="84"/>
      <c r="G150" s="84"/>
      <c r="H150" s="84"/>
    </row>
    <row r="151" spans="4:8" ht="15.6">
      <c r="D151" s="84"/>
      <c r="E151" s="84"/>
      <c r="F151" s="84"/>
      <c r="G151" s="84"/>
      <c r="H151" s="84"/>
    </row>
    <row r="152" spans="4:8" ht="15.6">
      <c r="D152" s="84"/>
      <c r="E152" s="84"/>
      <c r="F152" s="84"/>
      <c r="G152" s="84"/>
      <c r="H152" s="84"/>
    </row>
    <row r="153" spans="4:8" ht="15.6">
      <c r="D153" s="84"/>
      <c r="E153" s="84"/>
      <c r="F153" s="84"/>
      <c r="G153" s="84"/>
      <c r="H153" s="84"/>
    </row>
    <row r="154" spans="4:8" ht="15.6">
      <c r="D154" s="84"/>
      <c r="E154" s="84"/>
      <c r="F154" s="84"/>
      <c r="G154" s="84"/>
      <c r="H154" s="84"/>
    </row>
    <row r="155" spans="4:8" ht="15.6">
      <c r="D155" s="84"/>
      <c r="E155" s="84"/>
      <c r="F155" s="84"/>
      <c r="G155" s="84"/>
      <c r="H155" s="84"/>
    </row>
    <row r="156" spans="4:8" ht="15.6">
      <c r="D156" s="84"/>
      <c r="E156" s="84"/>
      <c r="F156" s="84"/>
      <c r="G156" s="84"/>
      <c r="H156" s="84"/>
    </row>
    <row r="157" spans="4:8" ht="15.6">
      <c r="D157" s="84"/>
      <c r="E157" s="84"/>
      <c r="F157" s="84"/>
      <c r="G157" s="84"/>
      <c r="H157" s="84"/>
    </row>
    <row r="158" spans="4:8" ht="15.6">
      <c r="D158" s="84"/>
      <c r="E158" s="84"/>
      <c r="F158" s="84"/>
      <c r="G158" s="84"/>
      <c r="H158" s="84"/>
    </row>
    <row r="159" spans="4:8" ht="15.6">
      <c r="D159" s="84"/>
      <c r="E159" s="84"/>
      <c r="F159" s="84"/>
      <c r="G159" s="84"/>
      <c r="H159" s="84"/>
    </row>
    <row r="160" spans="4:8" ht="15.6">
      <c r="D160" s="84"/>
      <c r="E160" s="84"/>
      <c r="F160" s="84"/>
      <c r="G160" s="84"/>
      <c r="H160" s="84"/>
    </row>
    <row r="161" spans="4:8" ht="15.6">
      <c r="D161" s="84"/>
      <c r="E161" s="84"/>
      <c r="F161" s="84"/>
      <c r="G161" s="84"/>
      <c r="H161" s="84"/>
    </row>
    <row r="162" spans="4:8" ht="15.6">
      <c r="D162" s="84"/>
      <c r="E162" s="84"/>
      <c r="F162" s="84"/>
      <c r="G162" s="84"/>
      <c r="H162" s="84"/>
    </row>
    <row r="163" spans="4:8" ht="15.6">
      <c r="D163" s="84"/>
      <c r="E163" s="84"/>
      <c r="F163" s="84"/>
      <c r="G163" s="84"/>
      <c r="H163" s="84"/>
    </row>
    <row r="164" spans="4:8" ht="15.6">
      <c r="D164" s="84"/>
      <c r="E164" s="84"/>
      <c r="F164" s="84"/>
      <c r="G164" s="84"/>
      <c r="H164" s="84"/>
    </row>
    <row r="165" spans="4:8" ht="15.6">
      <c r="D165" s="84"/>
      <c r="E165" s="84"/>
      <c r="F165" s="84"/>
      <c r="G165" s="84"/>
      <c r="H165" s="84"/>
    </row>
    <row r="166" spans="4:8" ht="15.6">
      <c r="D166" s="84"/>
      <c r="E166" s="84"/>
      <c r="F166" s="84"/>
      <c r="G166" s="84"/>
      <c r="H166" s="84"/>
    </row>
    <row r="167" spans="4:8" ht="15.6">
      <c r="D167" s="84"/>
      <c r="E167" s="84"/>
      <c r="F167" s="84"/>
      <c r="G167" s="84"/>
      <c r="H167" s="84"/>
    </row>
    <row r="168" spans="4:8" ht="15.6">
      <c r="D168" s="84"/>
      <c r="E168" s="84"/>
      <c r="F168" s="84"/>
      <c r="G168" s="84"/>
      <c r="H168" s="84"/>
    </row>
    <row r="169" spans="4:8" ht="15.6">
      <c r="D169" s="84"/>
      <c r="E169" s="84"/>
      <c r="F169" s="84"/>
      <c r="G169" s="84"/>
      <c r="H169" s="84"/>
    </row>
    <row r="170" spans="4:8" ht="15.6">
      <c r="D170" s="84"/>
      <c r="E170" s="84"/>
      <c r="F170" s="84"/>
      <c r="G170" s="84"/>
      <c r="H170" s="84"/>
    </row>
    <row r="171" spans="4:8" ht="15.6">
      <c r="D171" s="84"/>
      <c r="E171" s="84"/>
      <c r="F171" s="84"/>
      <c r="G171" s="84"/>
      <c r="H171" s="84"/>
    </row>
    <row r="172" spans="4:8" ht="15.6">
      <c r="D172" s="84"/>
      <c r="E172" s="84"/>
      <c r="F172" s="84"/>
      <c r="G172" s="84"/>
      <c r="H172" s="84"/>
    </row>
    <row r="173" spans="4:8" ht="15.6">
      <c r="D173" s="84"/>
      <c r="E173" s="84"/>
      <c r="F173" s="84"/>
      <c r="G173" s="84"/>
      <c r="H173" s="84"/>
    </row>
    <row r="174" spans="4:8" ht="15.6">
      <c r="D174" s="84"/>
      <c r="E174" s="84"/>
      <c r="F174" s="84"/>
      <c r="G174" s="84"/>
      <c r="H174" s="84"/>
    </row>
    <row r="175" spans="4:8" ht="15.6">
      <c r="D175" s="84"/>
      <c r="E175" s="84"/>
      <c r="F175" s="84"/>
      <c r="G175" s="84"/>
      <c r="H175" s="84"/>
    </row>
    <row r="176" spans="4:8" ht="15.6">
      <c r="D176" s="84"/>
      <c r="E176" s="84"/>
      <c r="F176" s="84"/>
      <c r="G176" s="84"/>
      <c r="H176" s="84"/>
    </row>
    <row r="177" spans="4:8" ht="15.6">
      <c r="D177" s="84"/>
      <c r="E177" s="84"/>
      <c r="F177" s="84"/>
      <c r="G177" s="84"/>
      <c r="H177" s="84"/>
    </row>
    <row r="178" spans="4:8" ht="15.6">
      <c r="D178" s="84"/>
      <c r="E178" s="84"/>
      <c r="F178" s="84"/>
      <c r="G178" s="84"/>
      <c r="H178" s="84"/>
    </row>
    <row r="179" spans="4:8" ht="15.6">
      <c r="D179" s="84"/>
      <c r="E179" s="84"/>
      <c r="F179" s="84"/>
      <c r="G179" s="84"/>
      <c r="H179" s="84"/>
    </row>
    <row r="180" spans="4:8" ht="15.6">
      <c r="D180" s="84"/>
      <c r="E180" s="84"/>
      <c r="F180" s="84"/>
      <c r="G180" s="84"/>
      <c r="H180" s="84"/>
    </row>
    <row r="181" spans="4:8" ht="15.6">
      <c r="D181" s="84"/>
      <c r="E181" s="84"/>
      <c r="F181" s="84"/>
      <c r="G181" s="84"/>
      <c r="H181" s="84"/>
    </row>
    <row r="182" spans="4:8" ht="15.6">
      <c r="D182" s="84"/>
      <c r="E182" s="84"/>
      <c r="F182" s="84"/>
      <c r="G182" s="84"/>
      <c r="H182" s="84"/>
    </row>
    <row r="183" spans="4:8" ht="15.6">
      <c r="D183" s="84"/>
      <c r="E183" s="84"/>
      <c r="F183" s="84"/>
      <c r="G183" s="84"/>
      <c r="H183" s="84"/>
    </row>
    <row r="184" spans="4:8" ht="15.6">
      <c r="D184" s="84"/>
      <c r="E184" s="84"/>
      <c r="F184" s="84"/>
      <c r="G184" s="84"/>
      <c r="H184" s="84"/>
    </row>
    <row r="185" spans="4:8" ht="15.6">
      <c r="D185" s="84"/>
      <c r="E185" s="84"/>
      <c r="F185" s="84"/>
      <c r="G185" s="84"/>
      <c r="H185" s="84"/>
    </row>
    <row r="186" spans="4:8" ht="15.6">
      <c r="D186" s="84"/>
      <c r="E186" s="84"/>
      <c r="F186" s="84"/>
      <c r="G186" s="84"/>
      <c r="H186" s="84"/>
    </row>
    <row r="187" spans="4:8" ht="15.6">
      <c r="D187" s="84"/>
      <c r="E187" s="84"/>
      <c r="F187" s="84"/>
      <c r="G187" s="84"/>
      <c r="H187" s="84"/>
    </row>
    <row r="188" spans="4:8" ht="15.6">
      <c r="D188" s="84"/>
      <c r="E188" s="84"/>
      <c r="F188" s="84"/>
      <c r="G188" s="84"/>
      <c r="H188" s="84"/>
    </row>
    <row r="189" spans="4:8" ht="15.6">
      <c r="D189" s="84"/>
      <c r="E189" s="84"/>
      <c r="F189" s="84"/>
      <c r="G189" s="84"/>
      <c r="H189" s="84"/>
    </row>
    <row r="190" spans="4:8" ht="15.6">
      <c r="D190" s="84"/>
      <c r="E190" s="84"/>
      <c r="F190" s="84"/>
      <c r="G190" s="84"/>
      <c r="H190" s="84"/>
    </row>
    <row r="191" spans="4:8" ht="15.6">
      <c r="D191" s="84"/>
      <c r="E191" s="84"/>
      <c r="F191" s="84"/>
      <c r="G191" s="84"/>
      <c r="H191" s="84"/>
    </row>
    <row r="192" spans="4:8" ht="15.6">
      <c r="D192" s="84"/>
      <c r="E192" s="84"/>
      <c r="F192" s="84"/>
      <c r="G192" s="84"/>
      <c r="H192" s="84"/>
    </row>
    <row r="193" spans="4:8" ht="15.6">
      <c r="D193" s="84"/>
      <c r="E193" s="84"/>
      <c r="F193" s="84"/>
      <c r="G193" s="84"/>
      <c r="H193" s="84"/>
    </row>
    <row r="194" spans="4:8" ht="15.6">
      <c r="D194" s="84"/>
      <c r="E194" s="84"/>
      <c r="F194" s="84"/>
      <c r="G194" s="84"/>
      <c r="H194" s="84"/>
    </row>
    <row r="195" spans="4:8" ht="15.6">
      <c r="D195" s="84"/>
      <c r="E195" s="84"/>
      <c r="F195" s="84"/>
      <c r="G195" s="84"/>
      <c r="H195" s="84"/>
    </row>
    <row r="196" spans="4:8" ht="15.6">
      <c r="D196" s="84"/>
      <c r="E196" s="84"/>
      <c r="F196" s="84"/>
      <c r="G196" s="84"/>
      <c r="H196" s="84"/>
    </row>
    <row r="197" spans="4:8" ht="15.6">
      <c r="D197" s="84"/>
      <c r="E197" s="84"/>
      <c r="F197" s="84"/>
      <c r="G197" s="84"/>
      <c r="H197" s="84"/>
    </row>
    <row r="198" spans="4:8" ht="15.6">
      <c r="D198" s="84"/>
      <c r="E198" s="84"/>
      <c r="F198" s="84"/>
      <c r="G198" s="84"/>
      <c r="H198" s="84"/>
    </row>
    <row r="199" spans="4:8" ht="15.6">
      <c r="D199" s="84"/>
      <c r="E199" s="84"/>
      <c r="F199" s="84"/>
      <c r="G199" s="84"/>
      <c r="H199" s="84"/>
    </row>
    <row r="200" spans="4:8" ht="15.6">
      <c r="D200" s="84"/>
      <c r="E200" s="84"/>
      <c r="F200" s="84"/>
      <c r="G200" s="84"/>
      <c r="H200" s="84"/>
    </row>
    <row r="201" spans="4:8" ht="15.6">
      <c r="D201" s="84"/>
      <c r="E201" s="84"/>
      <c r="F201" s="84"/>
      <c r="G201" s="84"/>
      <c r="H201" s="84"/>
    </row>
    <row r="202" spans="4:8" ht="15.6">
      <c r="D202" s="84"/>
      <c r="E202" s="84"/>
      <c r="F202" s="84"/>
      <c r="G202" s="84"/>
      <c r="H202" s="84"/>
    </row>
    <row r="203" spans="4:8" ht="15.6">
      <c r="D203" s="84"/>
      <c r="E203" s="84"/>
      <c r="F203" s="84"/>
      <c r="G203" s="84"/>
      <c r="H203" s="84"/>
    </row>
    <row r="204" spans="4:8" ht="15.6">
      <c r="D204" s="84"/>
      <c r="E204" s="84"/>
      <c r="F204" s="84"/>
      <c r="G204" s="84"/>
      <c r="H204" s="84"/>
    </row>
    <row r="205" spans="4:8" ht="15.6">
      <c r="D205" s="84"/>
      <c r="E205" s="84"/>
      <c r="F205" s="84"/>
      <c r="G205" s="84"/>
      <c r="H205" s="84"/>
    </row>
    <row r="206" spans="4:8" ht="15.6">
      <c r="D206" s="84"/>
      <c r="E206" s="84"/>
      <c r="F206" s="84"/>
      <c r="G206" s="84"/>
      <c r="H206" s="84"/>
    </row>
    <row r="207" spans="4:8" ht="15.6">
      <c r="D207" s="84"/>
      <c r="E207" s="84"/>
      <c r="F207" s="84"/>
      <c r="G207" s="84"/>
      <c r="H207" s="84"/>
    </row>
    <row r="208" spans="4:8" ht="15.6">
      <c r="D208" s="84"/>
      <c r="E208" s="84"/>
      <c r="F208" s="84"/>
      <c r="G208" s="84"/>
      <c r="H208" s="84"/>
    </row>
    <row r="209" spans="4:8" ht="15.6">
      <c r="D209" s="84"/>
      <c r="E209" s="84"/>
      <c r="F209" s="84"/>
      <c r="G209" s="84"/>
      <c r="H209" s="84"/>
    </row>
    <row r="210" spans="4:8" ht="15.6">
      <c r="D210" s="84"/>
      <c r="E210" s="84"/>
      <c r="F210" s="84"/>
      <c r="G210" s="84"/>
      <c r="H210" s="84"/>
    </row>
    <row r="211" spans="4:8" ht="15.6">
      <c r="D211" s="84"/>
      <c r="E211" s="84"/>
      <c r="F211" s="84"/>
      <c r="G211" s="84"/>
      <c r="H211" s="84"/>
    </row>
    <row r="212" spans="4:8" ht="15.6">
      <c r="D212" s="84"/>
      <c r="E212" s="84"/>
      <c r="F212" s="84"/>
      <c r="G212" s="84"/>
      <c r="H212" s="84"/>
    </row>
    <row r="213" spans="4:8" ht="15.6">
      <c r="D213" s="84"/>
      <c r="E213" s="84"/>
      <c r="F213" s="84"/>
      <c r="G213" s="84"/>
      <c r="H213" s="84"/>
    </row>
    <row r="214" spans="4:8" ht="15.6">
      <c r="D214" s="84"/>
      <c r="E214" s="84"/>
      <c r="F214" s="84"/>
      <c r="G214" s="84"/>
      <c r="H214" s="84"/>
    </row>
    <row r="215" spans="4:8" ht="15.6">
      <c r="D215" s="84"/>
      <c r="E215" s="84"/>
      <c r="F215" s="84"/>
      <c r="G215" s="84"/>
      <c r="H215" s="84"/>
    </row>
    <row r="216" spans="4:8" ht="15.6">
      <c r="D216" s="84"/>
      <c r="E216" s="84"/>
      <c r="F216" s="84"/>
      <c r="G216" s="84"/>
      <c r="H216" s="84"/>
    </row>
    <row r="217" spans="4:8" ht="15.6">
      <c r="D217" s="84"/>
      <c r="E217" s="84"/>
      <c r="F217" s="84"/>
      <c r="G217" s="84"/>
      <c r="H217" s="84"/>
    </row>
    <row r="218" spans="4:8" ht="15.6">
      <c r="D218" s="84"/>
      <c r="E218" s="84"/>
      <c r="F218" s="84"/>
      <c r="G218" s="84"/>
      <c r="H218" s="84"/>
    </row>
    <row r="219" spans="4:8" ht="15.6">
      <c r="D219" s="84"/>
      <c r="E219" s="84"/>
      <c r="F219" s="84"/>
      <c r="G219" s="84"/>
      <c r="H219" s="84"/>
    </row>
    <row r="220" spans="4:8" ht="15.6">
      <c r="D220" s="84"/>
      <c r="E220" s="84"/>
      <c r="F220" s="84"/>
      <c r="G220" s="84"/>
      <c r="H220" s="84"/>
    </row>
    <row r="221" spans="4:8" ht="15.6">
      <c r="D221" s="84"/>
      <c r="E221" s="84"/>
      <c r="F221" s="84"/>
      <c r="G221" s="84"/>
      <c r="H221" s="84"/>
    </row>
    <row r="222" spans="4:8" ht="15.6">
      <c r="D222" s="84"/>
      <c r="E222" s="84"/>
      <c r="F222" s="84"/>
      <c r="G222" s="84"/>
      <c r="H222" s="84"/>
    </row>
    <row r="223" spans="4:8" ht="15.6">
      <c r="D223" s="84"/>
      <c r="E223" s="84"/>
      <c r="F223" s="84"/>
      <c r="G223" s="84"/>
      <c r="H223" s="84"/>
    </row>
    <row r="224" spans="4:8" ht="15.6">
      <c r="D224" s="84"/>
      <c r="E224" s="84"/>
      <c r="F224" s="84"/>
      <c r="G224" s="84"/>
      <c r="H224" s="84"/>
    </row>
    <row r="225" spans="4:8" ht="15.6">
      <c r="D225" s="84"/>
      <c r="E225" s="84"/>
      <c r="F225" s="84"/>
      <c r="G225" s="84"/>
      <c r="H225" s="84"/>
    </row>
    <row r="226" spans="4:8" ht="15.6">
      <c r="D226" s="84"/>
      <c r="E226" s="84"/>
      <c r="F226" s="84"/>
      <c r="G226" s="84"/>
      <c r="H226" s="84"/>
    </row>
    <row r="227" spans="4:8" ht="15.6">
      <c r="D227" s="84"/>
      <c r="E227" s="84"/>
      <c r="F227" s="84"/>
      <c r="G227" s="84"/>
      <c r="H227" s="84"/>
    </row>
    <row r="228" spans="4:8" ht="15.6">
      <c r="D228" s="84"/>
      <c r="E228" s="84"/>
      <c r="F228" s="84"/>
      <c r="G228" s="84"/>
      <c r="H228" s="84"/>
    </row>
    <row r="229" spans="4:8" ht="15.6">
      <c r="D229" s="84"/>
      <c r="E229" s="84"/>
      <c r="F229" s="84"/>
      <c r="G229" s="84"/>
      <c r="H229" s="84"/>
    </row>
    <row r="230" spans="4:8" ht="15.6">
      <c r="D230" s="84"/>
      <c r="E230" s="84"/>
      <c r="F230" s="84"/>
      <c r="G230" s="84"/>
      <c r="H230" s="84"/>
    </row>
    <row r="231" spans="4:8" ht="15.6">
      <c r="D231" s="84"/>
      <c r="E231" s="84"/>
      <c r="F231" s="84"/>
      <c r="G231" s="84"/>
      <c r="H231" s="84"/>
    </row>
    <row r="232" spans="4:8" ht="15.6">
      <c r="D232" s="84"/>
      <c r="E232" s="84"/>
      <c r="F232" s="84"/>
      <c r="G232" s="84"/>
      <c r="H232" s="84"/>
    </row>
    <row r="233" spans="4:8" ht="15.6">
      <c r="D233" s="84"/>
      <c r="E233" s="84"/>
      <c r="F233" s="84"/>
      <c r="G233" s="84"/>
      <c r="H233" s="84"/>
    </row>
    <row r="234" spans="4:8" ht="15.6">
      <c r="D234" s="84"/>
      <c r="E234" s="84"/>
      <c r="F234" s="84"/>
      <c r="G234" s="84"/>
      <c r="H234" s="84"/>
    </row>
    <row r="235" spans="4:8" ht="15.6">
      <c r="D235" s="84"/>
      <c r="E235" s="84"/>
      <c r="F235" s="84"/>
      <c r="G235" s="84"/>
      <c r="H235" s="84"/>
    </row>
    <row r="236" spans="4:8" ht="15.6">
      <c r="D236" s="84"/>
      <c r="E236" s="84"/>
      <c r="F236" s="84"/>
      <c r="G236" s="84"/>
      <c r="H236" s="84"/>
    </row>
    <row r="237" spans="4:8" ht="15.6">
      <c r="D237" s="84"/>
      <c r="E237" s="84"/>
      <c r="F237" s="84"/>
      <c r="G237" s="84"/>
      <c r="H237" s="84"/>
    </row>
    <row r="238" spans="4:8" ht="15.6">
      <c r="D238" s="84"/>
      <c r="E238" s="84"/>
      <c r="F238" s="84"/>
      <c r="G238" s="84"/>
      <c r="H238" s="84"/>
    </row>
    <row r="239" spans="4:8" ht="15.6">
      <c r="D239" s="84"/>
      <c r="E239" s="84"/>
      <c r="F239" s="84"/>
      <c r="G239" s="84"/>
      <c r="H239" s="84"/>
    </row>
    <row r="240" spans="4:8" ht="15.6">
      <c r="D240" s="84"/>
      <c r="E240" s="84"/>
      <c r="F240" s="84"/>
      <c r="G240" s="84"/>
      <c r="H240" s="84"/>
    </row>
    <row r="241" spans="4:8" ht="15.6">
      <c r="D241" s="84"/>
      <c r="E241" s="84"/>
      <c r="F241" s="84"/>
      <c r="G241" s="84"/>
      <c r="H241" s="84"/>
    </row>
    <row r="242" spans="4:8" ht="15.6">
      <c r="D242" s="84"/>
      <c r="E242" s="84"/>
      <c r="F242" s="84"/>
      <c r="G242" s="84"/>
      <c r="H242" s="84"/>
    </row>
    <row r="243" spans="4:8" ht="15.6">
      <c r="D243" s="84"/>
      <c r="E243" s="84"/>
      <c r="F243" s="84"/>
      <c r="G243" s="84"/>
      <c r="H243" s="84"/>
    </row>
    <row r="244" spans="4:8" ht="15.6">
      <c r="D244" s="84"/>
      <c r="E244" s="84"/>
      <c r="F244" s="84"/>
      <c r="G244" s="84"/>
      <c r="H244" s="84"/>
    </row>
    <row r="245" spans="4:8" ht="15.6">
      <c r="D245" s="84"/>
      <c r="E245" s="84"/>
      <c r="F245" s="84"/>
      <c r="G245" s="84"/>
      <c r="H245" s="84"/>
    </row>
    <row r="246" spans="4:8" ht="15.6">
      <c r="D246" s="84"/>
      <c r="E246" s="84"/>
      <c r="F246" s="84"/>
      <c r="G246" s="84"/>
      <c r="H246" s="84"/>
    </row>
    <row r="247" spans="4:8" ht="15.6">
      <c r="D247" s="84"/>
      <c r="E247" s="84"/>
      <c r="F247" s="84"/>
      <c r="G247" s="84"/>
      <c r="H247" s="84"/>
    </row>
    <row r="248" spans="4:8" ht="15.6">
      <c r="D248" s="84"/>
      <c r="E248" s="84"/>
      <c r="F248" s="84"/>
      <c r="G248" s="84"/>
      <c r="H248" s="84"/>
    </row>
    <row r="249" spans="4:8" ht="15.6">
      <c r="D249" s="84"/>
      <c r="E249" s="84"/>
      <c r="F249" s="84"/>
      <c r="G249" s="84"/>
      <c r="H249" s="84"/>
    </row>
    <row r="250" spans="4:8" ht="15.6">
      <c r="D250" s="84"/>
      <c r="E250" s="84"/>
      <c r="F250" s="84"/>
      <c r="G250" s="84"/>
      <c r="H250" s="84"/>
    </row>
    <row r="251" spans="4:8" ht="15.6">
      <c r="D251" s="84"/>
      <c r="E251" s="84"/>
      <c r="F251" s="84"/>
      <c r="G251" s="84"/>
      <c r="H251" s="84"/>
    </row>
    <row r="252" spans="4:8" ht="15.6">
      <c r="D252" s="84"/>
      <c r="E252" s="84"/>
      <c r="F252" s="84"/>
      <c r="G252" s="84"/>
      <c r="H252" s="84"/>
    </row>
    <row r="253" spans="4:8" ht="15.6">
      <c r="D253" s="84"/>
      <c r="E253" s="84"/>
      <c r="F253" s="84"/>
      <c r="G253" s="84"/>
      <c r="H253" s="84"/>
    </row>
    <row r="254" spans="4:8" ht="15.6">
      <c r="D254" s="84"/>
      <c r="E254" s="84"/>
      <c r="F254" s="84"/>
      <c r="G254" s="84"/>
      <c r="H254" s="84"/>
    </row>
    <row r="255" spans="4:8" ht="15.6">
      <c r="D255" s="84"/>
      <c r="E255" s="84"/>
      <c r="F255" s="84"/>
      <c r="G255" s="84"/>
      <c r="H255" s="84"/>
    </row>
    <row r="256" spans="4:8" ht="15.6">
      <c r="D256" s="84"/>
      <c r="E256" s="84"/>
      <c r="F256" s="84"/>
      <c r="G256" s="84"/>
      <c r="H256" s="84"/>
    </row>
    <row r="257" spans="4:8" ht="15.6">
      <c r="D257" s="84"/>
      <c r="E257" s="84"/>
      <c r="F257" s="84"/>
      <c r="G257" s="84"/>
      <c r="H257" s="84"/>
    </row>
    <row r="258" spans="4:8" ht="15.6">
      <c r="D258" s="84"/>
      <c r="E258" s="84"/>
      <c r="F258" s="84"/>
      <c r="G258" s="84"/>
      <c r="H258" s="84"/>
    </row>
    <row r="259" spans="4:8" ht="15.6">
      <c r="D259" s="84"/>
      <c r="E259" s="84"/>
      <c r="F259" s="84"/>
      <c r="G259" s="84"/>
      <c r="H259" s="84"/>
    </row>
    <row r="260" spans="4:8" ht="15.6">
      <c r="D260" s="84"/>
      <c r="E260" s="84"/>
      <c r="F260" s="84"/>
      <c r="G260" s="84"/>
      <c r="H260" s="84"/>
    </row>
    <row r="261" spans="4:8" ht="15.6">
      <c r="D261" s="84"/>
      <c r="E261" s="84"/>
      <c r="F261" s="84"/>
      <c r="G261" s="84"/>
      <c r="H261" s="84"/>
    </row>
    <row r="262" spans="4:8" ht="15.6">
      <c r="D262" s="84"/>
      <c r="E262" s="84"/>
      <c r="F262" s="84"/>
      <c r="G262" s="84"/>
      <c r="H262" s="84"/>
    </row>
    <row r="263" spans="4:8" ht="15.6">
      <c r="D263" s="84"/>
      <c r="E263" s="84"/>
      <c r="F263" s="84"/>
      <c r="G263" s="84"/>
      <c r="H263" s="84"/>
    </row>
    <row r="264" spans="4:8" ht="15.6">
      <c r="D264" s="84"/>
      <c r="E264" s="84"/>
      <c r="F264" s="84"/>
      <c r="G264" s="84"/>
      <c r="H264" s="84"/>
    </row>
    <row r="265" spans="4:8" ht="15.6">
      <c r="D265" s="84"/>
      <c r="E265" s="84"/>
      <c r="F265" s="84"/>
      <c r="G265" s="84"/>
      <c r="H265" s="84"/>
    </row>
    <row r="266" spans="4:8" ht="15.6">
      <c r="D266" s="84"/>
      <c r="E266" s="84"/>
      <c r="F266" s="84"/>
      <c r="G266" s="84"/>
      <c r="H266" s="84"/>
    </row>
    <row r="267" spans="4:8" ht="15.6">
      <c r="D267" s="84"/>
      <c r="E267" s="84"/>
      <c r="F267" s="84"/>
      <c r="G267" s="84"/>
      <c r="H267" s="84"/>
    </row>
    <row r="268" spans="4:8" ht="15.6">
      <c r="D268" s="84"/>
      <c r="E268" s="84"/>
      <c r="F268" s="84"/>
      <c r="G268" s="84"/>
      <c r="H268" s="84"/>
    </row>
    <row r="269" spans="4:8" ht="15.6">
      <c r="D269" s="84"/>
      <c r="E269" s="84"/>
      <c r="F269" s="84"/>
      <c r="G269" s="84"/>
      <c r="H269" s="84"/>
    </row>
    <row r="270" spans="4:8" ht="15.6">
      <c r="D270" s="84"/>
      <c r="E270" s="84"/>
      <c r="F270" s="84"/>
      <c r="G270" s="84"/>
      <c r="H270" s="84"/>
    </row>
    <row r="271" spans="4:8" ht="15.6">
      <c r="D271" s="84"/>
      <c r="E271" s="84"/>
      <c r="F271" s="84"/>
      <c r="G271" s="84"/>
      <c r="H271" s="84"/>
    </row>
    <row r="272" spans="4:8" ht="15.6">
      <c r="D272" s="84"/>
      <c r="E272" s="84"/>
      <c r="F272" s="84"/>
      <c r="G272" s="84"/>
      <c r="H272" s="84"/>
    </row>
    <row r="273" spans="4:8" ht="15.6">
      <c r="D273" s="84"/>
      <c r="E273" s="84"/>
      <c r="F273" s="84"/>
      <c r="G273" s="84"/>
      <c r="H273" s="84"/>
    </row>
    <row r="274" spans="4:8" ht="15.6">
      <c r="D274" s="84"/>
      <c r="E274" s="84"/>
      <c r="F274" s="84"/>
      <c r="G274" s="84"/>
      <c r="H274" s="84"/>
    </row>
    <row r="275" spans="4:8" ht="15.6">
      <c r="D275" s="84"/>
      <c r="E275" s="84"/>
      <c r="F275" s="84"/>
      <c r="G275" s="84"/>
      <c r="H275" s="84"/>
    </row>
    <row r="276" spans="4:8" ht="15.6">
      <c r="D276" s="84"/>
      <c r="E276" s="84"/>
      <c r="F276" s="84"/>
      <c r="G276" s="84"/>
      <c r="H276" s="84"/>
    </row>
    <row r="277" spans="4:8" ht="15.6">
      <c r="D277" s="84"/>
      <c r="E277" s="84"/>
      <c r="F277" s="84"/>
      <c r="G277" s="84"/>
      <c r="H277" s="84"/>
    </row>
    <row r="278" spans="4:8" ht="15.6">
      <c r="D278" s="84"/>
      <c r="E278" s="84"/>
      <c r="F278" s="84"/>
      <c r="G278" s="84"/>
      <c r="H278" s="84"/>
    </row>
    <row r="279" spans="4:8" ht="15.6">
      <c r="D279" s="84"/>
      <c r="E279" s="84"/>
      <c r="F279" s="84"/>
      <c r="G279" s="84"/>
      <c r="H279" s="84"/>
    </row>
    <row r="280" spans="4:8" ht="15.6">
      <c r="D280" s="84"/>
      <c r="E280" s="84"/>
      <c r="F280" s="84"/>
      <c r="G280" s="84"/>
      <c r="H280" s="84"/>
    </row>
    <row r="281" spans="4:8" ht="15.6">
      <c r="D281" s="84"/>
      <c r="E281" s="84"/>
      <c r="F281" s="84"/>
      <c r="G281" s="84"/>
      <c r="H281" s="84"/>
    </row>
    <row r="282" spans="4:8" ht="15.6">
      <c r="D282" s="84"/>
      <c r="E282" s="84"/>
      <c r="F282" s="84"/>
      <c r="G282" s="84"/>
      <c r="H282" s="84"/>
    </row>
    <row r="283" spans="4:8" ht="15.6">
      <c r="D283" s="84"/>
      <c r="E283" s="84"/>
      <c r="F283" s="84"/>
      <c r="G283" s="84"/>
      <c r="H283" s="84"/>
    </row>
    <row r="284" spans="4:8" ht="15.6">
      <c r="D284" s="84"/>
      <c r="E284" s="84"/>
      <c r="F284" s="84"/>
      <c r="G284" s="84"/>
      <c r="H284" s="84"/>
    </row>
    <row r="285" spans="4:8" ht="15.6">
      <c r="D285" s="84"/>
      <c r="E285" s="84"/>
      <c r="F285" s="84"/>
      <c r="G285" s="84"/>
      <c r="H285" s="84"/>
    </row>
    <row r="286" spans="4:8" ht="15.6">
      <c r="D286" s="84"/>
      <c r="E286" s="84"/>
      <c r="F286" s="84"/>
      <c r="G286" s="84"/>
      <c r="H286" s="84"/>
    </row>
    <row r="287" spans="4:8" ht="15.6">
      <c r="D287" s="84"/>
      <c r="E287" s="84"/>
      <c r="F287" s="84"/>
      <c r="G287" s="84"/>
      <c r="H287" s="84"/>
    </row>
    <row r="288" spans="4:8" ht="15.6">
      <c r="D288" s="84"/>
      <c r="E288" s="84"/>
      <c r="F288" s="84"/>
      <c r="G288" s="84"/>
      <c r="H288" s="84"/>
    </row>
    <row r="289" spans="4:8" ht="15.6">
      <c r="D289" s="84"/>
      <c r="E289" s="84"/>
      <c r="F289" s="84"/>
      <c r="G289" s="84"/>
      <c r="H289" s="84"/>
    </row>
    <row r="290" spans="4:8" ht="15.6">
      <c r="D290" s="84"/>
      <c r="E290" s="84"/>
      <c r="F290" s="84"/>
      <c r="G290" s="84"/>
      <c r="H290" s="84"/>
    </row>
    <row r="291" spans="4:8" ht="15.6">
      <c r="D291" s="84"/>
      <c r="E291" s="84"/>
      <c r="F291" s="84"/>
      <c r="G291" s="84"/>
      <c r="H291" s="84"/>
    </row>
    <row r="292" spans="4:8" ht="15.6">
      <c r="D292" s="84"/>
      <c r="E292" s="84"/>
      <c r="F292" s="84"/>
      <c r="G292" s="84"/>
      <c r="H292" s="84"/>
    </row>
    <row r="293" spans="4:8" ht="15.6">
      <c r="D293" s="84"/>
      <c r="E293" s="84"/>
      <c r="F293" s="84"/>
      <c r="G293" s="84"/>
      <c r="H293" s="84"/>
    </row>
    <row r="294" spans="4:8" ht="15.6">
      <c r="D294" s="84"/>
      <c r="E294" s="84"/>
      <c r="F294" s="84"/>
      <c r="G294" s="84"/>
      <c r="H294" s="84"/>
    </row>
    <row r="295" spans="4:8" ht="15.6">
      <c r="D295" s="84"/>
      <c r="E295" s="84"/>
      <c r="F295" s="84"/>
      <c r="G295" s="84"/>
      <c r="H295" s="84"/>
    </row>
    <row r="296" spans="4:8" ht="15.6">
      <c r="D296" s="84"/>
      <c r="E296" s="84"/>
      <c r="F296" s="84"/>
      <c r="G296" s="84"/>
      <c r="H296" s="84"/>
    </row>
    <row r="297" spans="4:8" ht="15.6">
      <c r="D297" s="84"/>
      <c r="E297" s="84"/>
      <c r="F297" s="84"/>
      <c r="G297" s="84"/>
      <c r="H297" s="84"/>
    </row>
    <row r="298" spans="4:8" ht="15.6">
      <c r="D298" s="84"/>
      <c r="E298" s="84"/>
      <c r="F298" s="84"/>
      <c r="G298" s="84"/>
      <c r="H298" s="84"/>
    </row>
    <row r="299" spans="4:8" ht="15.6">
      <c r="D299" s="84"/>
      <c r="E299" s="84"/>
      <c r="F299" s="84"/>
      <c r="G299" s="84"/>
      <c r="H299" s="84"/>
    </row>
    <row r="300" spans="4:8" ht="15.6">
      <c r="D300" s="84"/>
      <c r="E300" s="84"/>
      <c r="F300" s="84"/>
      <c r="G300" s="84"/>
      <c r="H300" s="84"/>
    </row>
    <row r="301" spans="4:8" ht="15.6">
      <c r="D301" s="84"/>
      <c r="E301" s="84"/>
      <c r="F301" s="84"/>
      <c r="G301" s="84"/>
      <c r="H301" s="84"/>
    </row>
    <row r="302" spans="4:8" ht="15.6">
      <c r="D302" s="84"/>
      <c r="E302" s="84"/>
      <c r="F302" s="84"/>
      <c r="G302" s="84"/>
      <c r="H302" s="84"/>
    </row>
    <row r="303" spans="4:8" ht="15.6">
      <c r="D303" s="84"/>
      <c r="E303" s="84"/>
      <c r="F303" s="84"/>
      <c r="G303" s="84"/>
      <c r="H303" s="84"/>
    </row>
    <row r="304" spans="4:8" ht="15.6">
      <c r="D304" s="84"/>
      <c r="E304" s="84"/>
      <c r="F304" s="84"/>
      <c r="G304" s="84"/>
      <c r="H304" s="84"/>
    </row>
    <row r="305" spans="4:8" ht="15.6">
      <c r="D305" s="84"/>
      <c r="E305" s="84"/>
      <c r="F305" s="84"/>
      <c r="G305" s="84"/>
      <c r="H305" s="84"/>
    </row>
    <row r="306" spans="4:8" ht="15.6">
      <c r="D306" s="84"/>
      <c r="E306" s="84"/>
      <c r="F306" s="84"/>
      <c r="G306" s="84"/>
      <c r="H306" s="84"/>
    </row>
    <row r="307" spans="4:8" ht="15.6">
      <c r="D307" s="84"/>
      <c r="E307" s="84"/>
      <c r="F307" s="84"/>
      <c r="G307" s="84"/>
      <c r="H307" s="84"/>
    </row>
    <row r="308" spans="4:8" ht="15.6">
      <c r="D308" s="84"/>
      <c r="E308" s="84"/>
      <c r="F308" s="84"/>
      <c r="G308" s="84"/>
      <c r="H308" s="84"/>
    </row>
    <row r="309" spans="4:8" ht="15.6">
      <c r="D309" s="84"/>
      <c r="E309" s="84"/>
      <c r="F309" s="84"/>
      <c r="G309" s="84"/>
      <c r="H309" s="84"/>
    </row>
    <row r="310" spans="4:8" ht="15.6">
      <c r="D310" s="84"/>
      <c r="E310" s="84"/>
      <c r="F310" s="84"/>
      <c r="G310" s="84"/>
      <c r="H310" s="84"/>
    </row>
    <row r="311" spans="4:8" ht="15.6">
      <c r="D311" s="84"/>
      <c r="E311" s="84"/>
      <c r="F311" s="84"/>
      <c r="G311" s="84"/>
      <c r="H311" s="84"/>
    </row>
    <row r="312" spans="4:8" ht="15.6">
      <c r="D312" s="84"/>
      <c r="E312" s="84"/>
      <c r="F312" s="84"/>
      <c r="G312" s="84"/>
      <c r="H312" s="84"/>
    </row>
    <row r="313" spans="4:8" ht="15.6">
      <c r="D313" s="84"/>
      <c r="E313" s="84"/>
      <c r="F313" s="84"/>
      <c r="G313" s="84"/>
      <c r="H313" s="84"/>
    </row>
    <row r="314" spans="4:8" ht="15.6">
      <c r="D314" s="84"/>
      <c r="E314" s="84"/>
      <c r="F314" s="84"/>
      <c r="G314" s="84"/>
      <c r="H314" s="84"/>
    </row>
    <row r="315" spans="4:8" ht="15.6">
      <c r="D315" s="84"/>
      <c r="E315" s="84"/>
      <c r="F315" s="84"/>
      <c r="G315" s="84"/>
      <c r="H315" s="84"/>
    </row>
    <row r="316" spans="4:8" ht="15.6">
      <c r="D316" s="84"/>
      <c r="E316" s="84"/>
      <c r="F316" s="84"/>
      <c r="G316" s="84"/>
      <c r="H316" s="84"/>
    </row>
    <row r="317" spans="4:8" ht="15.6">
      <c r="D317" s="84"/>
      <c r="E317" s="84"/>
      <c r="F317" s="84"/>
      <c r="G317" s="84"/>
      <c r="H317" s="84"/>
    </row>
    <row r="318" spans="4:8" ht="15.6">
      <c r="D318" s="84"/>
      <c r="E318" s="84"/>
      <c r="F318" s="84"/>
      <c r="G318" s="84"/>
      <c r="H318" s="84"/>
    </row>
    <row r="319" spans="4:8" ht="15.6">
      <c r="D319" s="84"/>
      <c r="E319" s="84"/>
      <c r="F319" s="84"/>
      <c r="G319" s="84"/>
      <c r="H319" s="84"/>
    </row>
    <row r="320" spans="4:8" ht="15.6">
      <c r="D320" s="84"/>
      <c r="E320" s="84"/>
      <c r="F320" s="84"/>
      <c r="G320" s="84"/>
      <c r="H320" s="84"/>
    </row>
    <row r="321" spans="4:8" ht="15.6">
      <c r="D321" s="84"/>
      <c r="E321" s="84"/>
      <c r="F321" s="84"/>
      <c r="G321" s="84"/>
      <c r="H321" s="84"/>
    </row>
    <row r="322" spans="4:8" ht="15.6">
      <c r="D322" s="84"/>
      <c r="E322" s="84"/>
      <c r="F322" s="84"/>
      <c r="G322" s="84"/>
      <c r="H322" s="84"/>
    </row>
    <row r="323" spans="4:8" ht="15.6">
      <c r="D323" s="84"/>
      <c r="E323" s="84"/>
      <c r="F323" s="84"/>
      <c r="G323" s="84"/>
      <c r="H323" s="84"/>
    </row>
    <row r="324" spans="4:8" ht="15.6">
      <c r="D324" s="84"/>
      <c r="E324" s="84"/>
      <c r="F324" s="84"/>
      <c r="G324" s="84"/>
      <c r="H324" s="84"/>
    </row>
    <row r="325" spans="4:8" ht="15.6">
      <c r="D325" s="84"/>
      <c r="E325" s="84"/>
      <c r="F325" s="84"/>
      <c r="G325" s="84"/>
      <c r="H325" s="84"/>
    </row>
    <row r="326" spans="4:8" ht="15.6">
      <c r="D326" s="84"/>
      <c r="E326" s="84"/>
      <c r="F326" s="84"/>
      <c r="G326" s="84"/>
      <c r="H326" s="84"/>
    </row>
    <row r="327" spans="4:8" ht="15.6">
      <c r="D327" s="84"/>
      <c r="E327" s="84"/>
      <c r="F327" s="84"/>
      <c r="G327" s="84"/>
      <c r="H327" s="84"/>
    </row>
    <row r="328" spans="4:8" ht="15.6">
      <c r="D328" s="84"/>
      <c r="E328" s="84"/>
      <c r="F328" s="84"/>
      <c r="G328" s="84"/>
      <c r="H328" s="84"/>
    </row>
    <row r="329" spans="4:8" ht="15.6">
      <c r="D329" s="84"/>
      <c r="E329" s="84"/>
      <c r="F329" s="84"/>
      <c r="G329" s="84"/>
      <c r="H329" s="84"/>
    </row>
    <row r="330" spans="4:8" ht="15.6">
      <c r="D330" s="84"/>
      <c r="E330" s="84"/>
      <c r="F330" s="84"/>
      <c r="G330" s="84"/>
      <c r="H330" s="84"/>
    </row>
    <row r="331" spans="4:8" ht="15.6">
      <c r="D331" s="84"/>
      <c r="E331" s="84"/>
      <c r="F331" s="84"/>
      <c r="G331" s="84"/>
      <c r="H331" s="84"/>
    </row>
    <row r="332" spans="4:8" ht="15.6">
      <c r="D332" s="84"/>
      <c r="E332" s="84"/>
      <c r="F332" s="84"/>
      <c r="G332" s="84"/>
      <c r="H332" s="84"/>
    </row>
    <row r="333" spans="4:8" ht="15.6">
      <c r="D333" s="84"/>
      <c r="E333" s="84"/>
      <c r="F333" s="84"/>
      <c r="G333" s="84"/>
      <c r="H333" s="84"/>
    </row>
    <row r="334" spans="4:8" ht="15.6">
      <c r="D334" s="84"/>
      <c r="E334" s="84"/>
      <c r="F334" s="84"/>
      <c r="G334" s="84"/>
      <c r="H334" s="84"/>
    </row>
    <row r="335" spans="4:8" ht="15.6">
      <c r="D335" s="84"/>
      <c r="E335" s="84"/>
      <c r="F335" s="84"/>
      <c r="G335" s="84"/>
      <c r="H335" s="84"/>
    </row>
    <row r="336" spans="4:8" ht="15.6">
      <c r="D336" s="84"/>
      <c r="E336" s="84"/>
      <c r="F336" s="84"/>
      <c r="G336" s="84"/>
      <c r="H336" s="84"/>
    </row>
    <row r="337" spans="4:8" ht="15.6">
      <c r="D337" s="84"/>
      <c r="E337" s="84"/>
      <c r="F337" s="84"/>
      <c r="G337" s="84"/>
      <c r="H337" s="84"/>
    </row>
    <row r="338" spans="4:8" ht="15.6">
      <c r="D338" s="84"/>
      <c r="E338" s="84"/>
      <c r="F338" s="84"/>
      <c r="G338" s="84"/>
      <c r="H338" s="84"/>
    </row>
    <row r="339" spans="4:8" ht="15.6">
      <c r="D339" s="84"/>
      <c r="E339" s="84"/>
      <c r="F339" s="84"/>
      <c r="G339" s="84"/>
      <c r="H339" s="84"/>
    </row>
    <row r="340" spans="4:8" ht="15.6">
      <c r="D340" s="84"/>
      <c r="E340" s="84"/>
      <c r="F340" s="84"/>
      <c r="G340" s="84"/>
      <c r="H340" s="84"/>
    </row>
    <row r="341" spans="4:8" ht="15.6">
      <c r="D341" s="84"/>
      <c r="E341" s="84"/>
      <c r="F341" s="84"/>
      <c r="G341" s="84"/>
      <c r="H341" s="84"/>
    </row>
    <row r="342" spans="4:8" ht="15.6">
      <c r="D342" s="84"/>
      <c r="E342" s="84"/>
      <c r="F342" s="84"/>
      <c r="G342" s="84"/>
      <c r="H342" s="84"/>
    </row>
    <row r="343" spans="4:8" ht="15.6">
      <c r="D343" s="84"/>
      <c r="E343" s="84"/>
      <c r="F343" s="84"/>
      <c r="G343" s="84"/>
      <c r="H343" s="84"/>
    </row>
    <row r="344" spans="4:8" ht="15.6">
      <c r="D344" s="84"/>
      <c r="E344" s="84"/>
      <c r="F344" s="84"/>
      <c r="G344" s="84"/>
      <c r="H344" s="84"/>
    </row>
    <row r="345" spans="4:8" ht="15.6">
      <c r="D345" s="84"/>
      <c r="E345" s="84"/>
      <c r="F345" s="84"/>
      <c r="G345" s="84"/>
      <c r="H345" s="84"/>
    </row>
    <row r="346" spans="4:8" ht="15.6">
      <c r="D346" s="84"/>
      <c r="E346" s="84"/>
      <c r="F346" s="84"/>
      <c r="G346" s="84"/>
      <c r="H346" s="84"/>
    </row>
    <row r="347" spans="4:8" ht="15.6">
      <c r="D347" s="84"/>
      <c r="E347" s="84"/>
      <c r="F347" s="84"/>
      <c r="G347" s="84"/>
      <c r="H347" s="84"/>
    </row>
    <row r="348" spans="4:8" ht="15.6">
      <c r="D348" s="84"/>
      <c r="E348" s="84"/>
      <c r="F348" s="84"/>
      <c r="G348" s="84"/>
      <c r="H348" s="84"/>
    </row>
    <row r="349" spans="4:8" ht="15.6">
      <c r="D349" s="84"/>
      <c r="E349" s="84"/>
      <c r="F349" s="84"/>
      <c r="G349" s="84"/>
      <c r="H349" s="84"/>
    </row>
    <row r="350" spans="4:8" ht="15.6">
      <c r="D350" s="84"/>
      <c r="E350" s="84"/>
      <c r="F350" s="84"/>
      <c r="G350" s="84"/>
      <c r="H350" s="84"/>
    </row>
    <row r="351" spans="4:8" ht="15.6">
      <c r="D351" s="84"/>
      <c r="E351" s="84"/>
      <c r="F351" s="84"/>
      <c r="G351" s="84"/>
      <c r="H351" s="84"/>
    </row>
    <row r="352" spans="4:8" ht="15.6">
      <c r="D352" s="84"/>
      <c r="E352" s="84"/>
      <c r="F352" s="84"/>
      <c r="G352" s="84"/>
      <c r="H352" s="84"/>
    </row>
    <row r="353" spans="4:8" ht="15.6">
      <c r="D353" s="84"/>
      <c r="E353" s="84"/>
      <c r="F353" s="84"/>
      <c r="G353" s="84"/>
      <c r="H353" s="84"/>
    </row>
    <row r="354" spans="4:8" ht="15.6">
      <c r="D354" s="84"/>
      <c r="E354" s="84"/>
      <c r="F354" s="84"/>
      <c r="G354" s="84"/>
      <c r="H354" s="84"/>
    </row>
    <row r="355" spans="4:8" ht="15.6">
      <c r="D355" s="84"/>
      <c r="E355" s="84"/>
      <c r="F355" s="84"/>
      <c r="G355" s="84"/>
      <c r="H355" s="84"/>
    </row>
    <row r="356" spans="4:8" ht="15.6">
      <c r="D356" s="84"/>
      <c r="E356" s="84"/>
      <c r="F356" s="84"/>
      <c r="G356" s="84"/>
      <c r="H356" s="84"/>
    </row>
    <row r="357" spans="4:8" ht="15.6">
      <c r="D357" s="84"/>
      <c r="E357" s="84"/>
      <c r="F357" s="84"/>
      <c r="G357" s="84"/>
      <c r="H357" s="84"/>
    </row>
    <row r="358" spans="4:8" ht="15.6">
      <c r="D358" s="84"/>
      <c r="E358" s="84"/>
      <c r="F358" s="84"/>
      <c r="G358" s="84"/>
      <c r="H358" s="84"/>
    </row>
    <row r="359" spans="4:8" ht="15.6">
      <c r="D359" s="84"/>
      <c r="E359" s="84"/>
      <c r="F359" s="84"/>
      <c r="G359" s="84"/>
      <c r="H359" s="84"/>
    </row>
    <row r="360" spans="4:8" ht="15.6">
      <c r="D360" s="84"/>
      <c r="E360" s="84"/>
      <c r="F360" s="84"/>
      <c r="G360" s="84"/>
      <c r="H360" s="84"/>
    </row>
    <row r="361" spans="4:8" ht="15.6">
      <c r="D361" s="84"/>
      <c r="E361" s="84"/>
      <c r="F361" s="84"/>
      <c r="G361" s="84"/>
      <c r="H361" s="84"/>
    </row>
    <row r="362" spans="4:8" ht="15.6">
      <c r="D362" s="84"/>
      <c r="E362" s="84"/>
      <c r="F362" s="84"/>
      <c r="G362" s="84"/>
      <c r="H362" s="84"/>
    </row>
    <row r="363" spans="4:8" ht="15.6">
      <c r="D363" s="84"/>
      <c r="E363" s="84"/>
      <c r="F363" s="84"/>
      <c r="G363" s="84"/>
      <c r="H363" s="84"/>
    </row>
    <row r="364" spans="4:8" ht="15.6">
      <c r="D364" s="84"/>
      <c r="E364" s="84"/>
      <c r="F364" s="84"/>
      <c r="G364" s="84"/>
      <c r="H364" s="84"/>
    </row>
    <row r="365" spans="4:8" ht="15.6">
      <c r="D365" s="84"/>
      <c r="E365" s="84"/>
      <c r="F365" s="84"/>
      <c r="G365" s="84"/>
      <c r="H365" s="84"/>
    </row>
    <row r="366" spans="4:8" ht="15.6">
      <c r="D366" s="84"/>
      <c r="E366" s="84"/>
      <c r="F366" s="84"/>
      <c r="G366" s="84"/>
      <c r="H366" s="84"/>
    </row>
    <row r="367" spans="4:8" ht="15.6">
      <c r="D367" s="84"/>
      <c r="E367" s="84"/>
      <c r="F367" s="84"/>
      <c r="G367" s="84"/>
      <c r="H367" s="84"/>
    </row>
    <row r="368" spans="4:8" ht="15.6">
      <c r="D368" s="84"/>
      <c r="E368" s="84"/>
      <c r="F368" s="84"/>
      <c r="G368" s="84"/>
      <c r="H368" s="84"/>
    </row>
    <row r="369" spans="4:8" ht="15.6">
      <c r="D369" s="84"/>
      <c r="E369" s="84"/>
      <c r="F369" s="84"/>
      <c r="G369" s="84"/>
      <c r="H369" s="84"/>
    </row>
    <row r="370" spans="4:8" ht="15.6">
      <c r="D370" s="84"/>
      <c r="E370" s="84"/>
      <c r="F370" s="84"/>
      <c r="G370" s="84"/>
      <c r="H370" s="84"/>
    </row>
    <row r="371" spans="4:8" ht="15.6">
      <c r="D371" s="84"/>
      <c r="E371" s="84"/>
      <c r="F371" s="84"/>
      <c r="G371" s="84"/>
      <c r="H371" s="84"/>
    </row>
    <row r="372" spans="4:8" ht="15.6">
      <c r="D372" s="84"/>
      <c r="E372" s="84"/>
      <c r="F372" s="84"/>
      <c r="G372" s="84"/>
      <c r="H372" s="84"/>
    </row>
    <row r="373" spans="4:8" ht="15.6">
      <c r="D373" s="84"/>
      <c r="E373" s="84"/>
      <c r="F373" s="84"/>
      <c r="G373" s="84"/>
      <c r="H373" s="84"/>
    </row>
    <row r="374" spans="4:8" ht="15.6">
      <c r="D374" s="84"/>
      <c r="E374" s="84"/>
      <c r="F374" s="84"/>
      <c r="G374" s="84"/>
      <c r="H374" s="84"/>
    </row>
    <row r="375" spans="4:8" ht="15.6">
      <c r="D375" s="84"/>
      <c r="E375" s="84"/>
      <c r="F375" s="84"/>
      <c r="G375" s="84"/>
      <c r="H375" s="84"/>
    </row>
    <row r="376" spans="4:8" ht="15.6">
      <c r="D376" s="84"/>
      <c r="E376" s="84"/>
      <c r="F376" s="84"/>
      <c r="G376" s="84"/>
      <c r="H376" s="84"/>
    </row>
    <row r="377" spans="4:8" ht="15.6">
      <c r="D377" s="84"/>
      <c r="E377" s="84"/>
      <c r="F377" s="84"/>
      <c r="G377" s="84"/>
      <c r="H377" s="84"/>
    </row>
    <row r="378" spans="4:8" ht="15.6">
      <c r="D378" s="84"/>
      <c r="E378" s="84"/>
      <c r="F378" s="84"/>
      <c r="G378" s="84"/>
      <c r="H378" s="84"/>
    </row>
    <row r="379" spans="4:8" ht="15.6">
      <c r="D379" s="84"/>
      <c r="E379" s="84"/>
      <c r="F379" s="84"/>
      <c r="G379" s="84"/>
      <c r="H379" s="84"/>
    </row>
    <row r="380" spans="4:8" ht="15.6">
      <c r="D380" s="84"/>
      <c r="E380" s="84"/>
      <c r="F380" s="84"/>
      <c r="G380" s="84"/>
      <c r="H380" s="84"/>
    </row>
    <row r="381" spans="4:8" ht="15.6">
      <c r="D381" s="84"/>
      <c r="E381" s="84"/>
      <c r="F381" s="84"/>
      <c r="G381" s="84"/>
      <c r="H381" s="84"/>
    </row>
    <row r="382" spans="4:8" ht="15.6">
      <c r="D382" s="84"/>
      <c r="E382" s="84"/>
      <c r="F382" s="84"/>
      <c r="G382" s="84"/>
      <c r="H382" s="84"/>
    </row>
    <row r="383" spans="4:8" ht="15.6">
      <c r="D383" s="84"/>
      <c r="E383" s="84"/>
      <c r="F383" s="84"/>
      <c r="G383" s="84"/>
      <c r="H383" s="84"/>
    </row>
    <row r="384" spans="4:8" ht="15.6">
      <c r="D384" s="84"/>
      <c r="E384" s="84"/>
      <c r="F384" s="84"/>
      <c r="G384" s="84"/>
      <c r="H384" s="84"/>
    </row>
    <row r="385" spans="4:8" ht="15.6">
      <c r="D385" s="84"/>
      <c r="E385" s="84"/>
      <c r="F385" s="84"/>
      <c r="G385" s="84"/>
      <c r="H385" s="84"/>
    </row>
    <row r="386" spans="4:8" ht="15.6">
      <c r="D386" s="84"/>
      <c r="E386" s="84"/>
      <c r="F386" s="84"/>
      <c r="G386" s="84"/>
      <c r="H386" s="84"/>
    </row>
    <row r="387" spans="4:8" ht="15.6">
      <c r="D387" s="84"/>
      <c r="E387" s="84"/>
      <c r="F387" s="84"/>
      <c r="G387" s="84"/>
      <c r="H387" s="84"/>
    </row>
    <row r="388" spans="4:8" ht="15.6">
      <c r="D388" s="84"/>
      <c r="E388" s="84"/>
      <c r="F388" s="84"/>
      <c r="G388" s="84"/>
      <c r="H388" s="84"/>
    </row>
    <row r="389" spans="4:8" ht="15.6">
      <c r="D389" s="84"/>
      <c r="E389" s="84"/>
      <c r="F389" s="84"/>
      <c r="G389" s="84"/>
      <c r="H389" s="84"/>
    </row>
    <row r="390" spans="4:8" ht="15.6">
      <c r="D390" s="84"/>
      <c r="E390" s="84"/>
      <c r="F390" s="84"/>
      <c r="G390" s="84"/>
      <c r="H390" s="84"/>
    </row>
    <row r="391" spans="4:8" ht="15.6">
      <c r="D391" s="84"/>
      <c r="E391" s="84"/>
      <c r="F391" s="84"/>
      <c r="G391" s="84"/>
      <c r="H391" s="84"/>
    </row>
    <row r="392" spans="4:8" ht="15.6">
      <c r="D392" s="84"/>
      <c r="E392" s="84"/>
      <c r="F392" s="84"/>
      <c r="G392" s="84"/>
      <c r="H392" s="84"/>
    </row>
    <row r="393" spans="4:8" ht="15.6">
      <c r="D393" s="84"/>
      <c r="E393" s="84"/>
      <c r="F393" s="84"/>
      <c r="G393" s="84"/>
      <c r="H393" s="84"/>
    </row>
    <row r="394" spans="4:8" ht="15.6">
      <c r="D394" s="84"/>
      <c r="E394" s="84"/>
      <c r="F394" s="84"/>
      <c r="G394" s="84"/>
      <c r="H394" s="84"/>
    </row>
    <row r="395" spans="4:8" ht="15.6">
      <c r="D395" s="84"/>
      <c r="E395" s="84"/>
      <c r="F395" s="84"/>
      <c r="G395" s="84"/>
      <c r="H395" s="84"/>
    </row>
    <row r="396" spans="4:8" ht="15.6">
      <c r="D396" s="84"/>
      <c r="E396" s="84"/>
      <c r="F396" s="84"/>
      <c r="G396" s="84"/>
      <c r="H396" s="84"/>
    </row>
    <row r="397" spans="4:8" ht="15.6">
      <c r="D397" s="84"/>
      <c r="E397" s="84"/>
      <c r="F397" s="84"/>
      <c r="G397" s="84"/>
      <c r="H397" s="84"/>
    </row>
    <row r="398" spans="4:8" ht="15.6">
      <c r="D398" s="84"/>
      <c r="E398" s="84"/>
      <c r="F398" s="84"/>
      <c r="G398" s="84"/>
      <c r="H398" s="84"/>
    </row>
    <row r="399" spans="4:8" ht="15.6">
      <c r="D399" s="84"/>
      <c r="E399" s="84"/>
      <c r="F399" s="84"/>
      <c r="G399" s="84"/>
      <c r="H399" s="84"/>
    </row>
    <row r="400" spans="4:8" ht="15.6">
      <c r="D400" s="84"/>
      <c r="E400" s="84"/>
      <c r="F400" s="84"/>
      <c r="G400" s="84"/>
      <c r="H400" s="84"/>
    </row>
    <row r="401" spans="4:8" ht="15.6">
      <c r="D401" s="84"/>
      <c r="E401" s="84"/>
      <c r="F401" s="84"/>
      <c r="G401" s="84"/>
      <c r="H401" s="84"/>
    </row>
    <row r="402" spans="4:8" ht="15.6">
      <c r="D402" s="84"/>
      <c r="E402" s="84"/>
      <c r="F402" s="84"/>
      <c r="G402" s="84"/>
      <c r="H402" s="84"/>
    </row>
    <row r="403" spans="4:8" ht="15.6">
      <c r="D403" s="84"/>
      <c r="E403" s="84"/>
      <c r="F403" s="84"/>
      <c r="G403" s="84"/>
      <c r="H403" s="84"/>
    </row>
    <row r="404" spans="4:8" ht="15.6">
      <c r="D404" s="84"/>
      <c r="E404" s="84"/>
      <c r="F404" s="84"/>
      <c r="G404" s="84"/>
      <c r="H404" s="84"/>
    </row>
    <row r="405" spans="4:8" ht="15.6">
      <c r="D405" s="84"/>
      <c r="E405" s="84"/>
      <c r="F405" s="84"/>
      <c r="G405" s="84"/>
      <c r="H405" s="84"/>
    </row>
    <row r="406" spans="4:8" ht="15.6">
      <c r="D406" s="84"/>
      <c r="E406" s="84"/>
      <c r="F406" s="84"/>
      <c r="G406" s="84"/>
      <c r="H406" s="84"/>
    </row>
    <row r="407" spans="4:8" ht="15.6">
      <c r="D407" s="84"/>
      <c r="E407" s="84"/>
      <c r="F407" s="84"/>
      <c r="G407" s="84"/>
      <c r="H407" s="84"/>
    </row>
    <row r="408" spans="4:8" ht="15.6">
      <c r="D408" s="84"/>
      <c r="E408" s="84"/>
      <c r="F408" s="84"/>
      <c r="G408" s="84"/>
      <c r="H408" s="84"/>
    </row>
    <row r="409" spans="4:8" ht="15.6">
      <c r="D409" s="84"/>
      <c r="E409" s="84"/>
      <c r="F409" s="84"/>
      <c r="G409" s="84"/>
      <c r="H409" s="84"/>
    </row>
    <row r="410" spans="4:8" ht="15.6">
      <c r="D410" s="84"/>
      <c r="E410" s="84"/>
      <c r="F410" s="84"/>
      <c r="G410" s="84"/>
      <c r="H410" s="84"/>
    </row>
    <row r="411" spans="4:8" ht="15.6">
      <c r="D411" s="84"/>
      <c r="E411" s="84"/>
      <c r="F411" s="84"/>
      <c r="G411" s="84"/>
      <c r="H411" s="84"/>
    </row>
    <row r="412" spans="4:8" ht="15.6">
      <c r="D412" s="84"/>
      <c r="E412" s="84"/>
      <c r="F412" s="84"/>
      <c r="G412" s="84"/>
      <c r="H412" s="84"/>
    </row>
    <row r="413" spans="4:8" ht="15.6">
      <c r="D413" s="84"/>
      <c r="E413" s="84"/>
      <c r="F413" s="84"/>
      <c r="G413" s="84"/>
      <c r="H413" s="84"/>
    </row>
    <row r="414" spans="4:8" ht="15.6">
      <c r="D414" s="84"/>
      <c r="E414" s="84"/>
      <c r="F414" s="84"/>
      <c r="G414" s="84"/>
      <c r="H414" s="84"/>
    </row>
    <row r="415" spans="4:8" ht="15.6">
      <c r="D415" s="84"/>
      <c r="E415" s="84"/>
      <c r="F415" s="84"/>
      <c r="G415" s="84"/>
      <c r="H415" s="84"/>
    </row>
    <row r="416" spans="4:8" ht="15.6">
      <c r="D416" s="84"/>
      <c r="E416" s="84"/>
      <c r="F416" s="84"/>
      <c r="G416" s="84"/>
      <c r="H416" s="84"/>
    </row>
    <row r="417" spans="4:8" ht="15.6">
      <c r="D417" s="84"/>
      <c r="E417" s="84"/>
      <c r="F417" s="84"/>
      <c r="G417" s="84"/>
      <c r="H417" s="84"/>
    </row>
    <row r="418" spans="4:8" ht="15.6">
      <c r="D418" s="84"/>
      <c r="E418" s="84"/>
      <c r="F418" s="84"/>
      <c r="G418" s="84"/>
      <c r="H418" s="84"/>
    </row>
    <row r="419" spans="4:8" ht="15.6">
      <c r="D419" s="84"/>
      <c r="E419" s="84"/>
      <c r="F419" s="84"/>
      <c r="G419" s="84"/>
      <c r="H419" s="84"/>
    </row>
    <row r="420" spans="4:8" ht="15.6">
      <c r="D420" s="84"/>
      <c r="E420" s="84"/>
      <c r="F420" s="84"/>
      <c r="G420" s="84"/>
      <c r="H420" s="84"/>
    </row>
    <row r="421" spans="4:8" ht="15.6">
      <c r="D421" s="84"/>
      <c r="E421" s="84"/>
      <c r="F421" s="84"/>
      <c r="G421" s="84"/>
      <c r="H421" s="84"/>
    </row>
    <row r="422" spans="4:8" ht="15.6">
      <c r="D422" s="84"/>
      <c r="E422" s="84"/>
      <c r="F422" s="84"/>
      <c r="G422" s="84"/>
      <c r="H422" s="84"/>
    </row>
    <row r="423" spans="4:8" ht="15.6">
      <c r="D423" s="84"/>
      <c r="E423" s="84"/>
      <c r="F423" s="84"/>
      <c r="G423" s="84"/>
      <c r="H423" s="84"/>
    </row>
    <row r="424" spans="4:8" ht="15.6">
      <c r="D424" s="84"/>
      <c r="E424" s="84"/>
      <c r="F424" s="84"/>
      <c r="G424" s="84"/>
      <c r="H424" s="84"/>
    </row>
    <row r="425" spans="4:8" ht="15.6">
      <c r="D425" s="84"/>
      <c r="E425" s="84"/>
      <c r="F425" s="84"/>
      <c r="G425" s="84"/>
      <c r="H425" s="84"/>
    </row>
    <row r="426" spans="4:8" ht="15.6">
      <c r="D426" s="84"/>
      <c r="E426" s="84"/>
      <c r="F426" s="84"/>
      <c r="G426" s="84"/>
      <c r="H426" s="84"/>
    </row>
    <row r="427" spans="4:8" ht="15.6">
      <c r="D427" s="84"/>
      <c r="E427" s="84"/>
      <c r="F427" s="84"/>
      <c r="G427" s="84"/>
      <c r="H427" s="84"/>
    </row>
    <row r="428" spans="4:8" ht="15.6">
      <c r="D428" s="84"/>
      <c r="E428" s="84"/>
      <c r="F428" s="84"/>
      <c r="G428" s="84"/>
      <c r="H428" s="84"/>
    </row>
    <row r="429" spans="4:8" ht="15.6">
      <c r="D429" s="84"/>
      <c r="E429" s="84"/>
      <c r="F429" s="84"/>
      <c r="G429" s="84"/>
      <c r="H429" s="84"/>
    </row>
    <row r="430" spans="4:8" ht="15.6">
      <c r="D430" s="84"/>
      <c r="E430" s="84"/>
      <c r="F430" s="84"/>
      <c r="G430" s="84"/>
      <c r="H430" s="84"/>
    </row>
    <row r="431" spans="4:8" ht="15.6">
      <c r="D431" s="84"/>
      <c r="E431" s="84"/>
      <c r="F431" s="84"/>
      <c r="G431" s="84"/>
      <c r="H431" s="84"/>
    </row>
    <row r="432" spans="4:8" ht="15.6">
      <c r="D432" s="84"/>
      <c r="E432" s="84"/>
      <c r="F432" s="84"/>
      <c r="G432" s="84"/>
      <c r="H432" s="84"/>
    </row>
    <row r="433" spans="4:8" ht="15.6">
      <c r="D433" s="84"/>
      <c r="E433" s="84"/>
      <c r="F433" s="84"/>
      <c r="G433" s="84"/>
      <c r="H433" s="84"/>
    </row>
    <row r="434" spans="4:8" ht="15.6">
      <c r="D434" s="84"/>
      <c r="E434" s="84"/>
      <c r="F434" s="84"/>
      <c r="G434" s="84"/>
      <c r="H434" s="84"/>
    </row>
    <row r="435" spans="4:8" ht="15.6">
      <c r="D435" s="84"/>
      <c r="E435" s="84"/>
      <c r="F435" s="84"/>
      <c r="G435" s="84"/>
      <c r="H435" s="84"/>
    </row>
    <row r="436" spans="4:8" ht="15.6">
      <c r="D436" s="84"/>
      <c r="E436" s="84"/>
      <c r="F436" s="84"/>
      <c r="G436" s="84"/>
      <c r="H436" s="84"/>
    </row>
    <row r="437" spans="4:8" ht="15.6">
      <c r="D437" s="84"/>
      <c r="E437" s="84"/>
      <c r="F437" s="84"/>
      <c r="G437" s="84"/>
      <c r="H437" s="84"/>
    </row>
    <row r="438" spans="4:8" ht="15.6">
      <c r="D438" s="84"/>
      <c r="E438" s="84"/>
      <c r="F438" s="84"/>
      <c r="G438" s="84"/>
      <c r="H438" s="84"/>
    </row>
    <row r="439" spans="4:8" ht="15.6">
      <c r="D439" s="84"/>
      <c r="E439" s="84"/>
      <c r="F439" s="84"/>
      <c r="G439" s="84"/>
      <c r="H439" s="84"/>
    </row>
    <row r="440" spans="4:8" ht="15.6">
      <c r="D440" s="84"/>
      <c r="E440" s="84"/>
      <c r="F440" s="84"/>
      <c r="G440" s="84"/>
      <c r="H440" s="84"/>
    </row>
    <row r="441" spans="4:8" ht="15.6">
      <c r="D441" s="84"/>
      <c r="E441" s="84"/>
      <c r="F441" s="84"/>
      <c r="G441" s="84"/>
      <c r="H441" s="84"/>
    </row>
    <row r="442" spans="4:8" ht="15.6">
      <c r="D442" s="84"/>
      <c r="E442" s="84"/>
      <c r="F442" s="84"/>
      <c r="G442" s="84"/>
      <c r="H442" s="84"/>
    </row>
    <row r="443" spans="4:8" ht="15.6">
      <c r="D443" s="84"/>
      <c r="E443" s="84"/>
      <c r="F443" s="84"/>
      <c r="G443" s="84"/>
      <c r="H443" s="84"/>
    </row>
    <row r="444" spans="4:8" ht="15.6">
      <c r="D444" s="84"/>
      <c r="E444" s="84"/>
      <c r="F444" s="84"/>
      <c r="G444" s="84"/>
      <c r="H444" s="84"/>
    </row>
    <row r="445" spans="4:8" ht="15.6">
      <c r="D445" s="84"/>
      <c r="E445" s="84"/>
      <c r="F445" s="84"/>
      <c r="G445" s="84"/>
      <c r="H445" s="84"/>
    </row>
    <row r="446" spans="4:8" ht="15.6">
      <c r="D446" s="84"/>
      <c r="E446" s="84"/>
      <c r="F446" s="84"/>
      <c r="G446" s="84"/>
      <c r="H446" s="84"/>
    </row>
    <row r="447" spans="4:8" ht="15.6">
      <c r="D447" s="84"/>
      <c r="E447" s="84"/>
      <c r="F447" s="84"/>
      <c r="G447" s="84"/>
      <c r="H447" s="84"/>
    </row>
    <row r="448" spans="4:8" ht="15.6">
      <c r="D448" s="84"/>
      <c r="E448" s="84"/>
      <c r="F448" s="84"/>
      <c r="G448" s="84"/>
      <c r="H448" s="84"/>
    </row>
    <row r="449" spans="4:8" ht="15.6">
      <c r="D449" s="84"/>
      <c r="E449" s="84"/>
      <c r="F449" s="84"/>
      <c r="G449" s="84"/>
      <c r="H449" s="84"/>
    </row>
    <row r="450" spans="4:8" ht="15.6">
      <c r="D450" s="84"/>
      <c r="E450" s="84"/>
      <c r="F450" s="84"/>
      <c r="G450" s="84"/>
      <c r="H450" s="84"/>
    </row>
    <row r="451" spans="4:8" ht="15.6">
      <c r="D451" s="84"/>
      <c r="E451" s="84"/>
      <c r="F451" s="84"/>
      <c r="G451" s="84"/>
      <c r="H451" s="84"/>
    </row>
    <row r="452" spans="4:8" ht="15.6">
      <c r="D452" s="84"/>
      <c r="E452" s="84"/>
      <c r="F452" s="84"/>
      <c r="G452" s="84"/>
      <c r="H452" s="84"/>
    </row>
    <row r="453" spans="4:8" ht="15.6">
      <c r="D453" s="84"/>
      <c r="E453" s="84"/>
      <c r="F453" s="84"/>
      <c r="G453" s="84"/>
      <c r="H453" s="84"/>
    </row>
    <row r="454" spans="4:8" ht="15.6">
      <c r="D454" s="84"/>
      <c r="E454" s="84"/>
      <c r="F454" s="84"/>
      <c r="G454" s="84"/>
      <c r="H454" s="84"/>
    </row>
    <row r="455" spans="4:8" ht="15.6">
      <c r="D455" s="84"/>
      <c r="E455" s="84"/>
      <c r="F455" s="84"/>
      <c r="G455" s="84"/>
      <c r="H455" s="84"/>
    </row>
    <row r="456" spans="4:8" ht="15.6">
      <c r="D456" s="84"/>
      <c r="E456" s="84"/>
      <c r="F456" s="84"/>
      <c r="G456" s="84"/>
      <c r="H456" s="84"/>
    </row>
    <row r="457" spans="4:8" ht="15.6">
      <c r="D457" s="84"/>
      <c r="E457" s="84"/>
      <c r="F457" s="84"/>
      <c r="G457" s="84"/>
      <c r="H457" s="84"/>
    </row>
    <row r="458" spans="4:8" ht="15.6">
      <c r="D458" s="84"/>
      <c r="E458" s="84"/>
      <c r="F458" s="84"/>
      <c r="G458" s="84"/>
      <c r="H458" s="84"/>
    </row>
    <row r="459" spans="4:8" ht="15.6">
      <c r="D459" s="84"/>
      <c r="E459" s="84"/>
      <c r="F459" s="84"/>
      <c r="G459" s="84"/>
      <c r="H459" s="84"/>
    </row>
    <row r="460" spans="4:8" ht="15.6">
      <c r="D460" s="84"/>
      <c r="E460" s="84"/>
      <c r="F460" s="84"/>
      <c r="G460" s="84"/>
      <c r="H460" s="84"/>
    </row>
    <row r="461" spans="4:8" ht="15.6">
      <c r="D461" s="84"/>
      <c r="E461" s="84"/>
      <c r="F461" s="84"/>
      <c r="G461" s="84"/>
      <c r="H461" s="84"/>
    </row>
    <row r="462" spans="4:8" ht="15.6">
      <c r="D462" s="84"/>
      <c r="E462" s="84"/>
      <c r="F462" s="84"/>
      <c r="G462" s="84"/>
      <c r="H462" s="84"/>
    </row>
    <row r="463" spans="4:8" ht="15.6">
      <c r="D463" s="84"/>
      <c r="E463" s="84"/>
      <c r="F463" s="84"/>
      <c r="G463" s="84"/>
      <c r="H463" s="84"/>
    </row>
    <row r="464" spans="4:8" ht="15.6">
      <c r="D464" s="84"/>
      <c r="E464" s="84"/>
      <c r="F464" s="84"/>
      <c r="G464" s="84"/>
      <c r="H464" s="84"/>
    </row>
    <row r="465" spans="4:8" ht="15.6">
      <c r="D465" s="84"/>
      <c r="E465" s="84"/>
      <c r="F465" s="84"/>
      <c r="G465" s="84"/>
      <c r="H465" s="84"/>
    </row>
    <row r="466" spans="4:8" ht="15.6">
      <c r="D466" s="84"/>
      <c r="E466" s="84"/>
      <c r="F466" s="84"/>
      <c r="G466" s="84"/>
      <c r="H466" s="84"/>
    </row>
    <row r="467" spans="4:8" ht="15.6">
      <c r="D467" s="84"/>
      <c r="E467" s="84"/>
      <c r="F467" s="84"/>
      <c r="G467" s="84"/>
      <c r="H467" s="84"/>
    </row>
    <row r="468" spans="4:8" ht="15.6">
      <c r="D468" s="84"/>
      <c r="E468" s="84"/>
      <c r="F468" s="84"/>
      <c r="G468" s="84"/>
      <c r="H468" s="84"/>
    </row>
    <row r="469" spans="4:8" ht="15.6">
      <c r="D469" s="84"/>
      <c r="E469" s="84"/>
      <c r="F469" s="84"/>
      <c r="G469" s="84"/>
      <c r="H469" s="84"/>
    </row>
    <row r="470" spans="4:8" ht="15.6">
      <c r="D470" s="84"/>
      <c r="E470" s="84"/>
      <c r="F470" s="84"/>
      <c r="G470" s="84"/>
      <c r="H470" s="84"/>
    </row>
    <row r="471" spans="4:8" ht="15.6">
      <c r="D471" s="84"/>
      <c r="E471" s="84"/>
      <c r="F471" s="84"/>
      <c r="G471" s="84"/>
      <c r="H471" s="84"/>
    </row>
    <row r="472" spans="4:8" ht="15.6">
      <c r="D472" s="84"/>
      <c r="E472" s="84"/>
      <c r="F472" s="84"/>
      <c r="G472" s="84"/>
      <c r="H472" s="84"/>
    </row>
    <row r="473" spans="4:8" ht="15.6">
      <c r="D473" s="84"/>
      <c r="E473" s="84"/>
      <c r="F473" s="84"/>
      <c r="G473" s="84"/>
      <c r="H473" s="84"/>
    </row>
    <row r="474" spans="4:8" ht="15.6">
      <c r="D474" s="84"/>
      <c r="E474" s="84"/>
      <c r="F474" s="84"/>
      <c r="G474" s="84"/>
      <c r="H474" s="84"/>
    </row>
    <row r="475" spans="4:8" ht="15.6">
      <c r="D475" s="84"/>
      <c r="E475" s="84"/>
      <c r="F475" s="84"/>
      <c r="G475" s="84"/>
      <c r="H475" s="84"/>
    </row>
    <row r="476" spans="4:8" ht="15.6">
      <c r="D476" s="84"/>
      <c r="E476" s="84"/>
      <c r="F476" s="84"/>
      <c r="G476" s="84"/>
      <c r="H476" s="84"/>
    </row>
    <row r="477" spans="4:8" ht="15.6">
      <c r="D477" s="84"/>
      <c r="E477" s="84"/>
      <c r="F477" s="84"/>
      <c r="G477" s="84"/>
      <c r="H477" s="84"/>
    </row>
    <row r="478" spans="4:8" ht="15.6">
      <c r="D478" s="84"/>
      <c r="E478" s="84"/>
      <c r="F478" s="84"/>
      <c r="G478" s="84"/>
      <c r="H478" s="84"/>
    </row>
    <row r="479" spans="4:8" ht="15.6">
      <c r="D479" s="84"/>
      <c r="E479" s="84"/>
      <c r="F479" s="84"/>
      <c r="G479" s="84"/>
      <c r="H479" s="84"/>
    </row>
    <row r="480" spans="4:8" ht="15.6">
      <c r="D480" s="84"/>
      <c r="E480" s="84"/>
      <c r="F480" s="84"/>
      <c r="G480" s="84"/>
      <c r="H480" s="84"/>
    </row>
    <row r="481" spans="4:8" ht="15.6">
      <c r="D481" s="84"/>
      <c r="E481" s="84"/>
      <c r="F481" s="84"/>
      <c r="G481" s="84"/>
      <c r="H481" s="84"/>
    </row>
    <row r="482" spans="4:8" ht="15.6">
      <c r="D482" s="84"/>
      <c r="E482" s="84"/>
      <c r="F482" s="84"/>
      <c r="G482" s="84"/>
      <c r="H482" s="84"/>
    </row>
    <row r="483" spans="4:8" ht="15.6">
      <c r="D483" s="84"/>
      <c r="E483" s="84"/>
      <c r="F483" s="84"/>
      <c r="G483" s="84"/>
      <c r="H483" s="84"/>
    </row>
    <row r="484" spans="4:8" ht="15.6">
      <c r="D484" s="84"/>
      <c r="E484" s="84"/>
      <c r="F484" s="84"/>
      <c r="G484" s="84"/>
      <c r="H484" s="84"/>
    </row>
    <row r="485" spans="4:8" ht="15.6">
      <c r="D485" s="84"/>
      <c r="E485" s="84"/>
      <c r="F485" s="84"/>
      <c r="G485" s="84"/>
      <c r="H485" s="84"/>
    </row>
    <row r="486" spans="4:8" ht="15.6">
      <c r="D486" s="84"/>
      <c r="E486" s="84"/>
      <c r="F486" s="84"/>
      <c r="G486" s="84"/>
      <c r="H486" s="84"/>
    </row>
    <row r="487" spans="4:8" ht="15.6">
      <c r="D487" s="84"/>
      <c r="E487" s="84"/>
      <c r="F487" s="84"/>
      <c r="G487" s="84"/>
      <c r="H487" s="84"/>
    </row>
    <row r="488" spans="4:8" ht="15.6">
      <c r="D488" s="84"/>
      <c r="E488" s="84"/>
      <c r="F488" s="84"/>
      <c r="G488" s="84"/>
      <c r="H488" s="84"/>
    </row>
    <row r="489" spans="4:8" ht="15.6">
      <c r="D489" s="84"/>
      <c r="E489" s="84"/>
      <c r="F489" s="84"/>
      <c r="G489" s="84"/>
      <c r="H489" s="84"/>
    </row>
    <row r="490" spans="4:8" ht="15.6">
      <c r="D490" s="84"/>
      <c r="E490" s="84"/>
      <c r="F490" s="84"/>
      <c r="G490" s="84"/>
      <c r="H490" s="84"/>
    </row>
    <row r="491" spans="4:8" ht="15.6">
      <c r="D491" s="84"/>
      <c r="E491" s="84"/>
      <c r="F491" s="84"/>
      <c r="G491" s="84"/>
      <c r="H491" s="84"/>
    </row>
    <row r="492" spans="4:8" ht="15.6">
      <c r="D492" s="84"/>
      <c r="E492" s="84"/>
      <c r="F492" s="84"/>
      <c r="G492" s="84"/>
      <c r="H492" s="84"/>
    </row>
    <row r="493" spans="4:8" ht="15.6">
      <c r="D493" s="84"/>
      <c r="E493" s="84"/>
      <c r="F493" s="84"/>
      <c r="G493" s="84"/>
      <c r="H493" s="84"/>
    </row>
    <row r="494" spans="4:8" ht="15.6">
      <c r="D494" s="84"/>
      <c r="E494" s="84"/>
      <c r="F494" s="84"/>
      <c r="G494" s="84"/>
      <c r="H494" s="84"/>
    </row>
    <row r="495" spans="4:8" ht="15.6">
      <c r="D495" s="84"/>
      <c r="E495" s="84"/>
      <c r="F495" s="84"/>
      <c r="G495" s="84"/>
      <c r="H495" s="84"/>
    </row>
    <row r="496" spans="4:8" ht="15.6">
      <c r="D496" s="84"/>
      <c r="E496" s="84"/>
      <c r="F496" s="84"/>
      <c r="G496" s="84"/>
      <c r="H496" s="84"/>
    </row>
    <row r="497" spans="4:8" ht="15.6">
      <c r="D497" s="84"/>
      <c r="E497" s="84"/>
      <c r="F497" s="84"/>
      <c r="G497" s="84"/>
      <c r="H497" s="84"/>
    </row>
    <row r="498" spans="4:8" ht="15.6">
      <c r="D498" s="84"/>
      <c r="E498" s="84"/>
      <c r="F498" s="84"/>
      <c r="G498" s="84"/>
      <c r="H498" s="84"/>
    </row>
    <row r="499" spans="4:8" ht="15.6">
      <c r="D499" s="84"/>
      <c r="E499" s="84"/>
      <c r="F499" s="84"/>
      <c r="G499" s="84"/>
      <c r="H499" s="84"/>
    </row>
    <row r="500" spans="4:8" ht="15.6">
      <c r="D500" s="84"/>
      <c r="E500" s="84"/>
      <c r="F500" s="84"/>
      <c r="G500" s="84"/>
      <c r="H500" s="84"/>
    </row>
    <row r="501" spans="4:8" ht="15.6">
      <c r="D501" s="84"/>
      <c r="E501" s="84"/>
      <c r="F501" s="84"/>
      <c r="G501" s="84"/>
      <c r="H501" s="84"/>
    </row>
    <row r="502" spans="4:8" ht="15.6">
      <c r="D502" s="84"/>
      <c r="E502" s="84"/>
      <c r="F502" s="84"/>
      <c r="G502" s="84"/>
      <c r="H502" s="84"/>
    </row>
    <row r="503" spans="4:8" ht="15.6">
      <c r="D503" s="84"/>
      <c r="E503" s="84"/>
      <c r="F503" s="84"/>
      <c r="G503" s="84"/>
      <c r="H503" s="84"/>
    </row>
    <row r="504" spans="4:8" ht="15.6">
      <c r="D504" s="84"/>
      <c r="E504" s="84"/>
      <c r="F504" s="84"/>
      <c r="G504" s="84"/>
      <c r="H504" s="84"/>
    </row>
    <row r="505" spans="4:8" ht="15.6">
      <c r="D505" s="84"/>
      <c r="E505" s="84"/>
      <c r="F505" s="84"/>
      <c r="G505" s="84"/>
      <c r="H505" s="84"/>
    </row>
    <row r="506" spans="4:8" ht="15.6">
      <c r="D506" s="84"/>
      <c r="E506" s="84"/>
      <c r="F506" s="84"/>
      <c r="G506" s="84"/>
      <c r="H506" s="84"/>
    </row>
    <row r="507" spans="4:8" ht="15.6">
      <c r="D507" s="84"/>
      <c r="E507" s="84"/>
      <c r="F507" s="84"/>
      <c r="G507" s="84"/>
      <c r="H507" s="84"/>
    </row>
    <row r="508" spans="4:8" ht="15.6">
      <c r="D508" s="84"/>
      <c r="E508" s="84"/>
      <c r="F508" s="84"/>
      <c r="G508" s="84"/>
      <c r="H508" s="84"/>
    </row>
    <row r="509" spans="4:8" ht="15.6">
      <c r="D509" s="84"/>
      <c r="E509" s="84"/>
      <c r="F509" s="84"/>
      <c r="G509" s="84"/>
      <c r="H509" s="84"/>
    </row>
    <row r="510" spans="4:8" ht="15.6">
      <c r="D510" s="84"/>
      <c r="E510" s="84"/>
      <c r="F510" s="84"/>
      <c r="G510" s="84"/>
      <c r="H510" s="84"/>
    </row>
    <row r="511" spans="4:8" ht="15.6">
      <c r="D511" s="84"/>
      <c r="E511" s="84"/>
      <c r="F511" s="84"/>
      <c r="G511" s="84"/>
      <c r="H511" s="84"/>
    </row>
    <row r="512" spans="4:8" ht="15.6">
      <c r="D512" s="84"/>
      <c r="E512" s="84"/>
      <c r="F512" s="84"/>
      <c r="G512" s="84"/>
      <c r="H512" s="84"/>
    </row>
    <row r="513" spans="4:8" ht="15.6">
      <c r="D513" s="84"/>
      <c r="E513" s="84"/>
      <c r="F513" s="84"/>
      <c r="G513" s="84"/>
      <c r="H513" s="84"/>
    </row>
    <row r="514" spans="4:8" ht="15.6">
      <c r="D514" s="84"/>
      <c r="E514" s="84"/>
      <c r="F514" s="84"/>
      <c r="G514" s="84"/>
      <c r="H514" s="84"/>
    </row>
    <row r="515" spans="4:8" ht="15.6">
      <c r="D515" s="84"/>
      <c r="E515" s="84"/>
      <c r="F515" s="84"/>
      <c r="G515" s="84"/>
      <c r="H515" s="84"/>
    </row>
    <row r="516" spans="4:8" ht="15.6">
      <c r="D516" s="84"/>
      <c r="E516" s="84"/>
      <c r="F516" s="84"/>
      <c r="G516" s="84"/>
      <c r="H516" s="84"/>
    </row>
    <row r="517" spans="4:8" ht="15.6">
      <c r="D517" s="84"/>
      <c r="E517" s="84"/>
      <c r="F517" s="84"/>
      <c r="G517" s="84"/>
      <c r="H517" s="84"/>
    </row>
    <row r="518" spans="4:8" ht="15.6">
      <c r="D518" s="84"/>
      <c r="E518" s="84"/>
      <c r="F518" s="84"/>
      <c r="G518" s="84"/>
      <c r="H518" s="84"/>
    </row>
    <row r="519" spans="4:8" ht="15.6">
      <c r="D519" s="84"/>
      <c r="E519" s="84"/>
      <c r="F519" s="84"/>
      <c r="G519" s="84"/>
      <c r="H519" s="84"/>
    </row>
    <row r="520" spans="4:8" ht="15.6">
      <c r="D520" s="84"/>
      <c r="E520" s="84"/>
      <c r="F520" s="84"/>
      <c r="G520" s="84"/>
      <c r="H520" s="84"/>
    </row>
    <row r="521" spans="4:8" ht="15.6">
      <c r="D521" s="84"/>
      <c r="E521" s="84"/>
      <c r="F521" s="84"/>
      <c r="G521" s="84"/>
      <c r="H521" s="84"/>
    </row>
    <row r="522" spans="4:8" ht="15.6">
      <c r="D522" s="84"/>
      <c r="E522" s="84"/>
      <c r="F522" s="84"/>
      <c r="G522" s="84"/>
      <c r="H522" s="84"/>
    </row>
    <row r="523" spans="4:8" ht="15.6">
      <c r="D523" s="84"/>
      <c r="E523" s="84"/>
      <c r="F523" s="84"/>
      <c r="G523" s="84"/>
      <c r="H523" s="84"/>
    </row>
    <row r="524" spans="4:8" ht="15.6">
      <c r="D524" s="84"/>
      <c r="E524" s="84"/>
      <c r="F524" s="84"/>
      <c r="G524" s="84"/>
      <c r="H524" s="84"/>
    </row>
    <row r="525" spans="4:8" ht="15.6">
      <c r="D525" s="84"/>
      <c r="E525" s="84"/>
      <c r="F525" s="84"/>
      <c r="G525" s="84"/>
      <c r="H525" s="84"/>
    </row>
    <row r="526" spans="4:8" ht="15.6">
      <c r="D526" s="84"/>
      <c r="E526" s="84"/>
      <c r="F526" s="84"/>
      <c r="G526" s="84"/>
      <c r="H526" s="84"/>
    </row>
    <row r="527" spans="4:8" ht="15.6">
      <c r="D527" s="84"/>
      <c r="E527" s="84"/>
      <c r="F527" s="84"/>
      <c r="G527" s="84"/>
      <c r="H527" s="84"/>
    </row>
    <row r="528" spans="4:8" ht="15.6">
      <c r="D528" s="84"/>
      <c r="E528" s="84"/>
      <c r="F528" s="84"/>
      <c r="G528" s="84"/>
      <c r="H528" s="84"/>
    </row>
    <row r="529" spans="4:8" ht="15.6">
      <c r="D529" s="84"/>
      <c r="E529" s="84"/>
      <c r="F529" s="84"/>
      <c r="G529" s="84"/>
      <c r="H529" s="84"/>
    </row>
    <row r="530" spans="4:8" ht="15.6">
      <c r="D530" s="84"/>
      <c r="E530" s="84"/>
      <c r="F530" s="84"/>
      <c r="G530" s="84"/>
      <c r="H530" s="84"/>
    </row>
    <row r="531" spans="4:8" ht="15.6">
      <c r="D531" s="84"/>
      <c r="E531" s="84"/>
      <c r="F531" s="84"/>
      <c r="G531" s="84"/>
      <c r="H531" s="84"/>
    </row>
    <row r="532" spans="4:8" ht="15.6">
      <c r="D532" s="84"/>
      <c r="E532" s="84"/>
      <c r="F532" s="84"/>
      <c r="G532" s="84"/>
      <c r="H532" s="84"/>
    </row>
    <row r="533" spans="4:8" ht="15.6">
      <c r="D533" s="84"/>
      <c r="E533" s="84"/>
      <c r="F533" s="84"/>
      <c r="G533" s="84"/>
      <c r="H533" s="84"/>
    </row>
    <row r="534" spans="4:8" ht="15.6">
      <c r="D534" s="84"/>
      <c r="E534" s="84"/>
      <c r="F534" s="84"/>
      <c r="G534" s="84"/>
      <c r="H534" s="84"/>
    </row>
    <row r="535" spans="4:8" ht="15.6">
      <c r="D535" s="84"/>
      <c r="E535" s="84"/>
      <c r="F535" s="84"/>
      <c r="G535" s="84"/>
      <c r="H535" s="84"/>
    </row>
    <row r="536" spans="4:8" ht="15.6">
      <c r="D536" s="84"/>
      <c r="E536" s="84"/>
      <c r="F536" s="84"/>
      <c r="G536" s="84"/>
      <c r="H536" s="84"/>
    </row>
    <row r="537" spans="4:8" ht="15.6">
      <c r="D537" s="84"/>
      <c r="E537" s="84"/>
      <c r="F537" s="84"/>
      <c r="G537" s="84"/>
      <c r="H537" s="84"/>
    </row>
    <row r="538" spans="4:8" ht="15.6">
      <c r="D538" s="84"/>
      <c r="E538" s="84"/>
      <c r="F538" s="84"/>
      <c r="G538" s="84"/>
      <c r="H538" s="84"/>
    </row>
    <row r="539" spans="4:8" ht="15.6">
      <c r="D539" s="84"/>
      <c r="E539" s="84"/>
      <c r="F539" s="84"/>
      <c r="G539" s="84"/>
      <c r="H539" s="84"/>
    </row>
    <row r="540" spans="4:8" ht="15.6">
      <c r="D540" s="84"/>
      <c r="E540" s="84"/>
      <c r="F540" s="84"/>
      <c r="G540" s="84"/>
      <c r="H540" s="84"/>
    </row>
    <row r="541" spans="4:8" ht="15.6">
      <c r="D541" s="84"/>
      <c r="E541" s="84"/>
      <c r="F541" s="84"/>
      <c r="G541" s="84"/>
      <c r="H541" s="84"/>
    </row>
    <row r="542" spans="4:8" ht="15.6">
      <c r="D542" s="84"/>
      <c r="E542" s="84"/>
      <c r="F542" s="84"/>
      <c r="G542" s="84"/>
      <c r="H542" s="84"/>
    </row>
    <row r="543" spans="4:8" ht="15.6">
      <c r="D543" s="84"/>
      <c r="E543" s="84"/>
      <c r="F543" s="84"/>
      <c r="G543" s="84"/>
      <c r="H543" s="84"/>
    </row>
    <row r="544" spans="4:8" ht="15.6">
      <c r="D544" s="84"/>
      <c r="E544" s="84"/>
      <c r="F544" s="84"/>
      <c r="G544" s="84"/>
      <c r="H544" s="84"/>
    </row>
    <row r="545" spans="4:8" ht="15.6">
      <c r="D545" s="84"/>
      <c r="E545" s="84"/>
      <c r="F545" s="84"/>
      <c r="G545" s="84"/>
      <c r="H545" s="84"/>
    </row>
    <row r="546" spans="4:8" ht="15.6">
      <c r="D546" s="84"/>
      <c r="E546" s="84"/>
      <c r="F546" s="84"/>
      <c r="G546" s="84"/>
      <c r="H546" s="84"/>
    </row>
    <row r="547" spans="4:8" ht="15.6">
      <c r="D547" s="84"/>
      <c r="E547" s="84"/>
      <c r="F547" s="84"/>
      <c r="G547" s="84"/>
      <c r="H547" s="84"/>
    </row>
    <row r="548" spans="4:8" ht="15.6">
      <c r="D548" s="84"/>
      <c r="E548" s="84"/>
      <c r="F548" s="84"/>
      <c r="G548" s="84"/>
      <c r="H548" s="84"/>
    </row>
    <row r="549" spans="4:8" ht="15.6">
      <c r="D549" s="84"/>
      <c r="E549" s="84"/>
      <c r="F549" s="84"/>
      <c r="G549" s="84"/>
      <c r="H549" s="84"/>
    </row>
    <row r="550" spans="4:8" ht="15.6">
      <c r="D550" s="84"/>
      <c r="E550" s="84"/>
      <c r="F550" s="84"/>
      <c r="G550" s="84"/>
      <c r="H550" s="84"/>
    </row>
    <row r="551" spans="4:8" ht="15.6">
      <c r="D551" s="84"/>
      <c r="E551" s="84"/>
      <c r="F551" s="84"/>
      <c r="G551" s="84"/>
      <c r="H551" s="84"/>
    </row>
    <row r="552" spans="4:8" ht="15.6">
      <c r="D552" s="84"/>
      <c r="E552" s="84"/>
      <c r="F552" s="84"/>
      <c r="G552" s="84"/>
      <c r="H552" s="84"/>
    </row>
    <row r="553" spans="4:8" ht="15.6">
      <c r="D553" s="84"/>
      <c r="E553" s="84"/>
      <c r="F553" s="84"/>
      <c r="G553" s="84"/>
      <c r="H553" s="84"/>
    </row>
    <row r="554" spans="4:8" ht="15.6">
      <c r="D554" s="84"/>
      <c r="E554" s="84"/>
      <c r="F554" s="84"/>
      <c r="G554" s="84"/>
      <c r="H554" s="84"/>
    </row>
    <row r="555" spans="4:8" ht="15.6">
      <c r="D555" s="84"/>
      <c r="E555" s="84"/>
      <c r="F555" s="84"/>
      <c r="G555" s="84"/>
      <c r="H555" s="84"/>
    </row>
    <row r="556" spans="4:8" ht="15.6">
      <c r="D556" s="84"/>
      <c r="E556" s="84"/>
      <c r="F556" s="84"/>
      <c r="G556" s="84"/>
      <c r="H556" s="84"/>
    </row>
    <row r="557" spans="4:8" ht="15.6">
      <c r="D557" s="84"/>
      <c r="E557" s="84"/>
      <c r="F557" s="84"/>
      <c r="G557" s="84"/>
      <c r="H557" s="84"/>
    </row>
    <row r="558" spans="4:8" ht="15.6">
      <c r="D558" s="84"/>
      <c r="E558" s="84"/>
      <c r="F558" s="84"/>
      <c r="G558" s="84"/>
      <c r="H558" s="84"/>
    </row>
    <row r="559" spans="4:8" ht="15.6">
      <c r="D559" s="84"/>
      <c r="E559" s="84"/>
      <c r="F559" s="84"/>
      <c r="G559" s="84"/>
      <c r="H559" s="84"/>
    </row>
    <row r="560" spans="4:8" ht="15.6">
      <c r="D560" s="84"/>
      <c r="E560" s="84"/>
      <c r="F560" s="84"/>
      <c r="G560" s="84"/>
      <c r="H560" s="84"/>
    </row>
    <row r="561" spans="4:8" ht="15.6">
      <c r="D561" s="84"/>
      <c r="E561" s="84"/>
      <c r="F561" s="84"/>
      <c r="G561" s="84"/>
      <c r="H561" s="84"/>
    </row>
    <row r="562" spans="4:8" ht="15.6">
      <c r="D562" s="84"/>
      <c r="E562" s="84"/>
      <c r="F562" s="84"/>
      <c r="G562" s="84"/>
      <c r="H562" s="84"/>
    </row>
    <row r="563" spans="4:8" ht="15.6">
      <c r="D563" s="84"/>
      <c r="E563" s="84"/>
      <c r="F563" s="84"/>
      <c r="G563" s="84"/>
      <c r="H563" s="84"/>
    </row>
    <row r="564" spans="4:8" ht="15.6">
      <c r="D564" s="84"/>
      <c r="E564" s="84"/>
      <c r="F564" s="84"/>
      <c r="G564" s="84"/>
      <c r="H564" s="84"/>
    </row>
    <row r="565" spans="4:8" ht="15.6">
      <c r="D565" s="84"/>
      <c r="E565" s="84"/>
      <c r="F565" s="84"/>
      <c r="G565" s="84"/>
      <c r="H565" s="84"/>
    </row>
    <row r="566" spans="4:8" ht="15.6">
      <c r="D566" s="84"/>
      <c r="E566" s="84"/>
      <c r="F566" s="84"/>
      <c r="G566" s="84"/>
      <c r="H566" s="84"/>
    </row>
    <row r="567" spans="4:8" ht="15.6">
      <c r="D567" s="84"/>
      <c r="E567" s="84"/>
      <c r="F567" s="84"/>
      <c r="G567" s="84"/>
      <c r="H567" s="84"/>
    </row>
    <row r="568" spans="4:8" ht="15.6">
      <c r="D568" s="84"/>
      <c r="E568" s="84"/>
      <c r="F568" s="84"/>
      <c r="G568" s="84"/>
      <c r="H568" s="84"/>
    </row>
    <row r="569" spans="4:8" ht="15.6">
      <c r="D569" s="84"/>
      <c r="E569" s="84"/>
      <c r="F569" s="84"/>
      <c r="G569" s="84"/>
      <c r="H569" s="84"/>
    </row>
    <row r="570" spans="4:8" ht="15.6">
      <c r="D570" s="84"/>
      <c r="E570" s="84"/>
      <c r="F570" s="84"/>
      <c r="G570" s="84"/>
      <c r="H570" s="84"/>
    </row>
    <row r="571" spans="4:8" ht="15.6">
      <c r="D571" s="84"/>
      <c r="E571" s="84"/>
      <c r="F571" s="84"/>
      <c r="G571" s="84"/>
      <c r="H571" s="84"/>
    </row>
    <row r="572" spans="4:8" ht="15.6">
      <c r="D572" s="84"/>
      <c r="E572" s="84"/>
      <c r="F572" s="84"/>
      <c r="G572" s="84"/>
      <c r="H572" s="84"/>
    </row>
    <row r="573" spans="4:8" ht="15.6">
      <c r="D573" s="84"/>
      <c r="E573" s="84"/>
      <c r="F573" s="84"/>
      <c r="G573" s="84"/>
      <c r="H573" s="84"/>
    </row>
    <row r="574" spans="4:8" ht="15.6">
      <c r="D574" s="84"/>
      <c r="E574" s="84"/>
      <c r="F574" s="84"/>
      <c r="G574" s="84"/>
      <c r="H574" s="84"/>
    </row>
    <row r="575" spans="4:8" ht="15.6">
      <c r="D575" s="84"/>
      <c r="E575" s="84"/>
      <c r="F575" s="84"/>
      <c r="G575" s="84"/>
      <c r="H575" s="84"/>
    </row>
    <row r="576" spans="4:8" ht="15.6">
      <c r="D576" s="84"/>
      <c r="E576" s="84"/>
      <c r="F576" s="84"/>
      <c r="G576" s="84"/>
      <c r="H576" s="84"/>
    </row>
    <row r="577" spans="4:8" ht="15.6">
      <c r="D577" s="84"/>
      <c r="E577" s="84"/>
      <c r="F577" s="84"/>
      <c r="G577" s="84"/>
      <c r="H577" s="84"/>
    </row>
    <row r="578" spans="4:8" ht="15.6">
      <c r="D578" s="84"/>
      <c r="E578" s="84"/>
      <c r="F578" s="84"/>
      <c r="G578" s="84"/>
      <c r="H578" s="84"/>
    </row>
    <row r="579" spans="4:8" ht="15.6">
      <c r="D579" s="84"/>
      <c r="E579" s="84"/>
      <c r="F579" s="84"/>
      <c r="G579" s="84"/>
      <c r="H579" s="84"/>
    </row>
    <row r="580" spans="4:8" ht="15.6">
      <c r="D580" s="84"/>
      <c r="E580" s="84"/>
      <c r="F580" s="84"/>
      <c r="G580" s="84"/>
      <c r="H580" s="84"/>
    </row>
    <row r="581" spans="4:8" ht="15.6">
      <c r="D581" s="84"/>
      <c r="E581" s="84"/>
      <c r="F581" s="84"/>
      <c r="G581" s="84"/>
      <c r="H581" s="84"/>
    </row>
    <row r="582" spans="4:8" ht="15.6">
      <c r="D582" s="84"/>
      <c r="E582" s="84"/>
      <c r="F582" s="84"/>
      <c r="G582" s="84"/>
      <c r="H582" s="84"/>
    </row>
    <row r="583" spans="4:8" ht="15.6">
      <c r="D583" s="84"/>
      <c r="E583" s="84"/>
      <c r="F583" s="84"/>
      <c r="G583" s="84"/>
      <c r="H583" s="84"/>
    </row>
    <row r="584" spans="4:8" ht="15.6">
      <c r="D584" s="84"/>
      <c r="E584" s="84"/>
      <c r="F584" s="84"/>
      <c r="G584" s="84"/>
      <c r="H584" s="84"/>
    </row>
    <row r="585" spans="4:8" ht="15.6">
      <c r="D585" s="84"/>
      <c r="E585" s="84"/>
      <c r="F585" s="84"/>
      <c r="G585" s="84"/>
      <c r="H585" s="84"/>
    </row>
    <row r="586" spans="4:8" ht="15.6">
      <c r="D586" s="84"/>
      <c r="E586" s="84"/>
      <c r="F586" s="84"/>
      <c r="G586" s="84"/>
      <c r="H586" s="84"/>
    </row>
    <row r="587" spans="4:8" ht="15.6">
      <c r="D587" s="84"/>
      <c r="E587" s="84"/>
      <c r="F587" s="84"/>
      <c r="G587" s="84"/>
      <c r="H587" s="84"/>
    </row>
    <row r="588" spans="4:8" ht="15.6">
      <c r="D588" s="84"/>
      <c r="E588" s="84"/>
      <c r="F588" s="84"/>
      <c r="G588" s="84"/>
      <c r="H588" s="84"/>
    </row>
    <row r="589" spans="4:8" ht="15.6">
      <c r="D589" s="84"/>
      <c r="E589" s="84"/>
      <c r="F589" s="84"/>
      <c r="G589" s="84"/>
      <c r="H589" s="84"/>
    </row>
    <row r="590" spans="4:8" ht="15.6">
      <c r="D590" s="84"/>
      <c r="E590" s="84"/>
      <c r="F590" s="84"/>
      <c r="G590" s="84"/>
      <c r="H590" s="84"/>
    </row>
    <row r="591" spans="4:8" ht="15.6">
      <c r="D591" s="84"/>
      <c r="E591" s="84"/>
      <c r="F591" s="84"/>
      <c r="G591" s="84"/>
      <c r="H591" s="84"/>
    </row>
    <row r="592" spans="4:8" ht="15.6">
      <c r="D592" s="84"/>
      <c r="E592" s="84"/>
      <c r="F592" s="84"/>
      <c r="G592" s="84"/>
      <c r="H592" s="84"/>
    </row>
    <row r="593" spans="4:8" ht="15.6">
      <c r="D593" s="84"/>
      <c r="E593" s="84"/>
      <c r="F593" s="84"/>
      <c r="G593" s="84"/>
      <c r="H593" s="84"/>
    </row>
    <row r="594" spans="4:8" ht="15.6">
      <c r="D594" s="84"/>
      <c r="E594" s="84"/>
      <c r="F594" s="84"/>
      <c r="G594" s="84"/>
      <c r="H594" s="84"/>
    </row>
    <row r="595" spans="4:8" ht="15.6">
      <c r="D595" s="84"/>
      <c r="E595" s="84"/>
      <c r="F595" s="84"/>
      <c r="G595" s="84"/>
      <c r="H595" s="84"/>
    </row>
    <row r="596" spans="4:8" ht="15.6">
      <c r="D596" s="84"/>
      <c r="E596" s="84"/>
      <c r="F596" s="84"/>
      <c r="G596" s="84"/>
      <c r="H596" s="84"/>
    </row>
    <row r="597" spans="4:8" ht="15.6">
      <c r="D597" s="84"/>
      <c r="E597" s="84"/>
      <c r="F597" s="84"/>
      <c r="G597" s="84"/>
      <c r="H597" s="84"/>
    </row>
    <row r="598" spans="4:8" ht="15.6">
      <c r="D598" s="84"/>
      <c r="E598" s="84"/>
      <c r="F598" s="84"/>
      <c r="G598" s="84"/>
      <c r="H598" s="84"/>
    </row>
    <row r="599" spans="4:8" ht="15.6">
      <c r="D599" s="84"/>
      <c r="E599" s="84"/>
      <c r="F599" s="84"/>
      <c r="G599" s="84"/>
      <c r="H599" s="84"/>
    </row>
    <row r="600" spans="4:8" ht="15.6">
      <c r="D600" s="84"/>
      <c r="E600" s="84"/>
      <c r="F600" s="84"/>
      <c r="G600" s="84"/>
      <c r="H600" s="84"/>
    </row>
    <row r="601" spans="4:8" ht="15.6">
      <c r="D601" s="84"/>
      <c r="E601" s="84"/>
      <c r="F601" s="84"/>
      <c r="G601" s="84"/>
      <c r="H601" s="84"/>
    </row>
    <row r="602" spans="4:8" ht="15.6">
      <c r="D602" s="84"/>
      <c r="E602" s="84"/>
      <c r="F602" s="84"/>
      <c r="G602" s="84"/>
      <c r="H602" s="84"/>
    </row>
    <row r="603" spans="4:8" ht="15.6">
      <c r="D603" s="84"/>
      <c r="E603" s="84"/>
      <c r="F603" s="84"/>
      <c r="G603" s="84"/>
      <c r="H603" s="84"/>
    </row>
    <row r="604" spans="4:8" ht="15.6">
      <c r="D604" s="84"/>
      <c r="E604" s="84"/>
      <c r="F604" s="84"/>
      <c r="G604" s="84"/>
      <c r="H604" s="84"/>
    </row>
    <row r="605" spans="4:8" ht="15.6">
      <c r="D605" s="84"/>
      <c r="E605" s="84"/>
      <c r="F605" s="84"/>
      <c r="G605" s="84"/>
      <c r="H605" s="84"/>
    </row>
    <row r="606" spans="4:8" ht="15.6">
      <c r="D606" s="84"/>
      <c r="E606" s="84"/>
      <c r="F606" s="84"/>
      <c r="G606" s="84"/>
      <c r="H606" s="84"/>
    </row>
    <row r="607" spans="4:8" ht="15.6">
      <c r="D607" s="84"/>
      <c r="E607" s="84"/>
      <c r="F607" s="84"/>
      <c r="G607" s="84"/>
      <c r="H607" s="84"/>
    </row>
    <row r="608" spans="4:8" ht="15.6">
      <c r="D608" s="84"/>
      <c r="E608" s="84"/>
      <c r="F608" s="84"/>
      <c r="G608" s="84"/>
      <c r="H608" s="84"/>
    </row>
    <row r="609" spans="4:8" ht="15.6">
      <c r="D609" s="84"/>
      <c r="E609" s="84"/>
      <c r="F609" s="84"/>
      <c r="G609" s="84"/>
      <c r="H609" s="84"/>
    </row>
    <row r="610" spans="4:8" ht="15.6">
      <c r="D610" s="84"/>
      <c r="E610" s="84"/>
      <c r="F610" s="84"/>
      <c r="G610" s="84"/>
      <c r="H610" s="84"/>
    </row>
    <row r="611" spans="4:8" ht="15.6">
      <c r="D611" s="84"/>
      <c r="E611" s="84"/>
      <c r="F611" s="84"/>
      <c r="G611" s="84"/>
      <c r="H611" s="84"/>
    </row>
    <row r="612" spans="4:8" ht="15.6">
      <c r="D612" s="84"/>
      <c r="E612" s="84"/>
      <c r="F612" s="84"/>
      <c r="G612" s="84"/>
      <c r="H612" s="84"/>
    </row>
    <row r="613" spans="4:8" ht="15.6">
      <c r="D613" s="84"/>
      <c r="E613" s="84"/>
      <c r="F613" s="84"/>
      <c r="G613" s="84"/>
      <c r="H613" s="84"/>
    </row>
    <row r="614" spans="4:8" ht="15.6">
      <c r="D614" s="84"/>
      <c r="E614" s="84"/>
      <c r="F614" s="84"/>
      <c r="G614" s="84"/>
      <c r="H614" s="84"/>
    </row>
    <row r="615" spans="4:8" ht="15.6">
      <c r="D615" s="84"/>
      <c r="E615" s="84"/>
      <c r="F615" s="84"/>
      <c r="G615" s="84"/>
      <c r="H615" s="84"/>
    </row>
    <row r="616" spans="4:8" ht="15.6">
      <c r="D616" s="84"/>
      <c r="E616" s="84"/>
      <c r="F616" s="84"/>
      <c r="G616" s="84"/>
      <c r="H616" s="84"/>
    </row>
    <row r="617" spans="4:8" ht="15.6">
      <c r="D617" s="84"/>
      <c r="E617" s="84"/>
      <c r="F617" s="84"/>
      <c r="G617" s="84"/>
      <c r="H617" s="84"/>
    </row>
    <row r="618" spans="4:8" ht="15.6">
      <c r="D618" s="84"/>
      <c r="E618" s="84"/>
      <c r="F618" s="84"/>
      <c r="G618" s="84"/>
      <c r="H618" s="84"/>
    </row>
    <row r="619" spans="4:8" ht="15.6">
      <c r="D619" s="84"/>
      <c r="E619" s="84"/>
      <c r="F619" s="84"/>
      <c r="G619" s="84"/>
      <c r="H619" s="84"/>
    </row>
    <row r="620" spans="4:8" ht="15.6">
      <c r="D620" s="84"/>
      <c r="E620" s="84"/>
      <c r="F620" s="84"/>
      <c r="G620" s="84"/>
      <c r="H620" s="84"/>
    </row>
    <row r="621" spans="4:8" ht="15.6">
      <c r="D621" s="84"/>
      <c r="E621" s="84"/>
      <c r="F621" s="84"/>
      <c r="G621" s="84"/>
      <c r="H621" s="84"/>
    </row>
    <row r="622" spans="4:8" ht="15.6">
      <c r="D622" s="84"/>
      <c r="E622" s="84"/>
      <c r="F622" s="84"/>
      <c r="G622" s="84"/>
      <c r="H622" s="84"/>
    </row>
    <row r="623" spans="4:8" ht="15.6">
      <c r="D623" s="84"/>
      <c r="E623" s="84"/>
      <c r="F623" s="84"/>
      <c r="G623" s="84"/>
      <c r="H623" s="84"/>
    </row>
    <row r="624" spans="4:8" ht="15.6">
      <c r="D624" s="84"/>
      <c r="E624" s="84"/>
      <c r="F624" s="84"/>
      <c r="G624" s="84"/>
      <c r="H624" s="84"/>
    </row>
    <row r="625" spans="4:8" ht="15.6">
      <c r="D625" s="84"/>
      <c r="E625" s="84"/>
      <c r="F625" s="84"/>
      <c r="G625" s="84"/>
      <c r="H625" s="84"/>
    </row>
    <row r="626" spans="4:8" ht="15.6">
      <c r="D626" s="84"/>
      <c r="E626" s="84"/>
      <c r="F626" s="84"/>
      <c r="G626" s="84"/>
      <c r="H626" s="84"/>
    </row>
    <row r="627" spans="4:8" ht="15.6">
      <c r="D627" s="84"/>
      <c r="E627" s="84"/>
      <c r="F627" s="84"/>
      <c r="G627" s="84"/>
      <c r="H627" s="84"/>
    </row>
    <row r="628" spans="4:8" ht="15.6">
      <c r="D628" s="84"/>
      <c r="E628" s="84"/>
      <c r="F628" s="84"/>
      <c r="G628" s="84"/>
      <c r="H628" s="84"/>
    </row>
    <row r="629" spans="4:8" ht="15.6">
      <c r="D629" s="84"/>
      <c r="E629" s="84"/>
      <c r="F629" s="84"/>
      <c r="G629" s="84"/>
      <c r="H629" s="84"/>
    </row>
    <row r="630" spans="4:8" ht="15.6">
      <c r="D630" s="84"/>
      <c r="E630" s="84"/>
      <c r="F630" s="84"/>
      <c r="G630" s="84"/>
      <c r="H630" s="84"/>
    </row>
    <row r="631" spans="4:8" ht="15.6">
      <c r="D631" s="84"/>
      <c r="E631" s="84"/>
      <c r="F631" s="84"/>
      <c r="G631" s="84"/>
      <c r="H631" s="84"/>
    </row>
    <row r="632" spans="4:8" ht="15.6">
      <c r="D632" s="84"/>
      <c r="E632" s="84"/>
      <c r="F632" s="84"/>
      <c r="G632" s="84"/>
      <c r="H632" s="84"/>
    </row>
    <row r="633" spans="4:8" ht="15.6">
      <c r="D633" s="84"/>
      <c r="E633" s="84"/>
      <c r="F633" s="84"/>
      <c r="G633" s="84"/>
      <c r="H633" s="84"/>
    </row>
    <row r="634" spans="4:8" ht="15.6">
      <c r="D634" s="84"/>
      <c r="E634" s="84"/>
      <c r="F634" s="84"/>
      <c r="G634" s="84"/>
      <c r="H634" s="84"/>
    </row>
    <row r="635" spans="4:8" ht="15.6">
      <c r="D635" s="84"/>
      <c r="E635" s="84"/>
      <c r="F635" s="84"/>
      <c r="G635" s="84"/>
      <c r="H635" s="84"/>
    </row>
    <row r="636" spans="4:8" ht="15.6">
      <c r="D636" s="84"/>
      <c r="E636" s="84"/>
      <c r="F636" s="84"/>
      <c r="G636" s="84"/>
      <c r="H636" s="84"/>
    </row>
    <row r="637" spans="4:8" ht="15.6">
      <c r="D637" s="84"/>
      <c r="E637" s="84"/>
      <c r="F637" s="84"/>
      <c r="G637" s="84"/>
      <c r="H637" s="84"/>
    </row>
    <row r="638" spans="4:8" ht="15.6">
      <c r="D638" s="84"/>
      <c r="E638" s="84"/>
      <c r="F638" s="84"/>
      <c r="G638" s="84"/>
      <c r="H638" s="84"/>
    </row>
    <row r="639" spans="4:8" ht="15.6">
      <c r="D639" s="84"/>
      <c r="E639" s="84"/>
      <c r="F639" s="84"/>
      <c r="G639" s="84"/>
      <c r="H639" s="84"/>
    </row>
    <row r="640" spans="4:8" ht="15.6">
      <c r="D640" s="84"/>
      <c r="E640" s="84"/>
      <c r="F640" s="84"/>
      <c r="G640" s="84"/>
      <c r="H640" s="84"/>
    </row>
    <row r="641" spans="4:8" ht="15.6">
      <c r="D641" s="84"/>
      <c r="E641" s="84"/>
      <c r="F641" s="84"/>
      <c r="G641" s="84"/>
      <c r="H641" s="84"/>
    </row>
    <row r="642" spans="4:8" ht="15.6">
      <c r="D642" s="84"/>
      <c r="E642" s="84"/>
      <c r="F642" s="84"/>
      <c r="G642" s="84"/>
      <c r="H642" s="84"/>
    </row>
    <row r="643" spans="4:8" ht="15.6">
      <c r="D643" s="84"/>
      <c r="E643" s="84"/>
      <c r="F643" s="84"/>
      <c r="G643" s="84"/>
      <c r="H643" s="84"/>
    </row>
    <row r="644" spans="4:8" ht="15.6">
      <c r="D644" s="84"/>
      <c r="E644" s="84"/>
      <c r="F644" s="84"/>
      <c r="G644" s="84"/>
      <c r="H644" s="84"/>
    </row>
    <row r="645" spans="4:8" ht="15.6">
      <c r="D645" s="84"/>
      <c r="E645" s="84"/>
      <c r="F645" s="84"/>
      <c r="G645" s="84"/>
      <c r="H645" s="84"/>
    </row>
    <row r="646" spans="4:8" ht="15.6">
      <c r="D646" s="84"/>
      <c r="E646" s="84"/>
      <c r="F646" s="84"/>
      <c r="G646" s="84"/>
      <c r="H646" s="84"/>
    </row>
    <row r="647" spans="4:8" ht="15.6">
      <c r="D647" s="84"/>
      <c r="E647" s="84"/>
      <c r="F647" s="84"/>
      <c r="G647" s="84"/>
      <c r="H647" s="84"/>
    </row>
    <row r="648" spans="4:8" ht="15.6">
      <c r="D648" s="84"/>
      <c r="E648" s="84"/>
      <c r="F648" s="84"/>
      <c r="G648" s="84"/>
      <c r="H648" s="84"/>
    </row>
    <row r="649" spans="4:8" ht="15.6">
      <c r="D649" s="84"/>
      <c r="E649" s="84"/>
      <c r="F649" s="84"/>
      <c r="G649" s="84"/>
      <c r="H649" s="84"/>
    </row>
    <row r="650" spans="4:8" ht="15.6">
      <c r="D650" s="84"/>
      <c r="E650" s="84"/>
      <c r="F650" s="84"/>
      <c r="G650" s="84"/>
      <c r="H650" s="84"/>
    </row>
    <row r="651" spans="4:8" ht="15.6">
      <c r="D651" s="84"/>
      <c r="E651" s="84"/>
      <c r="F651" s="84"/>
      <c r="G651" s="84"/>
      <c r="H651" s="84"/>
    </row>
    <row r="652" spans="4:8" ht="15.6">
      <c r="D652" s="84"/>
      <c r="E652" s="84"/>
      <c r="F652" s="84"/>
      <c r="G652" s="84"/>
      <c r="H652" s="84"/>
    </row>
    <row r="653" spans="4:8" ht="15.6">
      <c r="D653" s="84"/>
      <c r="E653" s="84"/>
      <c r="F653" s="84"/>
      <c r="G653" s="84"/>
      <c r="H653" s="84"/>
    </row>
    <row r="654" spans="4:8" ht="15.6">
      <c r="D654" s="84"/>
      <c r="E654" s="84"/>
      <c r="F654" s="84"/>
      <c r="G654" s="84"/>
      <c r="H654" s="84"/>
    </row>
    <row r="655" spans="4:8" ht="15.6">
      <c r="D655" s="84"/>
      <c r="E655" s="84"/>
      <c r="F655" s="84"/>
      <c r="G655" s="84"/>
      <c r="H655" s="84"/>
    </row>
    <row r="656" spans="4:8" ht="15.6">
      <c r="D656" s="84"/>
      <c r="E656" s="84"/>
      <c r="F656" s="84"/>
      <c r="G656" s="84"/>
      <c r="H656" s="84"/>
    </row>
    <row r="657" spans="4:8" ht="15.6">
      <c r="D657" s="84"/>
      <c r="E657" s="84"/>
      <c r="F657" s="84"/>
      <c r="G657" s="84"/>
      <c r="H657" s="84"/>
    </row>
    <row r="658" spans="4:8" ht="15.6">
      <c r="D658" s="84"/>
      <c r="E658" s="84"/>
      <c r="F658" s="84"/>
      <c r="G658" s="84"/>
      <c r="H658" s="84"/>
    </row>
    <row r="659" spans="4:8" ht="15.6">
      <c r="D659" s="84"/>
      <c r="E659" s="84"/>
      <c r="F659" s="84"/>
      <c r="G659" s="84"/>
      <c r="H659" s="84"/>
    </row>
    <row r="660" spans="4:8" ht="15.6">
      <c r="D660" s="84"/>
      <c r="E660" s="84"/>
      <c r="F660" s="84"/>
      <c r="G660" s="84"/>
      <c r="H660" s="84"/>
    </row>
    <row r="661" spans="4:8" ht="15.6">
      <c r="D661" s="84"/>
      <c r="E661" s="84"/>
      <c r="F661" s="84"/>
      <c r="G661" s="84"/>
      <c r="H661" s="84"/>
    </row>
    <row r="662" spans="4:8" ht="15.6">
      <c r="D662" s="84"/>
      <c r="E662" s="84"/>
      <c r="F662" s="84"/>
      <c r="G662" s="84"/>
      <c r="H662" s="84"/>
    </row>
    <row r="663" spans="4:8" ht="15.6">
      <c r="D663" s="84"/>
      <c r="E663" s="84"/>
      <c r="F663" s="84"/>
      <c r="G663" s="84"/>
      <c r="H663" s="84"/>
    </row>
    <row r="664" spans="4:8" ht="15.6">
      <c r="D664" s="84"/>
      <c r="E664" s="84"/>
      <c r="F664" s="84"/>
      <c r="G664" s="84"/>
      <c r="H664" s="84"/>
    </row>
    <row r="665" spans="4:8" ht="15.6">
      <c r="D665" s="84"/>
      <c r="E665" s="84"/>
      <c r="F665" s="84"/>
      <c r="G665" s="84"/>
      <c r="H665" s="84"/>
    </row>
    <row r="666" spans="4:8" ht="15.6">
      <c r="D666" s="84"/>
      <c r="E666" s="84"/>
      <c r="F666" s="84"/>
      <c r="G666" s="84"/>
      <c r="H666" s="84"/>
    </row>
    <row r="667" spans="4:8" ht="15.6">
      <c r="D667" s="84"/>
      <c r="E667" s="84"/>
      <c r="F667" s="84"/>
      <c r="G667" s="84"/>
      <c r="H667" s="84"/>
    </row>
    <row r="668" spans="4:8" ht="15.6">
      <c r="D668" s="84"/>
      <c r="E668" s="84"/>
      <c r="F668" s="84"/>
      <c r="G668" s="84"/>
      <c r="H668" s="84"/>
    </row>
    <row r="669" spans="4:8" ht="15.6">
      <c r="D669" s="84"/>
      <c r="E669" s="84"/>
      <c r="F669" s="84"/>
      <c r="G669" s="84"/>
      <c r="H669" s="84"/>
    </row>
    <row r="670" spans="4:8" ht="15.6">
      <c r="D670" s="84"/>
      <c r="E670" s="84"/>
      <c r="F670" s="84"/>
      <c r="G670" s="84"/>
      <c r="H670" s="84"/>
    </row>
    <row r="671" spans="4:8" ht="15.6">
      <c r="D671" s="84"/>
      <c r="E671" s="84"/>
      <c r="F671" s="84"/>
      <c r="G671" s="84"/>
      <c r="H671" s="84"/>
    </row>
    <row r="672" spans="4:8" ht="15.6">
      <c r="D672" s="84"/>
      <c r="E672" s="84"/>
      <c r="F672" s="84"/>
      <c r="G672" s="84"/>
      <c r="H672" s="84"/>
    </row>
    <row r="673" spans="4:8" ht="15.6">
      <c r="D673" s="84"/>
      <c r="E673" s="84"/>
      <c r="F673" s="84"/>
      <c r="G673" s="84"/>
      <c r="H673" s="84"/>
    </row>
    <row r="674" spans="4:8" ht="15.6">
      <c r="D674" s="84"/>
      <c r="E674" s="84"/>
      <c r="F674" s="84"/>
      <c r="G674" s="84"/>
      <c r="H674" s="84"/>
    </row>
    <row r="675" spans="4:8" ht="15.6">
      <c r="D675" s="84"/>
      <c r="E675" s="84"/>
      <c r="F675" s="84"/>
      <c r="G675" s="84"/>
      <c r="H675" s="84"/>
    </row>
    <row r="676" spans="4:8" ht="15.6">
      <c r="D676" s="84"/>
      <c r="E676" s="84"/>
      <c r="F676" s="84"/>
      <c r="G676" s="84"/>
      <c r="H676" s="84"/>
    </row>
    <row r="677" spans="4:8" ht="15.6">
      <c r="D677" s="84"/>
      <c r="E677" s="84"/>
      <c r="F677" s="84"/>
      <c r="G677" s="84"/>
      <c r="H677" s="84"/>
    </row>
    <row r="678" spans="4:8" ht="15.6">
      <c r="D678" s="84"/>
      <c r="E678" s="84"/>
      <c r="F678" s="84"/>
      <c r="G678" s="84"/>
      <c r="H678" s="84"/>
    </row>
    <row r="679" spans="4:8" ht="15.6">
      <c r="D679" s="84"/>
      <c r="E679" s="84"/>
      <c r="F679" s="84"/>
      <c r="G679" s="84"/>
      <c r="H679" s="84"/>
    </row>
    <row r="680" spans="4:8" ht="15.6">
      <c r="D680" s="84"/>
      <c r="E680" s="84"/>
      <c r="F680" s="84"/>
      <c r="G680" s="84"/>
      <c r="H680" s="84"/>
    </row>
    <row r="681" spans="4:8" ht="15.6">
      <c r="D681" s="84"/>
      <c r="E681" s="84"/>
      <c r="F681" s="84"/>
      <c r="G681" s="84"/>
      <c r="H681" s="84"/>
    </row>
    <row r="682" spans="4:8" ht="15.6">
      <c r="D682" s="84"/>
      <c r="E682" s="84"/>
      <c r="F682" s="84"/>
      <c r="G682" s="84"/>
      <c r="H682" s="84"/>
    </row>
    <row r="683" spans="4:8" ht="15.6">
      <c r="D683" s="84"/>
      <c r="E683" s="84"/>
      <c r="F683" s="84"/>
      <c r="G683" s="84"/>
      <c r="H683" s="84"/>
    </row>
    <row r="684" spans="4:8" ht="15.6">
      <c r="D684" s="84"/>
      <c r="E684" s="84"/>
      <c r="F684" s="84"/>
      <c r="G684" s="84"/>
      <c r="H684" s="84"/>
    </row>
    <row r="685" spans="4:8" ht="15.6">
      <c r="D685" s="84"/>
      <c r="E685" s="84"/>
      <c r="F685" s="84"/>
      <c r="G685" s="84"/>
      <c r="H685" s="84"/>
    </row>
    <row r="686" spans="4:8" ht="15.6">
      <c r="D686" s="84"/>
      <c r="E686" s="84"/>
      <c r="F686" s="84"/>
      <c r="G686" s="84"/>
      <c r="H686" s="84"/>
    </row>
    <row r="687" spans="4:8" ht="15.6">
      <c r="D687" s="84"/>
      <c r="E687" s="84"/>
      <c r="F687" s="84"/>
      <c r="G687" s="84"/>
      <c r="H687" s="84"/>
    </row>
    <row r="688" spans="4:8" ht="15.6">
      <c r="D688" s="84"/>
      <c r="E688" s="84"/>
      <c r="F688" s="84"/>
      <c r="G688" s="84"/>
      <c r="H688" s="84"/>
    </row>
    <row r="689" spans="4:8" ht="15.6">
      <c r="D689" s="84"/>
      <c r="E689" s="84"/>
      <c r="F689" s="84"/>
      <c r="G689" s="84"/>
      <c r="H689" s="84"/>
    </row>
    <row r="690" spans="4:8" ht="15.6">
      <c r="D690" s="84"/>
      <c r="E690" s="84"/>
      <c r="F690" s="84"/>
      <c r="G690" s="84"/>
      <c r="H690" s="84"/>
    </row>
    <row r="691" spans="4:8" ht="15.6">
      <c r="D691" s="84"/>
      <c r="E691" s="84"/>
      <c r="F691" s="84"/>
      <c r="G691" s="84"/>
      <c r="H691" s="84"/>
    </row>
    <row r="692" spans="4:8" ht="15.6">
      <c r="D692" s="84"/>
      <c r="E692" s="84"/>
      <c r="F692" s="84"/>
      <c r="G692" s="84"/>
      <c r="H692" s="84"/>
    </row>
    <row r="693" spans="4:8" ht="15.6">
      <c r="D693" s="84"/>
      <c r="E693" s="84"/>
      <c r="F693" s="84"/>
      <c r="G693" s="84"/>
      <c r="H693" s="84"/>
    </row>
    <row r="694" spans="4:8" ht="15.6">
      <c r="D694" s="84"/>
      <c r="E694" s="84"/>
      <c r="F694" s="84"/>
      <c r="G694" s="84"/>
      <c r="H694" s="84"/>
    </row>
    <row r="695" spans="4:8" ht="15.6">
      <c r="D695" s="84"/>
      <c r="E695" s="84"/>
      <c r="F695" s="84"/>
      <c r="G695" s="84"/>
      <c r="H695" s="84"/>
    </row>
    <row r="696" spans="4:8" ht="15.6">
      <c r="D696" s="84"/>
      <c r="E696" s="84"/>
      <c r="F696" s="84"/>
      <c r="G696" s="84"/>
      <c r="H696" s="84"/>
    </row>
    <row r="697" spans="4:8" ht="15.6">
      <c r="D697" s="84"/>
      <c r="E697" s="84"/>
      <c r="F697" s="84"/>
      <c r="G697" s="84"/>
      <c r="H697" s="84"/>
    </row>
    <row r="698" spans="4:8" ht="15.6">
      <c r="D698" s="84"/>
      <c r="E698" s="84"/>
      <c r="F698" s="84"/>
      <c r="G698" s="84"/>
      <c r="H698" s="84"/>
    </row>
    <row r="699" spans="4:8" ht="15.6">
      <c r="D699" s="84"/>
      <c r="E699" s="84"/>
      <c r="F699" s="84"/>
      <c r="G699" s="84"/>
      <c r="H699" s="84"/>
    </row>
    <row r="700" spans="4:8" ht="15.6">
      <c r="D700" s="84"/>
      <c r="E700" s="84"/>
      <c r="F700" s="84"/>
      <c r="G700" s="84"/>
      <c r="H700" s="84"/>
    </row>
    <row r="701" spans="4:8" ht="15.6">
      <c r="D701" s="84"/>
      <c r="E701" s="84"/>
      <c r="F701" s="84"/>
      <c r="G701" s="84"/>
      <c r="H701" s="84"/>
    </row>
    <row r="702" spans="4:8" ht="15.6">
      <c r="D702" s="84"/>
      <c r="E702" s="84"/>
      <c r="F702" s="84"/>
      <c r="G702" s="84"/>
      <c r="H702" s="84"/>
    </row>
    <row r="703" spans="4:8" ht="15.6">
      <c r="D703" s="84"/>
      <c r="E703" s="84"/>
      <c r="F703" s="84"/>
      <c r="G703" s="84"/>
      <c r="H703" s="84"/>
    </row>
    <row r="704" spans="4:8" ht="15.6">
      <c r="D704" s="84"/>
      <c r="E704" s="84"/>
      <c r="F704" s="84"/>
      <c r="G704" s="84"/>
      <c r="H704" s="84"/>
    </row>
    <row r="705" spans="4:8" ht="15.6">
      <c r="D705" s="84"/>
      <c r="E705" s="84"/>
      <c r="F705" s="84"/>
      <c r="G705" s="84"/>
      <c r="H705" s="84"/>
    </row>
    <row r="706" spans="4:8" ht="15.6">
      <c r="D706" s="84"/>
      <c r="E706" s="84"/>
      <c r="F706" s="84"/>
      <c r="G706" s="84"/>
      <c r="H706" s="84"/>
    </row>
    <row r="707" spans="4:8" ht="15.6">
      <c r="D707" s="84"/>
      <c r="E707" s="84"/>
      <c r="F707" s="84"/>
      <c r="G707" s="84"/>
      <c r="H707" s="84"/>
    </row>
    <row r="708" spans="4:8" ht="15.6">
      <c r="D708" s="84"/>
      <c r="E708" s="84"/>
      <c r="F708" s="84"/>
      <c r="G708" s="84"/>
      <c r="H708" s="84"/>
    </row>
    <row r="709" spans="4:8" ht="15.6">
      <c r="D709" s="84"/>
      <c r="E709" s="84"/>
      <c r="F709" s="84"/>
      <c r="G709" s="84"/>
      <c r="H709" s="84"/>
    </row>
    <row r="710" spans="4:8" ht="15.6">
      <c r="D710" s="84"/>
      <c r="E710" s="84"/>
      <c r="F710" s="84"/>
      <c r="G710" s="84"/>
      <c r="H710" s="84"/>
    </row>
    <row r="711" spans="4:8" ht="15.6">
      <c r="D711" s="84"/>
      <c r="E711" s="84"/>
      <c r="F711" s="84"/>
      <c r="G711" s="84"/>
      <c r="H711" s="84"/>
    </row>
    <row r="712" spans="4:8" ht="15.6">
      <c r="D712" s="84"/>
      <c r="E712" s="84"/>
      <c r="F712" s="84"/>
      <c r="G712" s="84"/>
      <c r="H712" s="84"/>
    </row>
    <row r="713" spans="4:8" ht="15.6">
      <c r="D713" s="84"/>
      <c r="E713" s="84"/>
      <c r="F713" s="84"/>
      <c r="G713" s="84"/>
      <c r="H713" s="84"/>
    </row>
    <row r="714" spans="4:8" ht="15.6">
      <c r="D714" s="84"/>
      <c r="E714" s="84"/>
      <c r="F714" s="84"/>
      <c r="G714" s="84"/>
      <c r="H714" s="84"/>
    </row>
    <row r="715" spans="4:8" ht="15.6">
      <c r="D715" s="84"/>
      <c r="E715" s="84"/>
      <c r="F715" s="84"/>
      <c r="G715" s="84"/>
      <c r="H715" s="84"/>
    </row>
    <row r="716" spans="4:8" ht="15.6">
      <c r="D716" s="84"/>
      <c r="E716" s="84"/>
      <c r="F716" s="84"/>
      <c r="G716" s="84"/>
      <c r="H716" s="84"/>
    </row>
    <row r="717" spans="4:8" ht="15.6">
      <c r="D717" s="84"/>
      <c r="E717" s="84"/>
      <c r="F717" s="84"/>
      <c r="G717" s="84"/>
      <c r="H717" s="84"/>
    </row>
    <row r="718" spans="4:8" ht="15.6">
      <c r="D718" s="84"/>
      <c r="E718" s="84"/>
      <c r="F718" s="84"/>
      <c r="G718" s="84"/>
      <c r="H718" s="84"/>
    </row>
    <row r="719" spans="4:8" ht="15.6">
      <c r="D719" s="84"/>
      <c r="E719" s="84"/>
      <c r="F719" s="84"/>
      <c r="G719" s="84"/>
      <c r="H719" s="84"/>
    </row>
    <row r="720" spans="4:8" ht="15.6">
      <c r="D720" s="84"/>
      <c r="E720" s="84"/>
      <c r="F720" s="84"/>
      <c r="G720" s="84"/>
      <c r="H720" s="84"/>
    </row>
    <row r="721" spans="4:8" ht="15.6">
      <c r="D721" s="84"/>
      <c r="E721" s="84"/>
      <c r="F721" s="84"/>
      <c r="G721" s="84"/>
      <c r="H721" s="84"/>
    </row>
    <row r="722" spans="4:8" ht="15.6">
      <c r="D722" s="84"/>
      <c r="E722" s="84"/>
      <c r="F722" s="84"/>
      <c r="G722" s="84"/>
      <c r="H722" s="84"/>
    </row>
    <row r="723" spans="4:8" ht="15.6">
      <c r="D723" s="84"/>
      <c r="E723" s="84"/>
      <c r="F723" s="84"/>
      <c r="G723" s="84"/>
      <c r="H723" s="84"/>
    </row>
    <row r="724" spans="4:8" ht="15.6">
      <c r="D724" s="84"/>
      <c r="E724" s="84"/>
      <c r="F724" s="84"/>
      <c r="G724" s="84"/>
      <c r="H724" s="84"/>
    </row>
    <row r="725" spans="4:8" ht="15.6">
      <c r="D725" s="84"/>
      <c r="E725" s="84"/>
      <c r="F725" s="84"/>
      <c r="G725" s="84"/>
      <c r="H725" s="84"/>
    </row>
    <row r="726" spans="4:8" ht="15.6">
      <c r="D726" s="84"/>
      <c r="E726" s="84"/>
      <c r="F726" s="84"/>
      <c r="G726" s="84"/>
      <c r="H726" s="84"/>
    </row>
    <row r="727" spans="4:8" ht="15.6">
      <c r="D727" s="84"/>
      <c r="E727" s="84"/>
      <c r="F727" s="84"/>
      <c r="G727" s="84"/>
      <c r="H727" s="84"/>
    </row>
    <row r="728" spans="4:8" ht="15.6">
      <c r="D728" s="84"/>
      <c r="E728" s="84"/>
      <c r="F728" s="84"/>
      <c r="G728" s="84"/>
      <c r="H728" s="84"/>
    </row>
    <row r="729" spans="4:8" ht="15.6">
      <c r="D729" s="84"/>
      <c r="E729" s="84"/>
      <c r="F729" s="84"/>
      <c r="G729" s="84"/>
      <c r="H729" s="84"/>
    </row>
    <row r="730" spans="4:8" ht="15.6">
      <c r="D730" s="84"/>
      <c r="E730" s="84"/>
      <c r="F730" s="84"/>
      <c r="G730" s="84"/>
      <c r="H730" s="84"/>
    </row>
    <row r="731" spans="4:8" ht="15.6">
      <c r="D731" s="84"/>
      <c r="E731" s="84"/>
      <c r="F731" s="84"/>
      <c r="G731" s="84"/>
      <c r="H731" s="84"/>
    </row>
    <row r="732" spans="4:8" ht="15.6">
      <c r="D732" s="84"/>
      <c r="E732" s="84"/>
      <c r="F732" s="84"/>
      <c r="G732" s="84"/>
      <c r="H732" s="84"/>
    </row>
    <row r="733" spans="4:8" ht="15.6">
      <c r="D733" s="84"/>
      <c r="E733" s="84"/>
      <c r="F733" s="84"/>
      <c r="G733" s="84"/>
      <c r="H733" s="84"/>
    </row>
    <row r="734" spans="4:8" ht="15.6">
      <c r="D734" s="84"/>
      <c r="E734" s="84"/>
      <c r="F734" s="84"/>
      <c r="G734" s="84"/>
      <c r="H734" s="84"/>
    </row>
    <row r="735" spans="4:8" ht="15.6">
      <c r="D735" s="84"/>
      <c r="E735" s="84"/>
      <c r="F735" s="84"/>
      <c r="G735" s="84"/>
      <c r="H735" s="84"/>
    </row>
    <row r="736" spans="4:8" ht="15.6">
      <c r="D736" s="84"/>
      <c r="E736" s="84"/>
      <c r="F736" s="84"/>
      <c r="G736" s="84"/>
      <c r="H736" s="84"/>
    </row>
    <row r="737" spans="4:8" ht="15.6">
      <c r="D737" s="84"/>
      <c r="E737" s="84"/>
      <c r="F737" s="84"/>
      <c r="G737" s="84"/>
      <c r="H737" s="84"/>
    </row>
    <row r="738" spans="4:8" ht="15.6">
      <c r="D738" s="84"/>
      <c r="E738" s="84"/>
      <c r="F738" s="84"/>
      <c r="G738" s="84"/>
      <c r="H738" s="84"/>
    </row>
    <row r="739" spans="4:8" ht="15.6">
      <c r="D739" s="84"/>
      <c r="E739" s="84"/>
      <c r="F739" s="84"/>
      <c r="G739" s="84"/>
      <c r="H739" s="84"/>
    </row>
    <row r="740" spans="4:8" ht="15.6">
      <c r="D740" s="84"/>
      <c r="E740" s="84"/>
      <c r="F740" s="84"/>
      <c r="G740" s="84"/>
      <c r="H740" s="84"/>
    </row>
    <row r="741" spans="4:8" ht="15.6">
      <c r="D741" s="84"/>
      <c r="E741" s="84"/>
      <c r="F741" s="84"/>
      <c r="G741" s="84"/>
      <c r="H741" s="84"/>
    </row>
    <row r="742" spans="4:8" ht="15.6">
      <c r="D742" s="84"/>
      <c r="E742" s="84"/>
      <c r="F742" s="84"/>
      <c r="G742" s="84"/>
      <c r="H742" s="84"/>
    </row>
    <row r="743" spans="4:8" ht="15.6">
      <c r="D743" s="84"/>
      <c r="E743" s="84"/>
      <c r="F743" s="84"/>
      <c r="G743" s="84"/>
      <c r="H743" s="84"/>
    </row>
    <row r="744" spans="4:8" ht="15.6">
      <c r="D744" s="84"/>
      <c r="E744" s="84"/>
      <c r="F744" s="84"/>
      <c r="G744" s="84"/>
      <c r="H744" s="84"/>
    </row>
    <row r="745" spans="4:8" ht="15.6">
      <c r="D745" s="84"/>
      <c r="E745" s="84"/>
      <c r="F745" s="84"/>
      <c r="G745" s="84"/>
      <c r="H745" s="84"/>
    </row>
    <row r="746" spans="4:8" ht="15.6">
      <c r="D746" s="84"/>
      <c r="E746" s="84"/>
      <c r="F746" s="84"/>
      <c r="G746" s="84"/>
      <c r="H746" s="84"/>
    </row>
    <row r="747" spans="4:8" ht="15.6">
      <c r="D747" s="84"/>
      <c r="E747" s="84"/>
      <c r="F747" s="84"/>
      <c r="G747" s="84"/>
      <c r="H747" s="84"/>
    </row>
    <row r="748" spans="4:8" ht="15.6">
      <c r="D748" s="84"/>
      <c r="E748" s="84"/>
      <c r="F748" s="84"/>
      <c r="G748" s="84"/>
      <c r="H748" s="84"/>
    </row>
    <row r="749" spans="4:8" ht="15.6">
      <c r="D749" s="84"/>
      <c r="E749" s="84"/>
      <c r="F749" s="84"/>
      <c r="G749" s="84"/>
      <c r="H749" s="84"/>
    </row>
    <row r="750" spans="4:8" ht="15.6">
      <c r="D750" s="84"/>
      <c r="E750" s="84"/>
      <c r="F750" s="84"/>
      <c r="G750" s="84"/>
      <c r="H750" s="84"/>
    </row>
    <row r="751" spans="4:8" ht="15.6">
      <c r="D751" s="84"/>
      <c r="E751" s="84"/>
      <c r="F751" s="84"/>
      <c r="G751" s="84"/>
      <c r="H751" s="84"/>
    </row>
    <row r="752" spans="4:8" ht="15.6">
      <c r="D752" s="84"/>
      <c r="E752" s="84"/>
      <c r="F752" s="84"/>
      <c r="G752" s="84"/>
      <c r="H752" s="84"/>
    </row>
    <row r="753" spans="4:8" ht="15.6">
      <c r="D753" s="84"/>
      <c r="E753" s="84"/>
      <c r="F753" s="84"/>
      <c r="G753" s="84"/>
      <c r="H753" s="84"/>
    </row>
    <row r="754" spans="4:8" ht="15.6">
      <c r="D754" s="84"/>
      <c r="E754" s="84"/>
      <c r="F754" s="84"/>
      <c r="G754" s="84"/>
      <c r="H754" s="84"/>
    </row>
    <row r="755" spans="4:8" ht="15.6">
      <c r="D755" s="84"/>
      <c r="E755" s="84"/>
      <c r="F755" s="84"/>
      <c r="G755" s="84"/>
      <c r="H755" s="84"/>
    </row>
    <row r="756" spans="4:8" ht="15.6">
      <c r="D756" s="84"/>
      <c r="E756" s="84"/>
      <c r="F756" s="84"/>
      <c r="G756" s="84"/>
      <c r="H756" s="84"/>
    </row>
    <row r="757" spans="4:8" ht="15.6">
      <c r="D757" s="84"/>
      <c r="E757" s="84"/>
      <c r="F757" s="84"/>
      <c r="G757" s="84"/>
      <c r="H757" s="84"/>
    </row>
    <row r="758" spans="4:8" ht="15.6">
      <c r="D758" s="84"/>
      <c r="E758" s="84"/>
      <c r="F758" s="84"/>
      <c r="G758" s="84"/>
      <c r="H758" s="84"/>
    </row>
    <row r="759" spans="4:8" ht="15.6">
      <c r="D759" s="84"/>
      <c r="E759" s="84"/>
      <c r="F759" s="84"/>
      <c r="G759" s="84"/>
      <c r="H759" s="84"/>
    </row>
    <row r="760" spans="4:8" ht="15.6">
      <c r="D760" s="84"/>
      <c r="E760" s="84"/>
      <c r="F760" s="84"/>
      <c r="G760" s="84"/>
      <c r="H760" s="84"/>
    </row>
    <row r="761" spans="4:8" ht="15.6">
      <c r="D761" s="84"/>
      <c r="E761" s="84"/>
      <c r="F761" s="84"/>
      <c r="G761" s="84"/>
      <c r="H761" s="84"/>
    </row>
    <row r="762" spans="4:8" ht="15.6">
      <c r="D762" s="84"/>
      <c r="E762" s="84"/>
      <c r="F762" s="84"/>
      <c r="G762" s="84"/>
      <c r="H762" s="84"/>
    </row>
    <row r="763" spans="4:8" ht="15.6">
      <c r="D763" s="84"/>
      <c r="E763" s="84"/>
      <c r="F763" s="84"/>
      <c r="G763" s="84"/>
      <c r="H763" s="84"/>
    </row>
    <row r="764" spans="4:8" ht="15.6">
      <c r="D764" s="84"/>
      <c r="E764" s="84"/>
      <c r="F764" s="84"/>
      <c r="G764" s="84"/>
      <c r="H764" s="84"/>
    </row>
    <row r="765" spans="4:8" ht="15.6">
      <c r="D765" s="84"/>
      <c r="E765" s="84"/>
      <c r="F765" s="84"/>
      <c r="G765" s="84"/>
      <c r="H765" s="84"/>
    </row>
    <row r="766" spans="4:8" ht="15.6">
      <c r="D766" s="84"/>
      <c r="E766" s="84"/>
      <c r="F766" s="84"/>
      <c r="G766" s="84"/>
      <c r="H766" s="84"/>
    </row>
    <row r="767" spans="4:8" ht="15.6">
      <c r="D767" s="84"/>
      <c r="E767" s="84"/>
      <c r="F767" s="84"/>
      <c r="G767" s="84"/>
      <c r="H767" s="84"/>
    </row>
    <row r="768" spans="4:8" ht="15.6">
      <c r="D768" s="84"/>
      <c r="E768" s="84"/>
      <c r="F768" s="84"/>
      <c r="G768" s="84"/>
      <c r="H768" s="84"/>
    </row>
    <row r="769" spans="4:8" ht="15.6">
      <c r="D769" s="84"/>
      <c r="E769" s="84"/>
      <c r="F769" s="84"/>
      <c r="G769" s="84"/>
      <c r="H769" s="84"/>
    </row>
    <row r="770" spans="4:8" ht="15.6">
      <c r="D770" s="84"/>
      <c r="E770" s="84"/>
      <c r="F770" s="84"/>
      <c r="G770" s="84"/>
      <c r="H770" s="84"/>
    </row>
    <row r="771" spans="4:8" ht="15.6">
      <c r="D771" s="84"/>
      <c r="E771" s="84"/>
      <c r="F771" s="84"/>
      <c r="G771" s="84"/>
      <c r="H771" s="84"/>
    </row>
    <row r="772" spans="4:8" ht="15.6">
      <c r="D772" s="84"/>
      <c r="E772" s="84"/>
      <c r="F772" s="84"/>
      <c r="G772" s="84"/>
      <c r="H772" s="84"/>
    </row>
    <row r="773" spans="4:8" ht="15.6">
      <c r="D773" s="84"/>
      <c r="E773" s="84"/>
      <c r="F773" s="84"/>
      <c r="G773" s="84"/>
      <c r="H773" s="84"/>
    </row>
    <row r="774" spans="4:8" ht="15.6">
      <c r="D774" s="84"/>
      <c r="E774" s="84"/>
      <c r="F774" s="84"/>
      <c r="G774" s="84"/>
      <c r="H774" s="84"/>
    </row>
    <row r="775" spans="4:8" ht="15.6">
      <c r="D775" s="84"/>
      <c r="E775" s="84"/>
      <c r="F775" s="84"/>
      <c r="G775" s="84"/>
      <c r="H775" s="84"/>
    </row>
    <row r="776" spans="4:8" ht="15.6">
      <c r="D776" s="84"/>
      <c r="E776" s="84"/>
      <c r="F776" s="84"/>
      <c r="G776" s="84"/>
      <c r="H776" s="84"/>
    </row>
    <row r="777" spans="4:8" ht="15.6">
      <c r="D777" s="84"/>
      <c r="E777" s="84"/>
      <c r="F777" s="84"/>
      <c r="G777" s="84"/>
      <c r="H777" s="84"/>
    </row>
    <row r="778" spans="4:8" ht="15.6">
      <c r="D778" s="84"/>
      <c r="E778" s="84"/>
      <c r="F778" s="84"/>
      <c r="G778" s="84"/>
      <c r="H778" s="84"/>
    </row>
    <row r="779" spans="4:8" ht="15.6">
      <c r="D779" s="84"/>
      <c r="E779" s="84"/>
      <c r="F779" s="84"/>
      <c r="G779" s="84"/>
      <c r="H779" s="84"/>
    </row>
    <row r="780" spans="4:8" ht="15.6">
      <c r="D780" s="84"/>
      <c r="E780" s="84"/>
      <c r="F780" s="84"/>
      <c r="G780" s="84"/>
      <c r="H780" s="84"/>
    </row>
    <row r="781" spans="4:8" ht="15.6">
      <c r="D781" s="84"/>
      <c r="E781" s="84"/>
      <c r="F781" s="84"/>
      <c r="G781" s="84"/>
      <c r="H781" s="84"/>
    </row>
    <row r="782" spans="4:8" ht="15.6">
      <c r="D782" s="84"/>
      <c r="E782" s="84"/>
      <c r="F782" s="84"/>
      <c r="G782" s="84"/>
      <c r="H782" s="84"/>
    </row>
    <row r="783" spans="4:8" ht="15.6">
      <c r="D783" s="84"/>
      <c r="E783" s="84"/>
      <c r="F783" s="84"/>
      <c r="G783" s="84"/>
      <c r="H783" s="84"/>
    </row>
    <row r="784" spans="4:8" ht="15.6">
      <c r="D784" s="84"/>
      <c r="E784" s="84"/>
      <c r="F784" s="84"/>
      <c r="G784" s="84"/>
      <c r="H784" s="84"/>
    </row>
    <row r="785" spans="4:8" ht="15.6">
      <c r="D785" s="84"/>
      <c r="E785" s="84"/>
      <c r="F785" s="84"/>
      <c r="G785" s="84"/>
      <c r="H785" s="84"/>
    </row>
    <row r="786" spans="4:8" ht="15.6">
      <c r="D786" s="84"/>
      <c r="E786" s="84"/>
      <c r="F786" s="84"/>
      <c r="G786" s="84"/>
      <c r="H786" s="84"/>
    </row>
    <row r="787" spans="4:8" ht="15.6">
      <c r="D787" s="84"/>
      <c r="E787" s="84"/>
      <c r="F787" s="84"/>
      <c r="G787" s="84"/>
      <c r="H787" s="84"/>
    </row>
    <row r="788" spans="4:8" ht="15.6">
      <c r="D788" s="84"/>
      <c r="E788" s="84"/>
      <c r="F788" s="84"/>
      <c r="G788" s="84"/>
      <c r="H788" s="84"/>
    </row>
    <row r="789" spans="4:8" ht="15.6">
      <c r="D789" s="84"/>
      <c r="E789" s="84"/>
      <c r="F789" s="84"/>
      <c r="G789" s="84"/>
      <c r="H789" s="84"/>
    </row>
    <row r="790" spans="4:8" ht="15.6">
      <c r="D790" s="84"/>
      <c r="E790" s="84"/>
      <c r="F790" s="84"/>
      <c r="G790" s="84"/>
      <c r="H790" s="84"/>
    </row>
    <row r="791" spans="4:8" ht="15.6">
      <c r="D791" s="84"/>
      <c r="E791" s="84"/>
      <c r="F791" s="84"/>
      <c r="G791" s="84"/>
      <c r="H791" s="84"/>
    </row>
    <row r="792" spans="4:8" ht="15.6">
      <c r="D792" s="84"/>
      <c r="E792" s="84"/>
      <c r="F792" s="84"/>
      <c r="G792" s="84"/>
      <c r="H792" s="84"/>
    </row>
    <row r="793" spans="4:8" ht="15.6">
      <c r="D793" s="84"/>
      <c r="E793" s="84"/>
      <c r="F793" s="84"/>
      <c r="G793" s="84"/>
      <c r="H793" s="84"/>
    </row>
    <row r="794" spans="4:8" ht="15.6">
      <c r="D794" s="84"/>
      <c r="E794" s="84"/>
      <c r="F794" s="84"/>
      <c r="G794" s="84"/>
      <c r="H794" s="84"/>
    </row>
    <row r="795" spans="4:8" ht="15.6">
      <c r="D795" s="84"/>
      <c r="E795" s="84"/>
      <c r="F795" s="84"/>
      <c r="G795" s="84"/>
      <c r="H795" s="84"/>
    </row>
    <row r="796" spans="4:8" ht="15.6">
      <c r="D796" s="84"/>
      <c r="E796" s="84"/>
      <c r="F796" s="84"/>
      <c r="G796" s="84"/>
      <c r="H796" s="84"/>
    </row>
    <row r="797" spans="4:8" ht="15.6">
      <c r="D797" s="84"/>
      <c r="E797" s="84"/>
      <c r="F797" s="84"/>
      <c r="G797" s="84"/>
      <c r="H797" s="84"/>
    </row>
    <row r="798" spans="4:8" ht="15.6">
      <c r="D798" s="84"/>
      <c r="E798" s="84"/>
      <c r="F798" s="84"/>
      <c r="G798" s="84"/>
      <c r="H798" s="84"/>
    </row>
    <row r="799" spans="4:8" ht="15.6">
      <c r="D799" s="84"/>
      <c r="E799" s="84"/>
      <c r="F799" s="84"/>
      <c r="G799" s="84"/>
      <c r="H799" s="84"/>
    </row>
    <row r="800" spans="4:8" ht="15.6">
      <c r="D800" s="84"/>
      <c r="E800" s="84"/>
      <c r="F800" s="84"/>
      <c r="G800" s="84"/>
      <c r="H800" s="84"/>
    </row>
    <row r="801" spans="4:8" ht="15.6">
      <c r="D801" s="84"/>
      <c r="E801" s="84"/>
      <c r="F801" s="84"/>
      <c r="G801" s="84"/>
      <c r="H801" s="84"/>
    </row>
    <row r="802" spans="4:8" ht="15.6">
      <c r="D802" s="84"/>
      <c r="E802" s="84"/>
      <c r="F802" s="84"/>
      <c r="G802" s="84"/>
      <c r="H802" s="84"/>
    </row>
    <row r="803" spans="4:8" ht="15.6">
      <c r="D803" s="84"/>
      <c r="E803" s="84"/>
      <c r="F803" s="84"/>
      <c r="G803" s="84"/>
      <c r="H803" s="84"/>
    </row>
    <row r="804" spans="4:8" ht="15.6">
      <c r="D804" s="84"/>
      <c r="E804" s="84"/>
      <c r="F804" s="84"/>
      <c r="G804" s="84"/>
      <c r="H804" s="84"/>
    </row>
    <row r="805" spans="4:8" ht="15.6">
      <c r="D805" s="84"/>
      <c r="E805" s="84"/>
      <c r="F805" s="84"/>
      <c r="G805" s="84"/>
      <c r="H805" s="84"/>
    </row>
    <row r="806" spans="4:8" ht="15.6">
      <c r="D806" s="84"/>
      <c r="E806" s="84"/>
      <c r="F806" s="84"/>
      <c r="G806" s="84"/>
      <c r="H806" s="84"/>
    </row>
    <row r="807" spans="4:8" ht="15.6">
      <c r="D807" s="84"/>
      <c r="E807" s="84"/>
      <c r="F807" s="84"/>
      <c r="G807" s="84"/>
      <c r="H807" s="84"/>
    </row>
    <row r="808" spans="4:8" ht="15.6">
      <c r="D808" s="84"/>
      <c r="E808" s="84"/>
      <c r="F808" s="84"/>
      <c r="G808" s="84"/>
      <c r="H808" s="84"/>
    </row>
    <row r="809" spans="4:8" ht="15.6">
      <c r="D809" s="84"/>
      <c r="E809" s="84"/>
      <c r="F809" s="84"/>
      <c r="G809" s="84"/>
      <c r="H809" s="84"/>
    </row>
    <row r="810" spans="4:8" ht="15.6">
      <c r="D810" s="84"/>
      <c r="E810" s="84"/>
      <c r="F810" s="84"/>
      <c r="G810" s="84"/>
      <c r="H810" s="84"/>
    </row>
    <row r="811" spans="4:8" ht="15.6">
      <c r="D811" s="84"/>
      <c r="E811" s="84"/>
      <c r="F811" s="84"/>
      <c r="G811" s="84"/>
      <c r="H811" s="84"/>
    </row>
    <row r="812" spans="4:8" ht="15.6">
      <c r="D812" s="84"/>
      <c r="E812" s="84"/>
      <c r="F812" s="84"/>
      <c r="G812" s="84"/>
      <c r="H812" s="84"/>
    </row>
    <row r="813" spans="4:8" ht="15.6">
      <c r="D813" s="84"/>
      <c r="E813" s="84"/>
      <c r="F813" s="84"/>
      <c r="G813" s="84"/>
      <c r="H813" s="84"/>
    </row>
    <row r="814" spans="4:8" ht="15.6">
      <c r="D814" s="84"/>
      <c r="E814" s="84"/>
      <c r="F814" s="84"/>
      <c r="G814" s="84"/>
      <c r="H814" s="84"/>
    </row>
    <row r="815" spans="4:8" ht="15.6">
      <c r="D815" s="84"/>
      <c r="E815" s="84"/>
      <c r="F815" s="84"/>
      <c r="G815" s="84"/>
      <c r="H815" s="84"/>
    </row>
    <row r="816" spans="4:8" ht="15.6">
      <c r="D816" s="84"/>
      <c r="E816" s="84"/>
      <c r="F816" s="84"/>
      <c r="G816" s="84"/>
      <c r="H816" s="84"/>
    </row>
    <row r="817" spans="4:8" ht="15.6">
      <c r="D817" s="84"/>
      <c r="E817" s="84"/>
      <c r="F817" s="84"/>
      <c r="G817" s="84"/>
      <c r="H817" s="84"/>
    </row>
    <row r="818" spans="4:8" ht="15.6">
      <c r="D818" s="84"/>
      <c r="E818" s="84"/>
      <c r="F818" s="84"/>
      <c r="G818" s="84"/>
      <c r="H818" s="84"/>
    </row>
    <row r="819" spans="4:8" ht="15.6">
      <c r="D819" s="84"/>
      <c r="E819" s="84"/>
      <c r="F819" s="84"/>
      <c r="G819" s="84"/>
      <c r="H819" s="84"/>
    </row>
    <row r="820" spans="4:8" ht="15.6">
      <c r="D820" s="84"/>
      <c r="E820" s="84"/>
      <c r="F820" s="84"/>
      <c r="G820" s="84"/>
      <c r="H820" s="84"/>
    </row>
    <row r="821" spans="4:8" ht="15.6">
      <c r="D821" s="84"/>
      <c r="E821" s="84"/>
      <c r="F821" s="84"/>
      <c r="G821" s="84"/>
      <c r="H821" s="84"/>
    </row>
    <row r="822" spans="4:8" ht="15.6">
      <c r="D822" s="84"/>
      <c r="E822" s="84"/>
      <c r="F822" s="84"/>
      <c r="G822" s="84"/>
      <c r="H822" s="84"/>
    </row>
    <row r="823" spans="4:8" ht="15.6">
      <c r="D823" s="84"/>
      <c r="E823" s="84"/>
      <c r="F823" s="84"/>
      <c r="G823" s="84"/>
      <c r="H823" s="84"/>
    </row>
    <row r="824" spans="4:8" ht="15.6">
      <c r="D824" s="84"/>
      <c r="E824" s="84"/>
      <c r="F824" s="84"/>
      <c r="G824" s="84"/>
      <c r="H824" s="84"/>
    </row>
    <row r="825" spans="4:8" ht="15.6">
      <c r="D825" s="84"/>
      <c r="E825" s="84"/>
      <c r="F825" s="84"/>
      <c r="G825" s="84"/>
      <c r="H825" s="84"/>
    </row>
    <row r="826" spans="4:8" ht="15.6">
      <c r="D826" s="84"/>
      <c r="E826" s="84"/>
      <c r="F826" s="84"/>
      <c r="G826" s="84"/>
      <c r="H826" s="84"/>
    </row>
    <row r="827" spans="4:8" ht="15.6">
      <c r="D827" s="84"/>
      <c r="E827" s="84"/>
      <c r="F827" s="84"/>
      <c r="G827" s="84"/>
      <c r="H827" s="84"/>
    </row>
    <row r="828" spans="4:8" ht="15.6">
      <c r="D828" s="84"/>
      <c r="E828" s="84"/>
      <c r="F828" s="84"/>
      <c r="G828" s="84"/>
      <c r="H828" s="84"/>
    </row>
    <row r="829" spans="4:8" ht="15.6">
      <c r="D829" s="84"/>
      <c r="E829" s="84"/>
      <c r="F829" s="84"/>
      <c r="G829" s="84"/>
      <c r="H829" s="84"/>
    </row>
    <row r="830" spans="4:8" ht="15.6">
      <c r="D830" s="84"/>
      <c r="E830" s="84"/>
      <c r="F830" s="84"/>
      <c r="G830" s="84"/>
      <c r="H830" s="84"/>
    </row>
    <row r="831" spans="4:8" ht="15.6">
      <c r="D831" s="84"/>
      <c r="E831" s="84"/>
      <c r="F831" s="84"/>
      <c r="G831" s="84"/>
      <c r="H831" s="84"/>
    </row>
    <row r="832" spans="4:8" ht="15.6">
      <c r="D832" s="84"/>
      <c r="E832" s="84"/>
      <c r="F832" s="84"/>
      <c r="G832" s="84"/>
      <c r="H832" s="84"/>
    </row>
    <row r="833" spans="4:8" ht="15.6">
      <c r="D833" s="84"/>
      <c r="E833" s="84"/>
      <c r="F833" s="84"/>
      <c r="G833" s="84"/>
      <c r="H833" s="84"/>
    </row>
    <row r="834" spans="4:8" ht="15.6">
      <c r="D834" s="84"/>
      <c r="E834" s="84"/>
      <c r="F834" s="84"/>
      <c r="G834" s="84"/>
      <c r="H834" s="84"/>
    </row>
    <row r="835" spans="4:8" ht="15.6">
      <c r="D835" s="84"/>
      <c r="E835" s="84"/>
      <c r="F835" s="84"/>
      <c r="G835" s="84"/>
      <c r="H835" s="84"/>
    </row>
    <row r="836" spans="4:8" ht="15.6">
      <c r="D836" s="84"/>
      <c r="E836" s="84"/>
      <c r="F836" s="84"/>
      <c r="G836" s="84"/>
      <c r="H836" s="84"/>
    </row>
    <row r="837" spans="4:8" ht="15.6">
      <c r="D837" s="84"/>
      <c r="E837" s="84"/>
      <c r="F837" s="84"/>
      <c r="G837" s="84"/>
      <c r="H837" s="84"/>
    </row>
    <row r="838" spans="4:8" ht="15.6">
      <c r="D838" s="84"/>
      <c r="E838" s="84"/>
      <c r="F838" s="84"/>
      <c r="G838" s="84"/>
      <c r="H838" s="84"/>
    </row>
    <row r="839" spans="4:8" ht="15.6">
      <c r="D839" s="84"/>
      <c r="E839" s="84"/>
      <c r="F839" s="84"/>
      <c r="G839" s="84"/>
      <c r="H839" s="84"/>
    </row>
    <row r="840" spans="4:8" ht="15.6">
      <c r="D840" s="84"/>
      <c r="E840" s="84"/>
      <c r="F840" s="84"/>
      <c r="G840" s="84"/>
      <c r="H840" s="84"/>
    </row>
    <row r="841" spans="4:8" ht="15.6">
      <c r="D841" s="84"/>
      <c r="E841" s="84"/>
      <c r="F841" s="84"/>
      <c r="G841" s="84"/>
      <c r="H841" s="84"/>
    </row>
    <row r="842" spans="4:8" ht="15.6">
      <c r="D842" s="84"/>
      <c r="E842" s="84"/>
      <c r="F842" s="84"/>
      <c r="G842" s="84"/>
      <c r="H842" s="84"/>
    </row>
    <row r="843" spans="4:8" ht="15.6">
      <c r="D843" s="84"/>
      <c r="E843" s="84"/>
      <c r="F843" s="84"/>
      <c r="G843" s="84"/>
      <c r="H843" s="84"/>
    </row>
    <row r="844" spans="4:8" ht="15.6">
      <c r="D844" s="84"/>
      <c r="E844" s="84"/>
      <c r="F844" s="84"/>
      <c r="G844" s="84"/>
      <c r="H844" s="84"/>
    </row>
    <row r="845" spans="4:8" ht="15.6">
      <c r="D845" s="84"/>
      <c r="E845" s="84"/>
      <c r="F845" s="84"/>
      <c r="G845" s="84"/>
      <c r="H845" s="84"/>
    </row>
    <row r="846" spans="4:8" ht="15.6">
      <c r="D846" s="84"/>
      <c r="E846" s="84"/>
      <c r="F846" s="84"/>
      <c r="G846" s="84"/>
      <c r="H846" s="84"/>
    </row>
    <row r="847" spans="4:8" ht="15.6">
      <c r="D847" s="84"/>
      <c r="E847" s="84"/>
      <c r="F847" s="84"/>
      <c r="G847" s="84"/>
      <c r="H847" s="84"/>
    </row>
    <row r="848" spans="4:8" ht="15.6">
      <c r="D848" s="84"/>
      <c r="E848" s="84"/>
      <c r="F848" s="84"/>
      <c r="G848" s="84"/>
      <c r="H848" s="84"/>
    </row>
    <row r="849" spans="4:8" ht="15.6">
      <c r="D849" s="84"/>
      <c r="E849" s="84"/>
      <c r="F849" s="84"/>
      <c r="G849" s="84"/>
      <c r="H849" s="84"/>
    </row>
    <row r="850" spans="4:8" ht="15.6">
      <c r="D850" s="84"/>
      <c r="E850" s="84"/>
      <c r="F850" s="84"/>
      <c r="G850" s="84"/>
      <c r="H850" s="84"/>
    </row>
    <row r="851" spans="4:8" ht="15.6">
      <c r="D851" s="84"/>
      <c r="E851" s="84"/>
      <c r="F851" s="84"/>
      <c r="G851" s="84"/>
      <c r="H851" s="84"/>
    </row>
    <row r="852" spans="4:8" ht="15.6">
      <c r="D852" s="84"/>
      <c r="E852" s="84"/>
      <c r="F852" s="84"/>
      <c r="G852" s="84"/>
      <c r="H852" s="84"/>
    </row>
    <row r="853" spans="4:8" ht="15.6">
      <c r="D853" s="84"/>
      <c r="E853" s="84"/>
      <c r="F853" s="84"/>
      <c r="G853" s="84"/>
      <c r="H853" s="84"/>
    </row>
    <row r="854" spans="4:8" ht="15.6">
      <c r="D854" s="84"/>
      <c r="E854" s="84"/>
      <c r="F854" s="84"/>
      <c r="G854" s="84"/>
      <c r="H854" s="84"/>
    </row>
    <row r="855" spans="4:8" ht="15.6">
      <c r="D855" s="84"/>
      <c r="E855" s="84"/>
      <c r="F855" s="84"/>
      <c r="G855" s="84"/>
      <c r="H855" s="84"/>
    </row>
    <row r="856" spans="4:8" ht="15.6">
      <c r="D856" s="84"/>
      <c r="E856" s="84"/>
      <c r="F856" s="84"/>
      <c r="G856" s="84"/>
      <c r="H856" s="84"/>
    </row>
    <row r="857" spans="4:8" ht="15.6">
      <c r="D857" s="84"/>
      <c r="E857" s="84"/>
      <c r="F857" s="84"/>
      <c r="G857" s="84"/>
      <c r="H857" s="84"/>
    </row>
    <row r="858" spans="4:8" ht="15.6">
      <c r="D858" s="84"/>
      <c r="E858" s="84"/>
      <c r="F858" s="84"/>
      <c r="G858" s="84"/>
      <c r="H858" s="84"/>
    </row>
    <row r="859" spans="4:8" ht="15.6">
      <c r="D859" s="84"/>
      <c r="E859" s="84"/>
      <c r="F859" s="84"/>
      <c r="G859" s="84"/>
      <c r="H859" s="84"/>
    </row>
    <row r="860" spans="4:8" ht="15.6">
      <c r="D860" s="84"/>
      <c r="E860" s="84"/>
      <c r="F860" s="84"/>
      <c r="G860" s="84"/>
      <c r="H860" s="84"/>
    </row>
    <row r="861" spans="4:8" ht="15.6">
      <c r="D861" s="84"/>
      <c r="E861" s="84"/>
      <c r="F861" s="84"/>
      <c r="G861" s="84"/>
      <c r="H861" s="84"/>
    </row>
    <row r="862" spans="4:8" ht="15.6">
      <c r="D862" s="84"/>
      <c r="E862" s="84"/>
      <c r="F862" s="84"/>
      <c r="G862" s="84"/>
      <c r="H862" s="84"/>
    </row>
    <row r="863" spans="4:8" ht="15.6">
      <c r="D863" s="84"/>
      <c r="E863" s="84"/>
      <c r="F863" s="84"/>
      <c r="G863" s="84"/>
      <c r="H863" s="84"/>
    </row>
    <row r="864" spans="4:8" ht="15.6">
      <c r="D864" s="84"/>
      <c r="E864" s="84"/>
      <c r="F864" s="84"/>
      <c r="G864" s="84"/>
      <c r="H864" s="84"/>
    </row>
    <row r="865" spans="4:8" ht="15.6">
      <c r="D865" s="84"/>
      <c r="E865" s="84"/>
      <c r="F865" s="84"/>
      <c r="G865" s="84"/>
      <c r="H865" s="84"/>
    </row>
    <row r="866" spans="4:8" ht="15.6">
      <c r="D866" s="84"/>
      <c r="E866" s="84"/>
      <c r="F866" s="84"/>
      <c r="G866" s="84"/>
      <c r="H866" s="84"/>
    </row>
    <row r="867" spans="4:8" ht="15.6">
      <c r="D867" s="84"/>
      <c r="E867" s="84"/>
      <c r="F867" s="84"/>
      <c r="G867" s="84"/>
      <c r="H867" s="84"/>
    </row>
    <row r="868" spans="4:8" ht="15.6">
      <c r="D868" s="84"/>
      <c r="E868" s="84"/>
      <c r="F868" s="84"/>
      <c r="G868" s="84"/>
      <c r="H868" s="84"/>
    </row>
    <row r="869" spans="4:8" ht="15.6">
      <c r="D869" s="84"/>
      <c r="E869" s="84"/>
      <c r="F869" s="84"/>
      <c r="G869" s="84"/>
      <c r="H869" s="84"/>
    </row>
    <row r="870" spans="4:8" ht="15.6">
      <c r="D870" s="84"/>
      <c r="E870" s="84"/>
      <c r="F870" s="84"/>
      <c r="G870" s="84"/>
      <c r="H870" s="84"/>
    </row>
    <row r="871" spans="4:8" ht="15.6">
      <c r="D871" s="84"/>
      <c r="E871" s="84"/>
      <c r="F871" s="84"/>
      <c r="G871" s="84"/>
      <c r="H871" s="84"/>
    </row>
    <row r="872" spans="4:8" ht="15.6">
      <c r="D872" s="84"/>
      <c r="E872" s="84"/>
      <c r="F872" s="84"/>
      <c r="G872" s="84"/>
      <c r="H872" s="84"/>
    </row>
    <row r="873" spans="4:8" ht="15.6">
      <c r="D873" s="84"/>
      <c r="E873" s="84"/>
      <c r="F873" s="84"/>
      <c r="G873" s="84"/>
      <c r="H873" s="84"/>
    </row>
    <row r="874" spans="4:8" ht="15.6">
      <c r="D874" s="84"/>
      <c r="E874" s="84"/>
      <c r="F874" s="84"/>
      <c r="G874" s="84"/>
      <c r="H874" s="84"/>
    </row>
    <row r="875" spans="4:8" ht="15.6">
      <c r="D875" s="84"/>
      <c r="E875" s="84"/>
      <c r="F875" s="84"/>
      <c r="G875" s="84"/>
      <c r="H875" s="84"/>
    </row>
    <row r="876" spans="4:8" ht="15.6">
      <c r="D876" s="84"/>
      <c r="E876" s="84"/>
      <c r="F876" s="84"/>
      <c r="G876" s="84"/>
      <c r="H876" s="84"/>
    </row>
    <row r="877" spans="4:8" ht="15.6">
      <c r="D877" s="84"/>
      <c r="E877" s="84"/>
      <c r="F877" s="84"/>
      <c r="G877" s="84"/>
      <c r="H877" s="84"/>
    </row>
    <row r="878" spans="4:8" ht="15.6">
      <c r="D878" s="84"/>
      <c r="E878" s="84"/>
      <c r="F878" s="84"/>
      <c r="G878" s="84"/>
      <c r="H878" s="84"/>
    </row>
    <row r="879" spans="4:8" ht="15.6">
      <c r="D879" s="84"/>
      <c r="E879" s="84"/>
      <c r="F879" s="84"/>
      <c r="G879" s="84"/>
      <c r="H879" s="84"/>
    </row>
    <row r="880" spans="4:8" ht="15.6">
      <c r="D880" s="84"/>
      <c r="E880" s="84"/>
      <c r="F880" s="84"/>
      <c r="G880" s="84"/>
      <c r="H880" s="84"/>
    </row>
    <row r="881" spans="4:8" ht="15.6">
      <c r="D881" s="84"/>
      <c r="E881" s="84"/>
      <c r="F881" s="84"/>
      <c r="G881" s="84"/>
      <c r="H881" s="84"/>
    </row>
    <row r="882" spans="4:8" ht="15.6">
      <c r="D882" s="84"/>
      <c r="E882" s="84"/>
      <c r="F882" s="84"/>
      <c r="G882" s="84"/>
      <c r="H882" s="84"/>
    </row>
    <row r="883" spans="4:8" ht="15.6">
      <c r="D883" s="84"/>
      <c r="E883" s="84"/>
      <c r="F883" s="84"/>
      <c r="G883" s="84"/>
      <c r="H883" s="84"/>
    </row>
    <row r="884" spans="4:8" ht="15.6">
      <c r="D884" s="84"/>
      <c r="E884" s="84"/>
      <c r="F884" s="84"/>
      <c r="G884" s="84"/>
      <c r="H884" s="84"/>
    </row>
    <row r="885" spans="4:8" ht="15.6">
      <c r="D885" s="84"/>
      <c r="E885" s="84"/>
      <c r="F885" s="84"/>
      <c r="G885" s="84"/>
      <c r="H885" s="84"/>
    </row>
    <row r="886" spans="4:8" ht="15.6">
      <c r="D886" s="84"/>
      <c r="E886" s="84"/>
      <c r="F886" s="84"/>
      <c r="G886" s="84"/>
      <c r="H886" s="84"/>
    </row>
    <row r="887" spans="4:8" ht="15.6">
      <c r="D887" s="84"/>
      <c r="E887" s="84"/>
      <c r="F887" s="84"/>
      <c r="G887" s="84"/>
      <c r="H887" s="84"/>
    </row>
    <row r="888" spans="4:8" ht="15.6">
      <c r="D888" s="84"/>
      <c r="E888" s="84"/>
      <c r="F888" s="84"/>
      <c r="G888" s="84"/>
      <c r="H888" s="84"/>
    </row>
    <row r="889" spans="4:8" ht="15.6">
      <c r="D889" s="84"/>
      <c r="E889" s="84"/>
      <c r="F889" s="84"/>
      <c r="G889" s="84"/>
      <c r="H889" s="84"/>
    </row>
    <row r="890" spans="4:8" ht="15.6">
      <c r="D890" s="84"/>
      <c r="E890" s="84"/>
      <c r="F890" s="84"/>
      <c r="G890" s="84"/>
      <c r="H890" s="84"/>
    </row>
    <row r="891" spans="4:8" ht="15.6">
      <c r="D891" s="84"/>
      <c r="E891" s="84"/>
      <c r="F891" s="84"/>
      <c r="G891" s="84"/>
      <c r="H891" s="84"/>
    </row>
    <row r="892" spans="4:8" ht="15.6">
      <c r="D892" s="84"/>
      <c r="E892" s="84"/>
      <c r="F892" s="84"/>
      <c r="G892" s="84"/>
      <c r="H892" s="84"/>
    </row>
    <row r="893" spans="4:8" ht="15.6">
      <c r="D893" s="84"/>
      <c r="E893" s="84"/>
      <c r="F893" s="84"/>
      <c r="G893" s="84"/>
      <c r="H893" s="84"/>
    </row>
    <row r="894" spans="4:8" ht="15.6">
      <c r="D894" s="84"/>
      <c r="E894" s="84"/>
      <c r="F894" s="84"/>
      <c r="G894" s="84"/>
      <c r="H894" s="84"/>
    </row>
    <row r="895" spans="4:8" ht="15.6">
      <c r="D895" s="84"/>
      <c r="E895" s="84"/>
      <c r="F895" s="84"/>
      <c r="G895" s="84"/>
      <c r="H895" s="84"/>
    </row>
    <row r="896" spans="4:8" ht="15.6">
      <c r="D896" s="84"/>
      <c r="E896" s="84"/>
      <c r="F896" s="84"/>
      <c r="G896" s="84"/>
      <c r="H896" s="84"/>
    </row>
    <row r="897" spans="4:8" ht="15.6">
      <c r="D897" s="84"/>
      <c r="E897" s="84"/>
      <c r="F897" s="84"/>
      <c r="G897" s="84"/>
      <c r="H897" s="84"/>
    </row>
    <row r="898" spans="4:8" ht="15.6">
      <c r="D898" s="84"/>
      <c r="E898" s="84"/>
      <c r="F898" s="84"/>
      <c r="G898" s="84"/>
      <c r="H898" s="84"/>
    </row>
    <row r="899" spans="4:8" ht="15.6">
      <c r="D899" s="84"/>
      <c r="E899" s="84"/>
      <c r="F899" s="84"/>
      <c r="G899" s="84"/>
      <c r="H899" s="84"/>
    </row>
    <row r="900" spans="4:8" ht="15.6">
      <c r="D900" s="84"/>
      <c r="E900" s="84"/>
      <c r="F900" s="84"/>
      <c r="G900" s="84"/>
      <c r="H900" s="84"/>
    </row>
    <row r="901" spans="4:8" ht="15.6">
      <c r="D901" s="84"/>
      <c r="E901" s="84"/>
      <c r="F901" s="84"/>
      <c r="G901" s="84"/>
      <c r="H901" s="84"/>
    </row>
    <row r="902" spans="4:8" ht="15.6">
      <c r="D902" s="84"/>
      <c r="E902" s="84"/>
      <c r="F902" s="84"/>
      <c r="G902" s="84"/>
      <c r="H902" s="84"/>
    </row>
    <row r="903" spans="4:8" ht="15.6">
      <c r="D903" s="84"/>
      <c r="E903" s="84"/>
      <c r="F903" s="84"/>
      <c r="G903" s="84"/>
      <c r="H903" s="84"/>
    </row>
    <row r="904" spans="4:8" ht="15.6">
      <c r="D904" s="84"/>
      <c r="E904" s="84"/>
      <c r="F904" s="84"/>
      <c r="G904" s="84"/>
      <c r="H904" s="84"/>
    </row>
    <row r="905" spans="4:8" ht="15.6">
      <c r="D905" s="84"/>
      <c r="E905" s="84"/>
      <c r="F905" s="84"/>
      <c r="G905" s="84"/>
      <c r="H905" s="84"/>
    </row>
    <row r="906" spans="4:8" ht="15.6">
      <c r="D906" s="84"/>
      <c r="E906" s="84"/>
      <c r="F906" s="84"/>
      <c r="G906" s="84"/>
      <c r="H906" s="84"/>
    </row>
    <row r="907" spans="4:8" ht="15.6">
      <c r="D907" s="84"/>
      <c r="E907" s="84"/>
      <c r="F907" s="84"/>
      <c r="G907" s="84"/>
      <c r="H907" s="84"/>
    </row>
    <row r="908" spans="4:8" ht="15.6">
      <c r="D908" s="84"/>
      <c r="E908" s="84"/>
      <c r="F908" s="84"/>
      <c r="G908" s="84"/>
      <c r="H908" s="84"/>
    </row>
    <row r="909" spans="4:8" ht="15.6">
      <c r="D909" s="84"/>
      <c r="E909" s="84"/>
      <c r="F909" s="84"/>
      <c r="G909" s="84"/>
      <c r="H909" s="84"/>
    </row>
    <row r="910" spans="4:8" ht="15.6">
      <c r="D910" s="84"/>
      <c r="E910" s="84"/>
      <c r="F910" s="84"/>
      <c r="G910" s="84"/>
      <c r="H910" s="84"/>
    </row>
    <row r="911" spans="4:8" ht="15.6">
      <c r="D911" s="84"/>
      <c r="E911" s="84"/>
      <c r="F911" s="84"/>
      <c r="G911" s="84"/>
      <c r="H911" s="84"/>
    </row>
    <row r="912" spans="4:8" ht="15.6">
      <c r="D912" s="84"/>
      <c r="E912" s="84"/>
      <c r="F912" s="84"/>
      <c r="G912" s="84"/>
      <c r="H912" s="84"/>
    </row>
    <row r="913" spans="4:8" ht="15.6">
      <c r="D913" s="84"/>
      <c r="E913" s="84"/>
      <c r="F913" s="84"/>
      <c r="G913" s="84"/>
      <c r="H913" s="84"/>
    </row>
    <row r="914" spans="4:8" ht="15.6">
      <c r="D914" s="84"/>
      <c r="E914" s="84"/>
      <c r="F914" s="84"/>
      <c r="G914" s="84"/>
      <c r="H914" s="84"/>
    </row>
    <row r="915" spans="4:8" ht="15.6">
      <c r="D915" s="84"/>
      <c r="E915" s="84"/>
      <c r="F915" s="84"/>
      <c r="G915" s="84"/>
      <c r="H915" s="84"/>
    </row>
    <row r="916" spans="4:8" ht="15.6">
      <c r="D916" s="84"/>
      <c r="E916" s="84"/>
      <c r="F916" s="84"/>
      <c r="G916" s="84"/>
      <c r="H916" s="84"/>
    </row>
    <row r="917" spans="4:8" ht="15.6">
      <c r="D917" s="84"/>
      <c r="E917" s="84"/>
      <c r="F917" s="84"/>
      <c r="G917" s="84"/>
      <c r="H917" s="84"/>
    </row>
    <row r="918" spans="4:8" ht="15.6">
      <c r="D918" s="84"/>
      <c r="E918" s="84"/>
      <c r="F918" s="84"/>
      <c r="G918" s="84"/>
      <c r="H918" s="84"/>
    </row>
    <row r="919" spans="4:8" ht="15.6">
      <c r="D919" s="84"/>
      <c r="E919" s="84"/>
      <c r="F919" s="84"/>
      <c r="G919" s="84"/>
      <c r="H919" s="84"/>
    </row>
    <row r="920" spans="4:8" ht="15.6">
      <c r="D920" s="84"/>
      <c r="E920" s="84"/>
      <c r="F920" s="84"/>
      <c r="G920" s="84"/>
      <c r="H920" s="84"/>
    </row>
    <row r="921" spans="4:8" ht="15.6">
      <c r="D921" s="84"/>
      <c r="E921" s="84"/>
      <c r="F921" s="84"/>
      <c r="G921" s="84"/>
      <c r="H921" s="84"/>
    </row>
    <row r="922" spans="4:8" ht="15.6">
      <c r="D922" s="84"/>
      <c r="E922" s="84"/>
      <c r="F922" s="84"/>
      <c r="G922" s="84"/>
      <c r="H922" s="84"/>
    </row>
    <row r="923" spans="4:8" ht="15.6">
      <c r="D923" s="84"/>
      <c r="E923" s="84"/>
      <c r="F923" s="84"/>
      <c r="G923" s="84"/>
      <c r="H923" s="84"/>
    </row>
    <row r="924" spans="4:8" ht="15.6">
      <c r="D924" s="84"/>
      <c r="E924" s="84"/>
      <c r="F924" s="84"/>
      <c r="G924" s="84"/>
      <c r="H924" s="84"/>
    </row>
    <row r="925" spans="4:8" ht="15.6">
      <c r="D925" s="84"/>
      <c r="E925" s="84"/>
      <c r="F925" s="84"/>
      <c r="G925" s="84"/>
      <c r="H925" s="84"/>
    </row>
    <row r="926" spans="4:8" ht="15.6">
      <c r="D926" s="84"/>
      <c r="E926" s="84"/>
      <c r="F926" s="84"/>
      <c r="G926" s="84"/>
      <c r="H926" s="84"/>
    </row>
    <row r="927" spans="4:8" ht="15.6">
      <c r="D927" s="84"/>
      <c r="E927" s="84"/>
      <c r="F927" s="84"/>
      <c r="G927" s="84"/>
      <c r="H927" s="84"/>
    </row>
    <row r="928" spans="4:8" ht="15.6">
      <c r="D928" s="84"/>
      <c r="E928" s="84"/>
      <c r="F928" s="84"/>
      <c r="G928" s="84"/>
      <c r="H928" s="84"/>
    </row>
    <row r="929" spans="4:8" ht="15.6">
      <c r="D929" s="84"/>
      <c r="E929" s="84"/>
      <c r="F929" s="84"/>
      <c r="G929" s="84"/>
      <c r="H929" s="84"/>
    </row>
    <row r="930" spans="4:8" ht="15.6">
      <c r="D930" s="84"/>
      <c r="E930" s="84"/>
      <c r="F930" s="84"/>
      <c r="G930" s="84"/>
      <c r="H930" s="84"/>
    </row>
    <row r="931" spans="4:8" ht="15.6">
      <c r="D931" s="84"/>
      <c r="E931" s="84"/>
      <c r="F931" s="84"/>
      <c r="G931" s="84"/>
      <c r="H931" s="84"/>
    </row>
    <row r="932" spans="4:8" ht="15.6">
      <c r="D932" s="84"/>
      <c r="E932" s="84"/>
      <c r="F932" s="84"/>
      <c r="G932" s="84"/>
      <c r="H932" s="84"/>
    </row>
    <row r="933" spans="4:8" ht="15.6">
      <c r="D933" s="84"/>
      <c r="E933" s="84"/>
      <c r="F933" s="84"/>
      <c r="G933" s="84"/>
      <c r="H933" s="84"/>
    </row>
    <row r="934" spans="4:8" ht="15.6">
      <c r="D934" s="84"/>
      <c r="E934" s="84"/>
      <c r="F934" s="84"/>
      <c r="G934" s="84"/>
      <c r="H934" s="84"/>
    </row>
    <row r="935" spans="4:8" ht="15.6">
      <c r="D935" s="84"/>
      <c r="E935" s="84"/>
      <c r="F935" s="84"/>
      <c r="G935" s="84"/>
      <c r="H935" s="84"/>
    </row>
    <row r="936" spans="4:8" ht="15.6">
      <c r="D936" s="84"/>
      <c r="E936" s="84"/>
      <c r="F936" s="84"/>
      <c r="G936" s="84"/>
      <c r="H936" s="84"/>
    </row>
    <row r="937" spans="4:8" ht="15.6">
      <c r="D937" s="84"/>
      <c r="E937" s="84"/>
      <c r="F937" s="84"/>
      <c r="G937" s="84"/>
      <c r="H937" s="84"/>
    </row>
    <row r="938" spans="4:8" ht="15.6">
      <c r="D938" s="84"/>
      <c r="E938" s="84"/>
      <c r="F938" s="84"/>
      <c r="G938" s="84"/>
      <c r="H938" s="84"/>
    </row>
    <row r="939" spans="4:8" ht="15.6">
      <c r="D939" s="84"/>
      <c r="E939" s="84"/>
      <c r="F939" s="84"/>
      <c r="G939" s="84"/>
      <c r="H939" s="84"/>
    </row>
    <row r="940" spans="4:8" ht="15.6">
      <c r="D940" s="84"/>
      <c r="E940" s="84"/>
      <c r="F940" s="84"/>
      <c r="G940" s="84"/>
      <c r="H940" s="84"/>
    </row>
    <row r="941" spans="4:8" ht="15.6">
      <c r="D941" s="84"/>
      <c r="E941" s="84"/>
      <c r="F941" s="84"/>
      <c r="G941" s="84"/>
      <c r="H941" s="84"/>
    </row>
    <row r="942" spans="4:8" ht="15.6">
      <c r="D942" s="84"/>
      <c r="E942" s="84"/>
      <c r="F942" s="84"/>
      <c r="G942" s="84"/>
      <c r="H942" s="84"/>
    </row>
    <row r="943" spans="4:8" ht="15.6">
      <c r="D943" s="84"/>
      <c r="E943" s="84"/>
      <c r="F943" s="84"/>
      <c r="G943" s="84"/>
      <c r="H943" s="84"/>
    </row>
    <row r="944" spans="4:8" ht="15.6">
      <c r="D944" s="84"/>
      <c r="E944" s="84"/>
      <c r="F944" s="84"/>
      <c r="G944" s="84"/>
      <c r="H944" s="84"/>
    </row>
    <row r="945" spans="4:8" ht="15.6">
      <c r="D945" s="84"/>
      <c r="E945" s="84"/>
      <c r="F945" s="84"/>
      <c r="G945" s="84"/>
      <c r="H945" s="84"/>
    </row>
    <row r="946" spans="4:8" ht="15.6">
      <c r="D946" s="84"/>
      <c r="E946" s="84"/>
      <c r="F946" s="84"/>
      <c r="G946" s="84"/>
      <c r="H946" s="84"/>
    </row>
    <row r="947" spans="4:8" ht="15.6">
      <c r="D947" s="84"/>
      <c r="E947" s="84"/>
      <c r="F947" s="84"/>
      <c r="G947" s="84"/>
      <c r="H947" s="84"/>
    </row>
    <row r="948" spans="4:8" ht="15.6">
      <c r="D948" s="84"/>
      <c r="E948" s="84"/>
      <c r="F948" s="84"/>
      <c r="G948" s="84"/>
      <c r="H948" s="84"/>
    </row>
    <row r="949" spans="4:8" ht="15.6">
      <c r="D949" s="84"/>
      <c r="E949" s="84"/>
      <c r="F949" s="84"/>
      <c r="G949" s="84"/>
      <c r="H949" s="84"/>
    </row>
    <row r="950" spans="4:8" ht="15.6">
      <c r="D950" s="84"/>
      <c r="E950" s="84"/>
      <c r="F950" s="84"/>
      <c r="G950" s="84"/>
      <c r="H950" s="84"/>
    </row>
    <row r="951" spans="4:8" ht="15.6">
      <c r="D951" s="84"/>
      <c r="E951" s="84"/>
      <c r="F951" s="84"/>
      <c r="G951" s="84"/>
      <c r="H951" s="84"/>
    </row>
    <row r="952" spans="4:8" ht="15.6">
      <c r="D952" s="84"/>
      <c r="E952" s="84"/>
      <c r="F952" s="84"/>
      <c r="G952" s="84"/>
      <c r="H952" s="84"/>
    </row>
    <row r="953" spans="4:8" ht="15.6">
      <c r="D953" s="84"/>
      <c r="E953" s="84"/>
      <c r="F953" s="84"/>
      <c r="G953" s="84"/>
      <c r="H953" s="84"/>
    </row>
    <row r="954" spans="4:8" ht="15.6">
      <c r="D954" s="84"/>
      <c r="E954" s="84"/>
      <c r="F954" s="84"/>
      <c r="G954" s="84"/>
      <c r="H954" s="84"/>
    </row>
    <row r="955" spans="4:8" ht="15.6">
      <c r="D955" s="84"/>
      <c r="E955" s="84"/>
      <c r="F955" s="84"/>
      <c r="G955" s="84"/>
      <c r="H955" s="84"/>
    </row>
    <row r="956" spans="4:8" ht="15.6">
      <c r="D956" s="84"/>
      <c r="E956" s="84"/>
      <c r="F956" s="84"/>
      <c r="G956" s="84"/>
      <c r="H956" s="84"/>
    </row>
    <row r="957" spans="4:8" ht="15.6">
      <c r="D957" s="84"/>
      <c r="E957" s="84"/>
      <c r="F957" s="84"/>
      <c r="G957" s="84"/>
      <c r="H957" s="84"/>
    </row>
    <row r="958" spans="4:8" ht="15.6">
      <c r="D958" s="84"/>
      <c r="E958" s="84"/>
      <c r="F958" s="84"/>
      <c r="G958" s="84"/>
      <c r="H958" s="84"/>
    </row>
    <row r="959" spans="4:8" ht="15.6">
      <c r="D959" s="84"/>
      <c r="E959" s="84"/>
      <c r="F959" s="84"/>
      <c r="G959" s="84"/>
      <c r="H959" s="84"/>
    </row>
    <row r="960" spans="4:8" ht="15.6">
      <c r="D960" s="84"/>
      <c r="E960" s="84"/>
      <c r="F960" s="84"/>
      <c r="G960" s="84"/>
      <c r="H960" s="84"/>
    </row>
    <row r="961" spans="4:8" ht="15.6">
      <c r="D961" s="84"/>
      <c r="E961" s="84"/>
      <c r="F961" s="84"/>
      <c r="G961" s="84"/>
      <c r="H961" s="84"/>
    </row>
    <row r="962" spans="4:8" ht="15.6">
      <c r="D962" s="84"/>
      <c r="E962" s="84"/>
      <c r="F962" s="84"/>
      <c r="G962" s="84"/>
      <c r="H962" s="84"/>
    </row>
    <row r="963" spans="4:8" ht="15.6">
      <c r="D963" s="84"/>
      <c r="E963" s="84"/>
      <c r="F963" s="84"/>
      <c r="G963" s="84"/>
      <c r="H963" s="84"/>
    </row>
    <row r="964" spans="4:8" ht="15.6">
      <c r="D964" s="84"/>
      <c r="E964" s="84"/>
      <c r="F964" s="84"/>
      <c r="G964" s="84"/>
      <c r="H964" s="84"/>
    </row>
    <row r="965" spans="4:8" ht="15.6">
      <c r="D965" s="84"/>
      <c r="E965" s="84"/>
      <c r="F965" s="84"/>
      <c r="G965" s="84"/>
      <c r="H965" s="84"/>
    </row>
    <row r="966" spans="4:8" ht="15.6">
      <c r="D966" s="84"/>
      <c r="E966" s="84"/>
      <c r="F966" s="84"/>
      <c r="G966" s="84"/>
      <c r="H966" s="84"/>
    </row>
    <row r="967" spans="4:8" ht="15.6">
      <c r="D967" s="84"/>
      <c r="E967" s="84"/>
      <c r="F967" s="84"/>
      <c r="G967" s="84"/>
      <c r="H967" s="84"/>
    </row>
    <row r="968" spans="4:8" ht="15.6">
      <c r="D968" s="84"/>
      <c r="E968" s="84"/>
      <c r="F968" s="84"/>
      <c r="G968" s="84"/>
      <c r="H968" s="84"/>
    </row>
    <row r="969" spans="4:8" ht="15.6">
      <c r="D969" s="84"/>
      <c r="E969" s="84"/>
      <c r="F969" s="84"/>
      <c r="G969" s="84"/>
      <c r="H969" s="84"/>
    </row>
    <row r="970" spans="4:8" ht="15.6">
      <c r="D970" s="84"/>
      <c r="E970" s="84"/>
      <c r="F970" s="84"/>
      <c r="G970" s="84"/>
      <c r="H970" s="84"/>
    </row>
    <row r="971" spans="4:8" ht="15.6">
      <c r="D971" s="84"/>
      <c r="E971" s="84"/>
      <c r="F971" s="84"/>
      <c r="G971" s="84"/>
      <c r="H971" s="84"/>
    </row>
    <row r="972" spans="4:8" ht="15.6">
      <c r="D972" s="84"/>
      <c r="E972" s="84"/>
      <c r="F972" s="84"/>
      <c r="G972" s="84"/>
      <c r="H972" s="84"/>
    </row>
    <row r="973" spans="4:8" ht="15.6">
      <c r="D973" s="84"/>
      <c r="E973" s="84"/>
      <c r="F973" s="84"/>
      <c r="G973" s="84"/>
      <c r="H973" s="84"/>
    </row>
    <row r="974" spans="4:8" ht="15.6">
      <c r="D974" s="84"/>
      <c r="E974" s="84"/>
      <c r="F974" s="84"/>
      <c r="G974" s="84"/>
      <c r="H974" s="84"/>
    </row>
    <row r="975" spans="4:8" ht="15.6">
      <c r="D975" s="84"/>
      <c r="E975" s="84"/>
      <c r="F975" s="84"/>
      <c r="G975" s="84"/>
      <c r="H975" s="84"/>
    </row>
    <row r="976" spans="4:8" ht="15.6">
      <c r="D976" s="84"/>
      <c r="E976" s="84"/>
      <c r="F976" s="84"/>
      <c r="G976" s="84"/>
      <c r="H976" s="84"/>
    </row>
    <row r="977" spans="4:8" ht="15.6">
      <c r="D977" s="84"/>
      <c r="E977" s="84"/>
      <c r="F977" s="84"/>
      <c r="G977" s="84"/>
      <c r="H977" s="84"/>
    </row>
    <row r="978" spans="4:8" ht="15.6">
      <c r="D978" s="84"/>
      <c r="E978" s="84"/>
      <c r="F978" s="84"/>
      <c r="G978" s="84"/>
      <c r="H978" s="84"/>
    </row>
    <row r="979" spans="4:8" ht="15.6">
      <c r="D979" s="84"/>
      <c r="E979" s="84"/>
      <c r="F979" s="84"/>
      <c r="G979" s="84"/>
      <c r="H979" s="84"/>
    </row>
    <row r="980" spans="4:8" ht="15.6">
      <c r="D980" s="84"/>
      <c r="E980" s="84"/>
      <c r="F980" s="84"/>
      <c r="G980" s="84"/>
      <c r="H980" s="84"/>
    </row>
    <row r="981" spans="4:8" ht="15.6">
      <c r="D981" s="84"/>
      <c r="E981" s="84"/>
      <c r="F981" s="84"/>
      <c r="G981" s="84"/>
      <c r="H981" s="84"/>
    </row>
    <row r="982" spans="4:8" ht="15.6">
      <c r="D982" s="84"/>
      <c r="E982" s="84"/>
      <c r="F982" s="84"/>
      <c r="G982" s="84"/>
      <c r="H982" s="84"/>
    </row>
    <row r="983" spans="4:8" ht="15.6">
      <c r="D983" s="84"/>
      <c r="E983" s="84"/>
      <c r="F983" s="84"/>
      <c r="G983" s="84"/>
      <c r="H983" s="84"/>
    </row>
    <row r="984" spans="4:8" ht="15.6">
      <c r="D984" s="84"/>
      <c r="E984" s="84"/>
      <c r="F984" s="84"/>
      <c r="G984" s="84"/>
      <c r="H984" s="84"/>
    </row>
    <row r="985" spans="4:8" ht="15.6">
      <c r="D985" s="84"/>
      <c r="E985" s="84"/>
      <c r="F985" s="84"/>
      <c r="G985" s="84"/>
      <c r="H985" s="84"/>
    </row>
    <row r="986" spans="4:8" ht="15.6">
      <c r="D986" s="84"/>
      <c r="E986" s="84"/>
      <c r="F986" s="84"/>
      <c r="G986" s="84"/>
      <c r="H986" s="84"/>
    </row>
    <row r="987" spans="4:8" ht="15.6">
      <c r="D987" s="84"/>
      <c r="E987" s="84"/>
      <c r="F987" s="84"/>
      <c r="G987" s="84"/>
      <c r="H987" s="84"/>
    </row>
    <row r="988" spans="4:8" ht="15.6">
      <c r="D988" s="84"/>
      <c r="E988" s="84"/>
      <c r="F988" s="84"/>
      <c r="G988" s="84"/>
      <c r="H988" s="84"/>
    </row>
    <row r="989" spans="4:8" ht="15.6">
      <c r="D989" s="84"/>
      <c r="E989" s="84"/>
      <c r="F989" s="84"/>
      <c r="G989" s="84"/>
      <c r="H989" s="84"/>
    </row>
    <row r="990" spans="4:8" ht="15.6">
      <c r="D990" s="84"/>
      <c r="E990" s="84"/>
      <c r="F990" s="84"/>
      <c r="G990" s="84"/>
      <c r="H990" s="84"/>
    </row>
    <row r="991" spans="4:8" ht="15.6">
      <c r="D991" s="84"/>
      <c r="E991" s="84"/>
      <c r="F991" s="84"/>
      <c r="G991" s="84"/>
      <c r="H991" s="84"/>
    </row>
    <row r="992" spans="4:8" ht="15.6">
      <c r="D992" s="84"/>
      <c r="E992" s="84"/>
      <c r="F992" s="84"/>
      <c r="G992" s="84"/>
      <c r="H992" s="84"/>
    </row>
    <row r="993" spans="4:8" ht="15.6">
      <c r="D993" s="84"/>
      <c r="E993" s="84"/>
      <c r="F993" s="84"/>
      <c r="G993" s="84"/>
      <c r="H993" s="84"/>
    </row>
    <row r="994" spans="4:8" ht="15.6">
      <c r="D994" s="84"/>
      <c r="E994" s="84"/>
      <c r="F994" s="84"/>
      <c r="G994" s="84"/>
      <c r="H994" s="84"/>
    </row>
    <row r="995" spans="4:8" ht="15.6">
      <c r="D995" s="84"/>
      <c r="E995" s="84"/>
      <c r="F995" s="84"/>
      <c r="G995" s="84"/>
      <c r="H995" s="84"/>
    </row>
    <row r="996" spans="4:8" ht="15.6">
      <c r="D996" s="84"/>
      <c r="E996" s="84"/>
      <c r="F996" s="84"/>
      <c r="G996" s="84"/>
      <c r="H996" s="84"/>
    </row>
    <row r="997" spans="4:8" ht="15.6">
      <c r="D997" s="84"/>
      <c r="E997" s="84"/>
      <c r="F997" s="84"/>
      <c r="G997" s="84"/>
      <c r="H997" s="84"/>
    </row>
    <row r="998" spans="4:8" ht="15.6">
      <c r="D998" s="84"/>
      <c r="E998" s="84"/>
      <c r="F998" s="84"/>
      <c r="G998" s="84"/>
      <c r="H998" s="84"/>
    </row>
    <row r="999" spans="4:8" ht="15.6">
      <c r="D999" s="84"/>
      <c r="E999" s="84"/>
      <c r="F999" s="84"/>
      <c r="G999" s="84"/>
      <c r="H999" s="84"/>
    </row>
    <row r="1000" spans="4:8" ht="15.6">
      <c r="D1000" s="84"/>
      <c r="E1000" s="84"/>
      <c r="F1000" s="84"/>
      <c r="G1000" s="84"/>
      <c r="H1000" s="84"/>
    </row>
  </sheetData>
  <mergeCells count="1">
    <mergeCell ref="E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3" t="s">
        <v>134</v>
      </c>
      <c r="B1" s="84"/>
      <c r="C1" s="84"/>
      <c r="D1" s="68"/>
      <c r="E1" s="139" t="s">
        <v>135</v>
      </c>
      <c r="F1" s="140"/>
      <c r="G1" s="140"/>
      <c r="H1" s="140"/>
    </row>
    <row r="2" spans="1:8" ht="15" customHeight="1">
      <c r="A2" s="67" t="s">
        <v>90</v>
      </c>
      <c r="B2" s="84"/>
      <c r="C2" s="84"/>
      <c r="D2" s="68"/>
      <c r="E2" s="68"/>
      <c r="F2" s="68"/>
      <c r="G2" s="68"/>
      <c r="H2" s="68"/>
    </row>
    <row r="3" spans="1:8" ht="15" customHeight="1">
      <c r="A3" s="70" t="s">
        <v>111</v>
      </c>
      <c r="B3" s="84"/>
      <c r="C3" s="84"/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70" t="s">
        <v>131</v>
      </c>
      <c r="B4" s="84"/>
      <c r="C4" s="84"/>
      <c r="D4" s="68" t="s">
        <v>95</v>
      </c>
      <c r="E4" s="74">
        <v>82.221670000000003</v>
      </c>
      <c r="F4" s="75">
        <v>301</v>
      </c>
      <c r="G4" s="75">
        <v>72.5</v>
      </c>
      <c r="H4" s="75">
        <v>9.7216699999999996</v>
      </c>
    </row>
    <row r="5" spans="1:8" ht="15" customHeight="1">
      <c r="D5" s="68"/>
      <c r="E5" s="74">
        <v>82.05583</v>
      </c>
      <c r="F5" s="75">
        <v>775</v>
      </c>
      <c r="G5" s="75">
        <v>72.69</v>
      </c>
      <c r="H5" s="75">
        <v>9.3658300000000008</v>
      </c>
    </row>
    <row r="6" spans="1:8" ht="15" customHeight="1">
      <c r="D6" s="68"/>
      <c r="E6" s="74">
        <v>81.482919999999993</v>
      </c>
      <c r="F6" s="75">
        <v>1247</v>
      </c>
      <c r="G6" s="75">
        <v>71.06</v>
      </c>
      <c r="H6" s="75">
        <v>10.42292</v>
      </c>
    </row>
    <row r="7" spans="1:8" ht="15" customHeight="1">
      <c r="D7" s="68"/>
      <c r="E7" s="74">
        <v>80.761669999999995</v>
      </c>
      <c r="F7" s="75">
        <v>1722</v>
      </c>
      <c r="G7" s="75">
        <v>70.28</v>
      </c>
      <c r="H7" s="75">
        <v>10.481669999999999</v>
      </c>
    </row>
    <row r="8" spans="1:8" ht="15" customHeight="1">
      <c r="D8" s="68"/>
      <c r="E8" s="74">
        <v>80.471299999999999</v>
      </c>
      <c r="F8" s="75">
        <v>2197</v>
      </c>
      <c r="G8" s="75">
        <v>70.05</v>
      </c>
      <c r="H8" s="75">
        <v>10.4213</v>
      </c>
    </row>
    <row r="9" spans="1:8" ht="15" customHeight="1">
      <c r="D9" s="68"/>
      <c r="E9" s="74">
        <v>80.598330000000004</v>
      </c>
      <c r="F9" s="75">
        <v>2670</v>
      </c>
      <c r="G9" s="75">
        <v>70.47</v>
      </c>
      <c r="H9" s="75">
        <v>10.12833</v>
      </c>
    </row>
    <row r="10" spans="1:8" ht="15" customHeight="1">
      <c r="D10" s="68" t="s">
        <v>119</v>
      </c>
      <c r="E10" s="74">
        <v>78.708259999999996</v>
      </c>
      <c r="F10" s="75">
        <v>3182</v>
      </c>
      <c r="G10" s="75">
        <v>71.260000000000005</v>
      </c>
      <c r="H10" s="75">
        <v>7.4482600000000003</v>
      </c>
    </row>
    <row r="11" spans="1:8" ht="15" customHeight="1">
      <c r="D11" s="68"/>
      <c r="E11" s="74">
        <v>78.757919999999999</v>
      </c>
      <c r="F11" s="75">
        <v>3658</v>
      </c>
      <c r="G11" s="75">
        <v>71.69</v>
      </c>
      <c r="H11" s="75">
        <v>7.06792</v>
      </c>
    </row>
    <row r="12" spans="1:8" ht="15" customHeight="1">
      <c r="D12" s="68"/>
      <c r="E12" s="74">
        <v>78.597080000000005</v>
      </c>
      <c r="F12" s="75">
        <v>4127</v>
      </c>
      <c r="G12" s="75">
        <v>71.87</v>
      </c>
      <c r="H12" s="75">
        <v>6.7270799999999999</v>
      </c>
    </row>
    <row r="13" spans="1:8" ht="15" customHeight="1">
      <c r="D13" s="68"/>
      <c r="E13" s="74">
        <v>79.370419999999996</v>
      </c>
      <c r="F13" s="75">
        <v>4602</v>
      </c>
      <c r="G13" s="75">
        <v>72.27</v>
      </c>
      <c r="H13" s="75">
        <v>7.1004199999999997</v>
      </c>
    </row>
    <row r="14" spans="1:8" ht="15" customHeight="1">
      <c r="D14" s="68"/>
      <c r="E14" s="74">
        <v>77.946250000000006</v>
      </c>
      <c r="F14" s="75">
        <v>5076</v>
      </c>
      <c r="G14" s="75">
        <v>71.06</v>
      </c>
      <c r="H14" s="75">
        <v>6.8862500000000004</v>
      </c>
    </row>
    <row r="15" spans="1:8" ht="15" customHeight="1">
      <c r="D15" s="68"/>
      <c r="E15" s="68"/>
      <c r="F15" s="68"/>
      <c r="G15" s="68"/>
      <c r="H15" s="68"/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90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3" t="s">
        <v>136</v>
      </c>
      <c r="B1" s="84"/>
      <c r="C1" s="84"/>
      <c r="D1" s="68"/>
      <c r="E1" s="139" t="s">
        <v>137</v>
      </c>
      <c r="F1" s="140"/>
      <c r="G1" s="140"/>
      <c r="H1" s="140"/>
    </row>
    <row r="2" spans="1:8" ht="15" customHeight="1">
      <c r="A2" s="67" t="s">
        <v>90</v>
      </c>
      <c r="B2" s="84"/>
      <c r="C2" s="84"/>
      <c r="D2" s="68"/>
      <c r="E2" s="68"/>
      <c r="F2" s="68"/>
      <c r="G2" s="68"/>
      <c r="H2" s="68"/>
    </row>
    <row r="3" spans="1:8" ht="15" customHeight="1">
      <c r="A3" s="70" t="s">
        <v>111</v>
      </c>
      <c r="B3" s="84"/>
      <c r="C3" s="84"/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70" t="s">
        <v>131</v>
      </c>
      <c r="B4" s="84"/>
      <c r="C4" s="84"/>
      <c r="D4" s="68" t="s">
        <v>113</v>
      </c>
      <c r="E4" s="74">
        <v>287.49090000000001</v>
      </c>
      <c r="F4" s="75">
        <v>301</v>
      </c>
      <c r="G4" s="75">
        <v>272.85000000000002</v>
      </c>
      <c r="H4" s="75">
        <v>14.64087</v>
      </c>
    </row>
    <row r="5" spans="1:8" ht="15" customHeight="1">
      <c r="D5" s="68"/>
      <c r="E5" s="74">
        <v>287.37290000000002</v>
      </c>
      <c r="F5" s="75">
        <v>775</v>
      </c>
      <c r="G5" s="75">
        <v>271.08999999999997</v>
      </c>
      <c r="H5" s="75">
        <v>16.282910000000001</v>
      </c>
    </row>
    <row r="6" spans="1:8" ht="15" customHeight="1">
      <c r="D6" s="68"/>
      <c r="E6" s="74">
        <v>287.29629999999997</v>
      </c>
      <c r="F6" s="75">
        <v>1248</v>
      </c>
      <c r="G6" s="75">
        <v>270.63</v>
      </c>
      <c r="H6" s="75">
        <v>16.666250000000002</v>
      </c>
    </row>
    <row r="7" spans="1:8" ht="15" customHeight="1">
      <c r="D7" s="68"/>
      <c r="E7" s="74">
        <v>287.32499999999999</v>
      </c>
      <c r="F7" s="75">
        <v>1722</v>
      </c>
      <c r="G7" s="75">
        <v>271.67</v>
      </c>
      <c r="H7" s="75">
        <v>15.65499</v>
      </c>
    </row>
    <row r="8" spans="1:8" ht="15" customHeight="1">
      <c r="D8" s="68"/>
      <c r="E8" s="74">
        <v>287.24130000000002</v>
      </c>
      <c r="F8" s="75">
        <v>2193</v>
      </c>
      <c r="G8" s="75">
        <v>272.23</v>
      </c>
      <c r="H8" s="75">
        <v>15.01125</v>
      </c>
    </row>
    <row r="9" spans="1:8" ht="15" customHeight="1">
      <c r="D9" s="68"/>
      <c r="E9" s="74">
        <v>287.12830000000002</v>
      </c>
      <c r="F9" s="75">
        <v>2669</v>
      </c>
      <c r="G9" s="75">
        <v>272.51</v>
      </c>
      <c r="H9" s="75">
        <v>14.61833</v>
      </c>
    </row>
    <row r="10" spans="1:8" ht="15" customHeight="1">
      <c r="D10" s="68"/>
      <c r="E10" s="74">
        <v>286.9375</v>
      </c>
      <c r="F10" s="75">
        <v>3142</v>
      </c>
      <c r="G10" s="75">
        <v>272.7</v>
      </c>
      <c r="H10" s="75">
        <v>14.23751</v>
      </c>
    </row>
    <row r="11" spans="1:8" ht="15" customHeight="1">
      <c r="D11" s="68" t="s">
        <v>138</v>
      </c>
      <c r="E11" s="74">
        <v>285.9846</v>
      </c>
      <c r="F11" s="75">
        <v>3610</v>
      </c>
      <c r="G11" s="75">
        <v>274.26</v>
      </c>
      <c r="H11" s="75">
        <v>11.72458</v>
      </c>
    </row>
    <row r="12" spans="1:8" ht="15" customHeight="1">
      <c r="D12" s="68"/>
      <c r="E12" s="74">
        <v>285.67880000000002</v>
      </c>
      <c r="F12" s="75">
        <v>4084</v>
      </c>
      <c r="G12" s="75">
        <v>274.14</v>
      </c>
      <c r="H12" s="75">
        <v>11.53875</v>
      </c>
    </row>
    <row r="13" spans="1:8" ht="15" customHeight="1">
      <c r="D13" s="68"/>
      <c r="E13" s="74">
        <v>285.05579999999998</v>
      </c>
      <c r="F13" s="75">
        <v>4558</v>
      </c>
      <c r="G13" s="75">
        <v>273.67</v>
      </c>
      <c r="H13" s="75">
        <v>11.38583</v>
      </c>
    </row>
    <row r="14" spans="1:8" ht="15" customHeight="1">
      <c r="D14" s="68"/>
      <c r="E14" s="74">
        <v>285.14960000000002</v>
      </c>
      <c r="F14" s="75">
        <v>5031</v>
      </c>
      <c r="G14" s="75">
        <v>273.7</v>
      </c>
      <c r="H14" s="75">
        <v>11.44957</v>
      </c>
    </row>
    <row r="15" spans="1:8" ht="15" customHeight="1">
      <c r="D15" s="68"/>
      <c r="E15" s="74">
        <v>285.51580000000001</v>
      </c>
      <c r="F15" s="75">
        <v>5503</v>
      </c>
      <c r="G15" s="75">
        <v>275.06</v>
      </c>
      <c r="H15" s="75">
        <v>10.455830000000001</v>
      </c>
    </row>
    <row r="16" spans="1:8" ht="15" customHeight="1">
      <c r="D16" s="68"/>
      <c r="E16" s="74">
        <v>285.81540000000001</v>
      </c>
      <c r="F16" s="75">
        <v>5977</v>
      </c>
      <c r="G16" s="75">
        <v>275.23</v>
      </c>
      <c r="H16" s="75">
        <v>10.585419999999999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3" t="s">
        <v>139</v>
      </c>
      <c r="B1" s="84"/>
      <c r="C1" s="84"/>
      <c r="D1" s="68"/>
      <c r="E1" s="139" t="s">
        <v>140</v>
      </c>
      <c r="F1" s="140"/>
      <c r="G1" s="140"/>
      <c r="H1" s="140"/>
    </row>
    <row r="2" spans="1:8" ht="15" customHeight="1">
      <c r="A2" s="67" t="s">
        <v>90</v>
      </c>
      <c r="B2" s="84"/>
      <c r="C2" s="84"/>
      <c r="D2" s="68"/>
      <c r="E2" s="68"/>
      <c r="F2" s="68"/>
      <c r="G2" s="68"/>
      <c r="H2" s="68"/>
    </row>
    <row r="3" spans="1:8" ht="15" customHeight="1">
      <c r="A3" s="70" t="s">
        <v>111</v>
      </c>
      <c r="B3" s="84"/>
      <c r="C3" s="84"/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70" t="s">
        <v>131</v>
      </c>
      <c r="B4" s="84"/>
      <c r="C4" s="84"/>
      <c r="D4" s="68" t="s">
        <v>119</v>
      </c>
      <c r="E4" s="74">
        <v>88.118750000000006</v>
      </c>
      <c r="F4" s="75">
        <v>302</v>
      </c>
      <c r="G4" s="75">
        <v>80.81</v>
      </c>
      <c r="H4" s="75">
        <v>7.3087499999999999</v>
      </c>
    </row>
    <row r="5" spans="1:8" ht="15" customHeight="1">
      <c r="D5" s="68"/>
      <c r="E5" s="74">
        <v>87.534779999999998</v>
      </c>
      <c r="F5" s="75">
        <v>780</v>
      </c>
      <c r="G5" s="75">
        <v>78.83</v>
      </c>
      <c r="H5" s="75">
        <v>8.7047799999999995</v>
      </c>
    </row>
    <row r="6" spans="1:8" ht="15" customHeight="1">
      <c r="D6" s="68"/>
      <c r="E6" s="74">
        <v>86.851669999999999</v>
      </c>
      <c r="F6" s="75">
        <v>1245</v>
      </c>
      <c r="G6" s="75">
        <v>77.72</v>
      </c>
      <c r="H6" s="75">
        <v>9.1316699999999997</v>
      </c>
    </row>
    <row r="7" spans="1:8" ht="15" customHeight="1">
      <c r="D7" s="68"/>
      <c r="E7" s="74">
        <v>86.832920000000001</v>
      </c>
      <c r="F7" s="75">
        <v>1726</v>
      </c>
      <c r="G7" s="75">
        <v>78.599999999999994</v>
      </c>
      <c r="H7" s="75">
        <v>8.23292</v>
      </c>
    </row>
    <row r="8" spans="1:8" ht="15" customHeight="1">
      <c r="D8" s="68"/>
      <c r="E8" s="74">
        <v>86.480419999999995</v>
      </c>
      <c r="F8" s="75">
        <v>2197</v>
      </c>
      <c r="G8" s="75">
        <v>78.790000000000006</v>
      </c>
      <c r="H8" s="75">
        <v>7.6904199999999996</v>
      </c>
    </row>
    <row r="9" spans="1:8" ht="15" customHeight="1">
      <c r="D9" s="68"/>
      <c r="E9" s="74">
        <v>85.987390000000005</v>
      </c>
      <c r="F9" s="75">
        <v>2673</v>
      </c>
      <c r="G9" s="75">
        <v>78.83</v>
      </c>
      <c r="H9" s="75">
        <v>7.1573900000000004</v>
      </c>
    </row>
    <row r="10" spans="1:8" ht="15" customHeight="1">
      <c r="D10" s="68"/>
      <c r="E10" s="74">
        <v>85.316249999999997</v>
      </c>
      <c r="F10" s="75">
        <v>3148</v>
      </c>
      <c r="G10" s="75">
        <v>78.180000000000007</v>
      </c>
      <c r="H10" s="75">
        <v>7.1362500000000004</v>
      </c>
    </row>
    <row r="11" spans="1:8" ht="15" customHeight="1">
      <c r="D11" s="68" t="s">
        <v>94</v>
      </c>
      <c r="E11" s="19">
        <v>85.178330000000003</v>
      </c>
      <c r="F11" s="20">
        <v>3618</v>
      </c>
      <c r="G11" s="20">
        <v>78.81</v>
      </c>
      <c r="H11" s="20">
        <v>6.3683300000000003</v>
      </c>
    </row>
    <row r="12" spans="1:8" ht="15" customHeight="1">
      <c r="D12" s="68"/>
      <c r="E12" s="19">
        <v>85.467079999999996</v>
      </c>
      <c r="F12" s="20">
        <v>4089</v>
      </c>
      <c r="G12" s="20">
        <v>79.290000000000006</v>
      </c>
      <c r="H12" s="20">
        <v>6.1770800000000001</v>
      </c>
    </row>
    <row r="13" spans="1:8" ht="15" customHeight="1">
      <c r="D13" s="68"/>
      <c r="E13" s="74">
        <v>84.771299999999997</v>
      </c>
      <c r="F13" s="75">
        <v>4562</v>
      </c>
      <c r="G13" s="75">
        <v>79.19</v>
      </c>
      <c r="H13" s="75">
        <v>5.5812999999999997</v>
      </c>
    </row>
    <row r="14" spans="1:8" ht="15" customHeight="1">
      <c r="D14" s="68"/>
      <c r="E14" s="74">
        <v>84.40522</v>
      </c>
      <c r="F14" s="75">
        <v>5040</v>
      </c>
      <c r="G14" s="75">
        <v>78.849999999999994</v>
      </c>
      <c r="H14" s="75">
        <v>5.5552200000000003</v>
      </c>
    </row>
    <row r="15" spans="1:8" ht="15" customHeight="1">
      <c r="D15" s="68"/>
      <c r="E15" s="74">
        <v>83.902079999999998</v>
      </c>
      <c r="F15" s="75">
        <v>5511</v>
      </c>
      <c r="G15" s="75">
        <v>78.5</v>
      </c>
      <c r="H15" s="75">
        <v>5.4020799999999998</v>
      </c>
    </row>
    <row r="16" spans="1:8" ht="15" customHeight="1">
      <c r="D16" s="68"/>
      <c r="E16" s="74">
        <v>83.538330000000002</v>
      </c>
      <c r="F16" s="75">
        <v>5984</v>
      </c>
      <c r="G16" s="75">
        <v>78.48</v>
      </c>
      <c r="H16" s="75">
        <v>5.0583299999999998</v>
      </c>
    </row>
    <row r="17" spans="4:8" ht="15" customHeight="1">
      <c r="D17" s="68"/>
      <c r="E17" s="74">
        <v>83.487499999999997</v>
      </c>
      <c r="F17" s="75">
        <v>6458</v>
      </c>
      <c r="G17" s="75">
        <v>77.95</v>
      </c>
      <c r="H17" s="75">
        <v>5.5374999999999996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67" t="s">
        <v>141</v>
      </c>
      <c r="B1" s="84"/>
      <c r="C1" s="84"/>
      <c r="D1" s="68"/>
      <c r="E1" s="139" t="s">
        <v>142</v>
      </c>
      <c r="F1" s="140"/>
      <c r="G1" s="140"/>
      <c r="H1" s="140"/>
    </row>
    <row r="2" spans="1:8" ht="15" customHeight="1">
      <c r="A2" s="67" t="s">
        <v>90</v>
      </c>
      <c r="B2" s="84"/>
      <c r="C2" s="84"/>
      <c r="D2" s="68"/>
      <c r="E2" s="68"/>
      <c r="F2" s="68"/>
      <c r="G2" s="68"/>
      <c r="H2" s="68"/>
    </row>
    <row r="3" spans="1:8" ht="15" customHeight="1">
      <c r="A3" s="70" t="s">
        <v>111</v>
      </c>
      <c r="B3" s="84"/>
      <c r="C3" s="84"/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70" t="s">
        <v>131</v>
      </c>
      <c r="B4" s="84"/>
      <c r="C4" s="84"/>
      <c r="D4" s="68" t="s">
        <v>143</v>
      </c>
      <c r="E4" s="74">
        <v>280.33580000000001</v>
      </c>
      <c r="F4" s="75">
        <v>301</v>
      </c>
      <c r="G4" s="75">
        <v>267.22000000000003</v>
      </c>
      <c r="H4" s="75">
        <v>13.115830000000001</v>
      </c>
    </row>
    <row r="5" spans="1:8" ht="15" customHeight="1">
      <c r="D5" s="68"/>
      <c r="E5" s="74">
        <v>280.00880000000001</v>
      </c>
      <c r="F5" s="75">
        <v>775</v>
      </c>
      <c r="G5" s="75">
        <v>266.14</v>
      </c>
      <c r="H5" s="75">
        <v>13.86875</v>
      </c>
    </row>
    <row r="6" spans="1:8" ht="15" customHeight="1">
      <c r="D6" s="68"/>
      <c r="E6" s="74">
        <v>279.64420000000001</v>
      </c>
      <c r="F6" s="75">
        <v>1247</v>
      </c>
      <c r="G6" s="75">
        <v>267.10000000000002</v>
      </c>
      <c r="H6" s="75">
        <v>12.544169999999999</v>
      </c>
    </row>
    <row r="7" spans="1:8" ht="15" customHeight="1">
      <c r="D7" s="68"/>
      <c r="E7" s="74">
        <v>279.61079999999998</v>
      </c>
      <c r="F7" s="75">
        <v>1720</v>
      </c>
      <c r="G7" s="75">
        <v>265.92</v>
      </c>
      <c r="H7" s="75">
        <v>13.69083</v>
      </c>
    </row>
    <row r="8" spans="1:8" ht="15" customHeight="1">
      <c r="D8" s="68"/>
      <c r="E8" s="74">
        <v>278.57130000000001</v>
      </c>
      <c r="F8" s="75">
        <v>2193</v>
      </c>
      <c r="G8" s="75">
        <v>266.07</v>
      </c>
      <c r="H8" s="75">
        <v>12.50131</v>
      </c>
    </row>
    <row r="9" spans="1:8" ht="15" customHeight="1">
      <c r="D9" s="68"/>
      <c r="E9" s="74">
        <v>278.19330000000002</v>
      </c>
      <c r="F9" s="75">
        <v>2669</v>
      </c>
      <c r="G9" s="75">
        <v>265.72000000000003</v>
      </c>
      <c r="H9" s="75">
        <v>12.473330000000001</v>
      </c>
    </row>
    <row r="10" spans="1:8" ht="15" customHeight="1">
      <c r="D10" s="68"/>
      <c r="E10" s="74">
        <v>277.92790000000002</v>
      </c>
      <c r="F10" s="75">
        <v>3155</v>
      </c>
      <c r="G10" s="75">
        <v>264.75</v>
      </c>
      <c r="H10" s="75">
        <v>13.17792</v>
      </c>
    </row>
    <row r="11" spans="1:8" ht="15" customHeight="1">
      <c r="D11" s="68" t="s">
        <v>138</v>
      </c>
      <c r="E11" s="91">
        <v>277.4787</v>
      </c>
      <c r="F11" s="74">
        <v>3615</v>
      </c>
      <c r="G11" s="75">
        <v>266.45</v>
      </c>
      <c r="H11" s="75">
        <v>11.028700000000001</v>
      </c>
    </row>
    <row r="12" spans="1:8" ht="15" customHeight="1">
      <c r="D12" s="68"/>
      <c r="E12" s="92">
        <v>277.46249999999998</v>
      </c>
      <c r="F12" s="75">
        <v>4088</v>
      </c>
      <c r="G12" s="75">
        <v>266.26</v>
      </c>
      <c r="H12" s="75">
        <v>11.202500000000001</v>
      </c>
    </row>
    <row r="13" spans="1:8" ht="15" customHeight="1">
      <c r="D13" s="68"/>
      <c r="E13" s="74">
        <v>277.62329999999997</v>
      </c>
      <c r="F13" s="75">
        <v>4562</v>
      </c>
      <c r="G13" s="75">
        <v>266.54000000000002</v>
      </c>
      <c r="H13" s="75">
        <v>11.08334</v>
      </c>
    </row>
    <row r="14" spans="1:8" ht="15" customHeight="1">
      <c r="D14" s="68"/>
      <c r="E14" s="74">
        <v>277.88670000000002</v>
      </c>
      <c r="F14" s="75">
        <v>5034</v>
      </c>
      <c r="G14" s="75">
        <v>266.54000000000002</v>
      </c>
      <c r="H14" s="75">
        <v>11.34667</v>
      </c>
    </row>
    <row r="15" spans="1:8" ht="15" customHeight="1">
      <c r="D15" s="68"/>
      <c r="E15" s="74">
        <v>277.58670000000001</v>
      </c>
      <c r="F15" s="75">
        <v>5508</v>
      </c>
      <c r="G15" s="75">
        <v>266.04000000000002</v>
      </c>
      <c r="H15" s="75">
        <v>11.546670000000001</v>
      </c>
    </row>
    <row r="16" spans="1:8" ht="15" customHeight="1">
      <c r="D16" s="68"/>
      <c r="E16" s="74">
        <v>277.52330000000001</v>
      </c>
      <c r="F16" s="75">
        <v>5980</v>
      </c>
      <c r="G16" s="75">
        <v>266.72000000000003</v>
      </c>
      <c r="H16" s="75">
        <v>10.803330000000001</v>
      </c>
    </row>
    <row r="17" spans="4:8" ht="15" customHeight="1">
      <c r="D17" s="68"/>
      <c r="E17" s="74">
        <v>277.46289999999999</v>
      </c>
      <c r="F17" s="75">
        <v>6455</v>
      </c>
      <c r="G17" s="75">
        <v>266.95</v>
      </c>
      <c r="H17" s="75">
        <v>10.51291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23"/>
  <sheetViews>
    <sheetView workbookViewId="0">
      <selection activeCell="L1" sqref="L1"/>
    </sheetView>
  </sheetViews>
  <sheetFormatPr defaultColWidth="11.19921875" defaultRowHeight="15" customHeight="1"/>
  <sheetData>
    <row r="1" spans="1:16" ht="15" customHeight="1">
      <c r="A1" s="67" t="s">
        <v>144</v>
      </c>
      <c r="B1" s="93"/>
      <c r="C1" s="93"/>
      <c r="D1" s="68"/>
      <c r="E1" s="139" t="s">
        <v>145</v>
      </c>
      <c r="F1" s="140"/>
      <c r="G1" s="140"/>
      <c r="H1" s="140"/>
      <c r="I1" s="93"/>
      <c r="J1" s="93"/>
      <c r="L1" s="93" t="s">
        <v>146</v>
      </c>
      <c r="P1" s="93"/>
    </row>
    <row r="2" spans="1:16" ht="15" customHeight="1">
      <c r="A2" s="67" t="s">
        <v>90</v>
      </c>
      <c r="B2" s="93"/>
      <c r="C2" s="93"/>
      <c r="D2" s="68"/>
      <c r="E2" s="68"/>
      <c r="F2" s="68"/>
      <c r="G2" s="68"/>
      <c r="H2" s="68"/>
      <c r="I2" s="93"/>
      <c r="J2" s="93"/>
      <c r="K2" s="93"/>
      <c r="L2" s="93"/>
      <c r="M2" s="93"/>
      <c r="N2" s="93"/>
      <c r="O2" s="93"/>
      <c r="P2" s="93"/>
    </row>
    <row r="3" spans="1:16" ht="15" customHeight="1">
      <c r="A3" s="70" t="s">
        <v>111</v>
      </c>
      <c r="B3" s="93"/>
      <c r="C3" s="93"/>
      <c r="D3" s="68"/>
      <c r="E3" s="94" t="s">
        <v>10</v>
      </c>
      <c r="F3" s="95" t="s">
        <v>11</v>
      </c>
      <c r="G3" s="95" t="s">
        <v>12</v>
      </c>
      <c r="H3" s="96" t="s">
        <v>147</v>
      </c>
      <c r="I3" s="93"/>
      <c r="J3" s="93"/>
      <c r="K3" s="93"/>
      <c r="L3" s="71" t="s">
        <v>10</v>
      </c>
      <c r="M3" s="72" t="s">
        <v>11</v>
      </c>
      <c r="N3" s="72" t="s">
        <v>12</v>
      </c>
      <c r="O3" s="97" t="s">
        <v>147</v>
      </c>
      <c r="P3" s="93"/>
    </row>
    <row r="4" spans="1:16" ht="15" customHeight="1">
      <c r="A4" s="70" t="s">
        <v>118</v>
      </c>
      <c r="B4" s="93"/>
      <c r="C4" s="93"/>
      <c r="D4" s="98" t="s">
        <v>66</v>
      </c>
      <c r="E4" s="99">
        <v>284.28735999999998</v>
      </c>
      <c r="F4" s="99">
        <v>310</v>
      </c>
      <c r="G4" s="99">
        <v>274.79000000000002</v>
      </c>
      <c r="H4" s="99">
        <v>9.4973500000000008</v>
      </c>
      <c r="I4" s="93"/>
      <c r="J4" s="93"/>
      <c r="K4" s="98" t="s">
        <v>21</v>
      </c>
      <c r="L4" s="100">
        <v>280.90352000000001</v>
      </c>
      <c r="M4" s="100">
        <v>389</v>
      </c>
      <c r="N4" s="100">
        <v>273.98</v>
      </c>
      <c r="O4" s="100">
        <v>6.9235100000000003</v>
      </c>
      <c r="P4" s="93"/>
    </row>
    <row r="5" spans="1:16" ht="15" customHeight="1">
      <c r="A5" s="93"/>
      <c r="B5" s="93"/>
      <c r="C5" s="93"/>
      <c r="D5" s="30"/>
      <c r="E5" s="100">
        <v>284.39792999999997</v>
      </c>
      <c r="F5" s="100">
        <v>784</v>
      </c>
      <c r="G5" s="100">
        <v>274.64999999999998</v>
      </c>
      <c r="H5" s="100">
        <v>9.7479399999999998</v>
      </c>
      <c r="I5" s="93"/>
      <c r="J5" s="93"/>
      <c r="K5" s="30"/>
      <c r="L5" s="100">
        <v>280.61011000000002</v>
      </c>
      <c r="M5" s="100">
        <v>861</v>
      </c>
      <c r="N5" s="100">
        <v>273.85000000000002</v>
      </c>
      <c r="O5" s="100">
        <v>6.7601000000000004</v>
      </c>
      <c r="P5" s="93"/>
    </row>
    <row r="6" spans="1:16" ht="15" customHeight="1">
      <c r="A6" s="93"/>
      <c r="B6" s="93"/>
      <c r="C6" s="93"/>
      <c r="D6" s="30"/>
      <c r="E6" s="100">
        <v>284.61770000000001</v>
      </c>
      <c r="F6" s="100">
        <v>1256</v>
      </c>
      <c r="G6" s="100">
        <v>274.29000000000002</v>
      </c>
      <c r="H6" s="100">
        <v>10.32769</v>
      </c>
      <c r="I6" s="93"/>
      <c r="J6" s="93"/>
      <c r="K6" s="30"/>
      <c r="L6" s="100">
        <v>280.64138000000003</v>
      </c>
      <c r="M6" s="100">
        <v>1334</v>
      </c>
      <c r="N6" s="100">
        <v>273.73</v>
      </c>
      <c r="O6" s="100">
        <v>6.9113699999999998</v>
      </c>
      <c r="P6" s="93"/>
    </row>
    <row r="7" spans="1:16" ht="15" customHeight="1">
      <c r="A7" s="93"/>
      <c r="B7" s="93"/>
      <c r="C7" s="93"/>
      <c r="D7" s="30"/>
      <c r="E7" s="100">
        <v>284.45625000000001</v>
      </c>
      <c r="F7" s="100">
        <v>3029</v>
      </c>
      <c r="G7" s="100">
        <v>274.14</v>
      </c>
      <c r="H7" s="100">
        <v>10.316240000000001</v>
      </c>
      <c r="I7" s="93"/>
      <c r="J7" s="93"/>
      <c r="K7" s="101"/>
      <c r="L7" s="100">
        <v>280.53034000000002</v>
      </c>
      <c r="M7" s="100">
        <v>1807</v>
      </c>
      <c r="N7" s="100">
        <v>273.64</v>
      </c>
      <c r="O7" s="100">
        <v>6.8903299999999996</v>
      </c>
      <c r="P7" s="93"/>
    </row>
    <row r="8" spans="1:16" ht="15" customHeight="1">
      <c r="A8" s="93"/>
      <c r="B8" s="93"/>
      <c r="C8" s="93"/>
      <c r="D8" s="30"/>
      <c r="E8" s="100">
        <v>284.30597999999998</v>
      </c>
      <c r="F8" s="100">
        <v>3504</v>
      </c>
      <c r="G8" s="100">
        <v>274.23</v>
      </c>
      <c r="H8" s="100">
        <v>10.07597</v>
      </c>
      <c r="I8" s="93"/>
      <c r="J8" s="93"/>
      <c r="K8" s="30"/>
      <c r="L8" s="100">
        <v>280.31126</v>
      </c>
      <c r="M8" s="100">
        <v>2282</v>
      </c>
      <c r="N8" s="100">
        <v>273.24</v>
      </c>
      <c r="O8" s="100">
        <v>7.0712700000000002</v>
      </c>
      <c r="P8" s="93"/>
    </row>
    <row r="9" spans="1:16" ht="15" customHeight="1">
      <c r="A9" s="93"/>
      <c r="B9" s="93"/>
      <c r="C9" s="93"/>
      <c r="D9" s="30"/>
      <c r="E9" s="100">
        <v>284.19069000000002</v>
      </c>
      <c r="F9" s="100">
        <v>3975</v>
      </c>
      <c r="G9" s="100">
        <v>274.08</v>
      </c>
      <c r="H9" s="100">
        <v>10.1107</v>
      </c>
      <c r="I9" s="93"/>
      <c r="J9" s="93"/>
      <c r="K9" s="101"/>
      <c r="L9" s="100">
        <v>280.29782</v>
      </c>
      <c r="M9" s="100">
        <v>2755</v>
      </c>
      <c r="N9" s="100">
        <v>273.24</v>
      </c>
      <c r="O9" s="100">
        <v>7.05783</v>
      </c>
      <c r="P9" s="93"/>
    </row>
    <row r="10" spans="1:16" ht="15" customHeight="1">
      <c r="A10" s="93"/>
      <c r="B10" s="93"/>
      <c r="C10" s="93"/>
      <c r="D10" s="101" t="s">
        <v>22</v>
      </c>
      <c r="E10" s="100">
        <v>283.68056999999999</v>
      </c>
      <c r="F10" s="100">
        <v>4448</v>
      </c>
      <c r="G10" s="100">
        <v>274.98</v>
      </c>
      <c r="H10" s="100">
        <v>8.7005599999999994</v>
      </c>
      <c r="I10" s="93"/>
      <c r="J10" s="93"/>
      <c r="K10" s="101" t="s">
        <v>148</v>
      </c>
      <c r="L10" s="100">
        <v>279.46215999999998</v>
      </c>
      <c r="M10" s="100">
        <v>3228</v>
      </c>
      <c r="N10" s="100">
        <v>273.56</v>
      </c>
      <c r="O10" s="100">
        <v>5.9021600000000003</v>
      </c>
      <c r="P10" s="93"/>
    </row>
    <row r="11" spans="1:16" ht="15" customHeight="1">
      <c r="A11" s="93"/>
      <c r="B11" s="93"/>
      <c r="C11" s="93"/>
      <c r="D11" s="102"/>
      <c r="E11" s="100">
        <v>283.47125</v>
      </c>
      <c r="F11" s="100">
        <v>4921</v>
      </c>
      <c r="G11" s="100">
        <v>275.38</v>
      </c>
      <c r="H11" s="100">
        <v>8.0912500000000005</v>
      </c>
      <c r="I11" s="93"/>
      <c r="J11" s="93"/>
      <c r="K11" s="30"/>
      <c r="L11" s="100">
        <v>279.45058</v>
      </c>
      <c r="M11" s="100">
        <v>3701</v>
      </c>
      <c r="N11" s="100">
        <v>273.81</v>
      </c>
      <c r="O11" s="100">
        <v>5.6405799999999999</v>
      </c>
      <c r="P11" s="93"/>
    </row>
    <row r="12" spans="1:16" ht="15" customHeight="1">
      <c r="A12" s="93"/>
      <c r="B12" s="93"/>
      <c r="C12" s="93"/>
      <c r="D12" s="30"/>
      <c r="E12" s="100">
        <v>283.27104000000003</v>
      </c>
      <c r="F12" s="100">
        <v>5396</v>
      </c>
      <c r="G12" s="100">
        <v>275.02</v>
      </c>
      <c r="H12" s="100">
        <v>8.2510499999999993</v>
      </c>
      <c r="I12" s="93"/>
      <c r="J12" s="93"/>
      <c r="K12" s="30"/>
      <c r="L12" s="100">
        <v>279.34431999999998</v>
      </c>
      <c r="M12" s="100">
        <v>4174</v>
      </c>
      <c r="N12" s="100">
        <v>273.75</v>
      </c>
      <c r="O12" s="100">
        <v>5.5943199999999997</v>
      </c>
      <c r="P12" s="93"/>
    </row>
    <row r="13" spans="1:16" ht="15" customHeight="1">
      <c r="A13" s="93"/>
      <c r="B13" s="93"/>
      <c r="C13" s="93"/>
      <c r="D13" s="30"/>
      <c r="E13" s="100">
        <v>283.16636</v>
      </c>
      <c r="F13" s="100">
        <v>5871</v>
      </c>
      <c r="G13" s="100">
        <v>274.54000000000002</v>
      </c>
      <c r="H13" s="100">
        <v>8.6263500000000004</v>
      </c>
      <c r="I13" s="93"/>
      <c r="J13" s="93"/>
      <c r="K13" s="30"/>
      <c r="L13" s="100">
        <v>279.19067999999999</v>
      </c>
      <c r="M13" s="100">
        <v>4648</v>
      </c>
      <c r="N13" s="100">
        <v>273.33</v>
      </c>
      <c r="O13" s="100">
        <v>5.86069</v>
      </c>
      <c r="P13" s="93"/>
    </row>
    <row r="14" spans="1:16" ht="15" customHeight="1">
      <c r="A14" s="93"/>
      <c r="B14" s="93"/>
      <c r="C14" s="93"/>
      <c r="D14" s="30"/>
      <c r="E14" s="100">
        <v>282.97147999999999</v>
      </c>
      <c r="F14" s="100">
        <v>6342</v>
      </c>
      <c r="G14" s="100">
        <v>274.23</v>
      </c>
      <c r="H14" s="100">
        <v>8.7414699999999996</v>
      </c>
      <c r="I14" s="93"/>
      <c r="J14" s="93"/>
      <c r="K14" s="30"/>
      <c r="L14" s="100">
        <v>279.28568000000001</v>
      </c>
      <c r="M14" s="100">
        <v>5121</v>
      </c>
      <c r="N14" s="100">
        <v>273.56</v>
      </c>
      <c r="O14" s="100">
        <v>5.7256799999999997</v>
      </c>
      <c r="P14" s="93"/>
    </row>
    <row r="15" spans="1:16" ht="15" customHeight="1">
      <c r="A15" s="93"/>
      <c r="B15" s="93"/>
      <c r="C15" s="93"/>
      <c r="D15" s="30"/>
      <c r="E15" s="100">
        <v>282.97874999999999</v>
      </c>
      <c r="F15" s="100">
        <v>6815</v>
      </c>
      <c r="G15" s="100">
        <v>274.25</v>
      </c>
      <c r="H15" s="100">
        <v>8.7287499999999998</v>
      </c>
      <c r="I15" s="93"/>
      <c r="J15" s="93"/>
      <c r="K15" s="101"/>
      <c r="L15" s="100">
        <v>279.19540000000001</v>
      </c>
      <c r="M15" s="100">
        <v>5595</v>
      </c>
      <c r="N15" s="100">
        <v>273.31</v>
      </c>
      <c r="O15" s="100">
        <v>5.8853999999999997</v>
      </c>
      <c r="P15" s="93"/>
    </row>
    <row r="16" spans="1:16" ht="15" customHeight="1">
      <c r="A16" s="93"/>
      <c r="B16" s="93"/>
      <c r="C16" s="93"/>
      <c r="D16" s="30"/>
      <c r="E16" s="100">
        <v>283.01184000000001</v>
      </c>
      <c r="F16" s="100">
        <v>7288</v>
      </c>
      <c r="G16" s="100">
        <v>274.02</v>
      </c>
      <c r="H16" s="100">
        <v>8.9918499999999995</v>
      </c>
      <c r="I16" s="93"/>
      <c r="J16" s="93"/>
      <c r="K16" s="93"/>
      <c r="L16" s="93"/>
      <c r="M16" s="93"/>
      <c r="N16" s="93"/>
      <c r="O16" s="93"/>
      <c r="P16" s="93"/>
    </row>
    <row r="17" spans="1:16" ht="15" customHeight="1">
      <c r="A17" s="93"/>
      <c r="B17" s="93"/>
      <c r="C17" s="93"/>
      <c r="D17" s="101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</row>
    <row r="18" spans="1:16" ht="15" customHeight="1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</row>
    <row r="19" spans="1:16" ht="15" customHeight="1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</row>
    <row r="20" spans="1:16" ht="15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</row>
    <row r="21" spans="1:16" ht="1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</row>
    <row r="22" spans="1:16" ht="15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</row>
    <row r="23" spans="1:16" ht="15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</row>
  </sheetData>
  <mergeCells count="1">
    <mergeCell ref="E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N23"/>
  <sheetViews>
    <sheetView workbookViewId="0">
      <selection activeCell="F12" sqref="F12:F13"/>
    </sheetView>
  </sheetViews>
  <sheetFormatPr defaultColWidth="11.19921875" defaultRowHeight="15" customHeight="1"/>
  <sheetData>
    <row r="1" spans="1:14" ht="15" customHeight="1">
      <c r="A1" s="67" t="s">
        <v>149</v>
      </c>
      <c r="B1" s="93"/>
      <c r="C1" s="93"/>
      <c r="E1" s="68" t="s">
        <v>150</v>
      </c>
      <c r="I1" s="93"/>
      <c r="K1" s="69" t="s">
        <v>151</v>
      </c>
    </row>
    <row r="2" spans="1:14" ht="15" customHeight="1">
      <c r="A2" s="67" t="s">
        <v>90</v>
      </c>
      <c r="B2" s="93"/>
      <c r="C2" s="93"/>
      <c r="D2" s="68"/>
      <c r="E2" s="68"/>
      <c r="F2" s="68"/>
      <c r="G2" s="68"/>
      <c r="H2" s="68"/>
      <c r="I2" s="93"/>
      <c r="J2" s="93"/>
      <c r="K2" s="93"/>
      <c r="L2" s="93"/>
      <c r="M2" s="93"/>
      <c r="N2" s="93"/>
    </row>
    <row r="3" spans="1:14" ht="15" customHeight="1">
      <c r="A3" s="70" t="s">
        <v>111</v>
      </c>
      <c r="B3" s="93"/>
      <c r="C3" s="93"/>
      <c r="D3" s="71"/>
      <c r="E3" s="72" t="s">
        <v>10</v>
      </c>
      <c r="F3" s="72" t="s">
        <v>11</v>
      </c>
      <c r="G3" s="72" t="s">
        <v>12</v>
      </c>
      <c r="H3" s="103" t="s">
        <v>152</v>
      </c>
      <c r="I3" s="93"/>
      <c r="J3" s="71"/>
      <c r="K3" s="72" t="s">
        <v>10</v>
      </c>
      <c r="L3" s="72" t="s">
        <v>11</v>
      </c>
      <c r="M3" s="72" t="s">
        <v>12</v>
      </c>
      <c r="N3" s="103" t="s">
        <v>152</v>
      </c>
    </row>
    <row r="4" spans="1:14" ht="15" customHeight="1">
      <c r="A4" s="70" t="s">
        <v>118</v>
      </c>
      <c r="B4" s="93"/>
      <c r="C4" s="93"/>
      <c r="D4" s="101" t="s">
        <v>153</v>
      </c>
      <c r="E4" s="100">
        <v>83.139539999999997</v>
      </c>
      <c r="F4" s="100">
        <v>362</v>
      </c>
      <c r="G4" s="100">
        <v>73.33</v>
      </c>
      <c r="H4" s="100">
        <v>9.8095400000000001</v>
      </c>
      <c r="I4" s="93"/>
      <c r="J4" s="101" t="s">
        <v>154</v>
      </c>
      <c r="K4" s="100">
        <v>73.900959999999998</v>
      </c>
      <c r="L4" s="100">
        <v>366</v>
      </c>
      <c r="M4" s="100">
        <v>69.16</v>
      </c>
      <c r="N4" s="100">
        <v>4.7409600000000003</v>
      </c>
    </row>
    <row r="5" spans="1:14" ht="15" customHeight="1">
      <c r="A5" s="93"/>
      <c r="B5" s="93"/>
      <c r="C5" s="93"/>
      <c r="D5" s="30"/>
      <c r="E5" s="100">
        <v>82.877049999999997</v>
      </c>
      <c r="F5" s="100">
        <v>832</v>
      </c>
      <c r="G5" s="100">
        <v>73.2</v>
      </c>
      <c r="H5" s="100">
        <v>9.6770499999999995</v>
      </c>
      <c r="I5" s="93"/>
      <c r="J5" s="30"/>
      <c r="K5" s="100">
        <v>74.003270000000001</v>
      </c>
      <c r="L5" s="100">
        <v>844</v>
      </c>
      <c r="M5" s="100">
        <v>69.08</v>
      </c>
      <c r="N5" s="100">
        <v>4.9232699999999996</v>
      </c>
    </row>
    <row r="6" spans="1:14" ht="15" customHeight="1">
      <c r="A6" s="93"/>
      <c r="B6" s="93"/>
      <c r="C6" s="93"/>
      <c r="D6" s="30"/>
      <c r="E6" s="100">
        <v>82.362880000000004</v>
      </c>
      <c r="F6" s="100">
        <v>1308</v>
      </c>
      <c r="G6" s="100">
        <v>72.92</v>
      </c>
      <c r="H6" s="100">
        <v>9.4428800000000006</v>
      </c>
      <c r="I6" s="93"/>
      <c r="J6" s="30"/>
      <c r="K6" s="100">
        <v>73.803079999999994</v>
      </c>
      <c r="L6" s="100">
        <v>1312</v>
      </c>
      <c r="M6" s="100">
        <v>69.37</v>
      </c>
      <c r="N6" s="100">
        <v>4.4330800000000004</v>
      </c>
    </row>
    <row r="7" spans="1:14" ht="15" customHeight="1">
      <c r="A7" s="93"/>
      <c r="B7" s="93"/>
      <c r="C7" s="93"/>
      <c r="D7" s="30"/>
      <c r="E7" s="100">
        <v>81.766620000000003</v>
      </c>
      <c r="F7" s="100">
        <v>1777</v>
      </c>
      <c r="G7" s="100">
        <v>72.17</v>
      </c>
      <c r="H7" s="100">
        <v>9.5966199999999997</v>
      </c>
      <c r="I7" s="93"/>
      <c r="J7" s="30"/>
      <c r="K7" s="100">
        <v>73.719040000000007</v>
      </c>
      <c r="L7" s="100">
        <v>1788</v>
      </c>
      <c r="M7" s="100">
        <v>69.06</v>
      </c>
      <c r="N7" s="100">
        <v>4.6590400000000001</v>
      </c>
    </row>
    <row r="8" spans="1:14" ht="15" customHeight="1">
      <c r="A8" s="93"/>
      <c r="B8" s="93"/>
      <c r="C8" s="93"/>
      <c r="D8" s="30"/>
      <c r="E8" s="100">
        <v>81.531499999999994</v>
      </c>
      <c r="F8" s="100">
        <v>2252</v>
      </c>
      <c r="G8" s="100">
        <v>71.81</v>
      </c>
      <c r="H8" s="100">
        <v>9.7215000000000007</v>
      </c>
      <c r="I8" s="93"/>
      <c r="J8" s="30"/>
      <c r="K8" s="100">
        <v>73.554150000000007</v>
      </c>
      <c r="L8" s="100">
        <v>2260</v>
      </c>
      <c r="M8" s="100">
        <v>69.27</v>
      </c>
      <c r="N8" s="100">
        <v>4.2841500000000003</v>
      </c>
    </row>
    <row r="9" spans="1:14" ht="15" customHeight="1">
      <c r="A9" s="93"/>
      <c r="B9" s="93"/>
      <c r="C9" s="93"/>
      <c r="D9" s="30"/>
      <c r="E9" s="100">
        <v>81.052750000000003</v>
      </c>
      <c r="F9" s="100">
        <v>2725</v>
      </c>
      <c r="G9" s="100">
        <v>71.14</v>
      </c>
      <c r="H9" s="100">
        <v>9.9127500000000008</v>
      </c>
      <c r="I9" s="93"/>
      <c r="J9" s="30"/>
      <c r="K9" s="100">
        <v>73.477170000000001</v>
      </c>
      <c r="L9" s="100">
        <v>2739</v>
      </c>
      <c r="M9" s="100">
        <v>68.7</v>
      </c>
      <c r="N9" s="100">
        <v>4.7771699999999999</v>
      </c>
    </row>
    <row r="10" spans="1:14" ht="15" customHeight="1">
      <c r="A10" s="93"/>
      <c r="B10" s="93"/>
      <c r="C10" s="93"/>
      <c r="D10" s="101" t="s">
        <v>148</v>
      </c>
      <c r="E10" s="20">
        <v>80.834000000000003</v>
      </c>
      <c r="F10" s="20">
        <v>3196</v>
      </c>
      <c r="G10" s="20">
        <v>73.239999999999995</v>
      </c>
      <c r="H10" s="20">
        <v>7.5940000000000003</v>
      </c>
      <c r="I10" s="93"/>
      <c r="J10" s="101" t="s">
        <v>155</v>
      </c>
      <c r="K10" s="20">
        <v>73.709810000000004</v>
      </c>
      <c r="L10" s="20">
        <v>3207</v>
      </c>
      <c r="M10" s="20">
        <v>70.63</v>
      </c>
      <c r="N10" s="20">
        <v>3.0798100000000002</v>
      </c>
    </row>
    <row r="11" spans="1:14" ht="15" customHeight="1">
      <c r="A11" s="93"/>
      <c r="B11" s="93"/>
      <c r="C11" s="93"/>
      <c r="D11" s="30"/>
      <c r="E11" s="100">
        <v>80.321629999999999</v>
      </c>
      <c r="F11" s="100">
        <v>3673</v>
      </c>
      <c r="G11" s="100">
        <v>73.64</v>
      </c>
      <c r="H11" s="100">
        <v>6.6816300000000002</v>
      </c>
      <c r="I11" s="93"/>
      <c r="J11" s="30"/>
      <c r="K11" s="100">
        <v>72.956599999999995</v>
      </c>
      <c r="L11" s="100">
        <v>3682</v>
      </c>
      <c r="M11" s="100">
        <v>70.34</v>
      </c>
      <c r="N11" s="100">
        <v>2.6166</v>
      </c>
    </row>
    <row r="12" spans="1:14" ht="15" customHeight="1">
      <c r="A12" s="93"/>
      <c r="B12" s="93"/>
      <c r="C12" s="93"/>
      <c r="D12" s="30"/>
      <c r="E12" s="100">
        <v>79.955200000000005</v>
      </c>
      <c r="F12" s="100">
        <v>4148</v>
      </c>
      <c r="G12" s="100">
        <v>72.760000000000005</v>
      </c>
      <c r="H12" s="100">
        <v>7.1951999999999998</v>
      </c>
      <c r="I12" s="93"/>
      <c r="J12" s="30"/>
      <c r="K12" s="100">
        <v>72.682310000000001</v>
      </c>
      <c r="L12" s="100">
        <v>4167</v>
      </c>
      <c r="M12" s="100">
        <v>70.23</v>
      </c>
      <c r="N12" s="100">
        <v>2.4523100000000002</v>
      </c>
    </row>
    <row r="13" spans="1:14" ht="15" customHeight="1">
      <c r="A13" s="93"/>
      <c r="B13" s="93"/>
      <c r="C13" s="93"/>
      <c r="D13" s="30"/>
      <c r="E13" s="100">
        <v>79.794880000000006</v>
      </c>
      <c r="F13" s="100">
        <v>4623</v>
      </c>
      <c r="G13" s="100">
        <v>72.95</v>
      </c>
      <c r="H13" s="100">
        <v>6.8448799999999999</v>
      </c>
      <c r="I13" s="93"/>
      <c r="J13" s="30"/>
      <c r="K13" s="100">
        <v>72.285380000000004</v>
      </c>
      <c r="L13" s="100">
        <v>4629</v>
      </c>
      <c r="M13" s="100">
        <v>70.23</v>
      </c>
      <c r="N13" s="100">
        <v>2.05538</v>
      </c>
    </row>
    <row r="14" spans="1:14" ht="15" customHeight="1">
      <c r="A14" s="93"/>
      <c r="B14" s="93"/>
      <c r="C14" s="93"/>
      <c r="D14" s="30"/>
      <c r="E14" s="100">
        <v>79.204130000000006</v>
      </c>
      <c r="F14" s="100">
        <v>5094</v>
      </c>
      <c r="G14" s="100">
        <v>72.040000000000006</v>
      </c>
      <c r="H14" s="100">
        <v>7.1641300000000001</v>
      </c>
      <c r="I14" s="93"/>
      <c r="J14" s="30"/>
      <c r="K14" s="100">
        <v>71.688519999999997</v>
      </c>
      <c r="L14" s="100">
        <v>5099</v>
      </c>
      <c r="M14" s="100">
        <v>69.88</v>
      </c>
      <c r="N14" s="100">
        <v>1.8085199999999999</v>
      </c>
    </row>
    <row r="15" spans="1:14" ht="15" customHeight="1">
      <c r="A15" s="93"/>
      <c r="B15" s="93"/>
      <c r="C15" s="93"/>
      <c r="D15" s="30"/>
      <c r="E15" s="100">
        <v>78.825950000000006</v>
      </c>
      <c r="F15" s="100">
        <v>5567</v>
      </c>
      <c r="G15" s="100">
        <v>72.319999999999993</v>
      </c>
      <c r="H15" s="100">
        <v>6.5059500000000003</v>
      </c>
      <c r="I15" s="93"/>
      <c r="J15" s="30"/>
      <c r="K15" s="100">
        <v>72.279380000000003</v>
      </c>
      <c r="L15" s="100">
        <v>5581</v>
      </c>
      <c r="M15" s="100">
        <v>70.28</v>
      </c>
      <c r="N15" s="100">
        <v>1.9993799999999999</v>
      </c>
    </row>
    <row r="16" spans="1:14" ht="15" customHeight="1">
      <c r="A16" s="93"/>
      <c r="B16" s="93"/>
      <c r="C16" s="93"/>
      <c r="D16" s="30"/>
      <c r="E16" s="100">
        <v>78.410790000000006</v>
      </c>
      <c r="F16" s="100">
        <v>6041</v>
      </c>
      <c r="G16" s="100">
        <v>72.209999999999994</v>
      </c>
      <c r="H16" s="100">
        <v>6.2007899999999996</v>
      </c>
      <c r="I16" s="93"/>
      <c r="J16" s="30"/>
      <c r="K16" s="100">
        <v>72.194689999999994</v>
      </c>
      <c r="L16" s="100">
        <v>6055</v>
      </c>
      <c r="M16" s="100">
        <v>68.97</v>
      </c>
      <c r="N16" s="100">
        <v>3.2246899999999998</v>
      </c>
    </row>
    <row r="17" spans="1:14" ht="15" customHeight="1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</row>
    <row r="18" spans="1:14" ht="15" customHeight="1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68"/>
    </row>
    <row r="19" spans="1:14" ht="15" customHeight="1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68"/>
    </row>
    <row r="20" spans="1:14" ht="15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68"/>
    </row>
    <row r="21" spans="1:14" ht="1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68"/>
    </row>
    <row r="22" spans="1:14" ht="15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68"/>
    </row>
    <row r="23" spans="1:14" ht="15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6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21"/>
  <sheetViews>
    <sheetView workbookViewId="0"/>
  </sheetViews>
  <sheetFormatPr defaultColWidth="11.19921875" defaultRowHeight="15" customHeight="1"/>
  <sheetData>
    <row r="1" spans="1:14" ht="15" customHeight="1">
      <c r="A1" s="67" t="s">
        <v>156</v>
      </c>
      <c r="B1" s="93"/>
      <c r="C1" s="93"/>
      <c r="D1" s="68"/>
      <c r="E1" s="142" t="s">
        <v>157</v>
      </c>
      <c r="F1" s="140"/>
      <c r="G1" s="140"/>
      <c r="H1" s="140"/>
      <c r="I1" s="140"/>
      <c r="K1" s="132" t="s">
        <v>158</v>
      </c>
    </row>
    <row r="2" spans="1:14" ht="15" customHeight="1">
      <c r="A2" s="67" t="s">
        <v>90</v>
      </c>
      <c r="B2" s="93"/>
      <c r="C2" s="93"/>
      <c r="D2" s="68"/>
      <c r="E2" s="68"/>
      <c r="F2" s="68"/>
      <c r="G2" s="68"/>
      <c r="H2" s="68"/>
      <c r="I2" s="93"/>
      <c r="J2" s="93"/>
      <c r="K2" s="93"/>
      <c r="L2" s="93"/>
      <c r="M2" s="93"/>
      <c r="N2" s="93"/>
    </row>
    <row r="3" spans="1:14" ht="15" customHeight="1">
      <c r="A3" s="70" t="s">
        <v>111</v>
      </c>
      <c r="B3" s="93"/>
      <c r="C3" s="93"/>
      <c r="D3" s="71"/>
      <c r="E3" s="72" t="s">
        <v>10</v>
      </c>
      <c r="F3" s="72" t="s">
        <v>11</v>
      </c>
      <c r="G3" s="72" t="s">
        <v>12</v>
      </c>
      <c r="H3" s="103" t="s">
        <v>152</v>
      </c>
      <c r="I3" s="93"/>
      <c r="J3" s="71"/>
      <c r="K3" s="72" t="s">
        <v>10</v>
      </c>
      <c r="L3" s="72" t="s">
        <v>11</v>
      </c>
      <c r="M3" s="72" t="s">
        <v>12</v>
      </c>
      <c r="N3" s="103" t="s">
        <v>152</v>
      </c>
    </row>
    <row r="4" spans="1:14" ht="15" customHeight="1">
      <c r="A4" s="70" t="s">
        <v>131</v>
      </c>
      <c r="B4" s="93"/>
      <c r="C4" s="93"/>
      <c r="D4" s="101" t="s">
        <v>65</v>
      </c>
      <c r="E4" s="104">
        <v>281.27210000000002</v>
      </c>
      <c r="F4" s="104">
        <v>384</v>
      </c>
      <c r="G4" s="104">
        <v>264.92</v>
      </c>
      <c r="H4" s="104">
        <v>16.3521</v>
      </c>
      <c r="I4" s="93"/>
      <c r="J4" s="101" t="s">
        <v>159</v>
      </c>
      <c r="K4" s="104">
        <v>278.2713</v>
      </c>
      <c r="L4" s="104">
        <v>313</v>
      </c>
      <c r="M4" s="104">
        <v>265.76</v>
      </c>
      <c r="N4" s="104">
        <v>12.51131</v>
      </c>
    </row>
    <row r="5" spans="1:14" ht="15" customHeight="1">
      <c r="A5" s="93"/>
      <c r="B5" s="93"/>
      <c r="C5" s="93"/>
      <c r="D5" s="30"/>
      <c r="E5" s="104">
        <v>280.98050000000001</v>
      </c>
      <c r="F5" s="104">
        <v>856</v>
      </c>
      <c r="G5" s="104">
        <v>264.64999999999998</v>
      </c>
      <c r="H5" s="104">
        <v>16.33052</v>
      </c>
      <c r="I5" s="93"/>
      <c r="J5" s="101"/>
      <c r="K5" s="104">
        <v>278.26240000000001</v>
      </c>
      <c r="L5" s="104">
        <v>788</v>
      </c>
      <c r="M5" s="104">
        <v>265.27999999999997</v>
      </c>
      <c r="N5" s="104">
        <v>12.98237</v>
      </c>
    </row>
    <row r="6" spans="1:14" ht="15" customHeight="1">
      <c r="A6" s="93"/>
      <c r="B6" s="93"/>
      <c r="C6" s="93"/>
      <c r="D6" s="30"/>
      <c r="E6" s="104">
        <v>280.79329999999999</v>
      </c>
      <c r="F6" s="104">
        <v>1330</v>
      </c>
      <c r="G6" s="104">
        <v>265.08999999999997</v>
      </c>
      <c r="H6" s="104">
        <v>15.703329999999999</v>
      </c>
      <c r="I6" s="93"/>
      <c r="J6" s="30"/>
      <c r="K6" s="104">
        <v>278.12869999999998</v>
      </c>
      <c r="L6" s="104">
        <v>1260</v>
      </c>
      <c r="M6" s="104">
        <v>265.32</v>
      </c>
      <c r="N6" s="104">
        <v>12.808680000000001</v>
      </c>
    </row>
    <row r="7" spans="1:14" ht="15" customHeight="1">
      <c r="A7" s="93"/>
      <c r="B7" s="93"/>
      <c r="C7" s="93"/>
      <c r="D7" s="101"/>
      <c r="E7" s="104">
        <v>280.76659999999998</v>
      </c>
      <c r="F7" s="104">
        <v>1804</v>
      </c>
      <c r="G7" s="104">
        <v>264.52</v>
      </c>
      <c r="H7" s="104">
        <v>16.246590000000001</v>
      </c>
      <c r="I7" s="93"/>
      <c r="J7" s="30"/>
      <c r="K7" s="104">
        <v>278.06610000000001</v>
      </c>
      <c r="L7" s="104">
        <v>1734</v>
      </c>
      <c r="M7" s="104">
        <v>265.45999999999998</v>
      </c>
      <c r="N7" s="104">
        <v>12.606059999999999</v>
      </c>
    </row>
    <row r="8" spans="1:14" ht="15" customHeight="1">
      <c r="A8" s="93"/>
      <c r="B8" s="93"/>
      <c r="C8" s="93"/>
      <c r="D8" s="30"/>
      <c r="E8" s="104">
        <v>280.62979999999999</v>
      </c>
      <c r="F8" s="104">
        <v>2276</v>
      </c>
      <c r="G8" s="104">
        <v>264.58999999999997</v>
      </c>
      <c r="H8" s="104">
        <v>16.039750000000002</v>
      </c>
      <c r="I8" s="93"/>
      <c r="J8" s="30"/>
      <c r="K8" s="104">
        <v>278.01139999999998</v>
      </c>
      <c r="L8" s="104">
        <v>2206</v>
      </c>
      <c r="M8" s="104">
        <v>265.32</v>
      </c>
      <c r="N8" s="104">
        <v>12.69134</v>
      </c>
    </row>
    <row r="9" spans="1:14" ht="15" customHeight="1">
      <c r="A9" s="93"/>
      <c r="B9" s="93"/>
      <c r="C9" s="93"/>
      <c r="D9" s="30"/>
      <c r="E9" s="104">
        <v>280.5641</v>
      </c>
      <c r="F9" s="104">
        <v>2750</v>
      </c>
      <c r="G9" s="104">
        <v>265.19</v>
      </c>
      <c r="H9" s="104">
        <v>15.3741</v>
      </c>
      <c r="I9" s="93"/>
      <c r="J9" s="101"/>
      <c r="K9" s="104">
        <v>277.93970000000002</v>
      </c>
      <c r="L9" s="104">
        <v>2680</v>
      </c>
      <c r="M9" s="104">
        <v>264.64999999999998</v>
      </c>
      <c r="N9" s="104">
        <v>13.28975</v>
      </c>
    </row>
    <row r="10" spans="1:14" ht="15" customHeight="1">
      <c r="A10" s="93"/>
      <c r="B10" s="93"/>
      <c r="C10" s="93"/>
      <c r="D10" s="101"/>
      <c r="E10" s="104">
        <v>280.45819999999998</v>
      </c>
      <c r="F10" s="104">
        <v>3224</v>
      </c>
      <c r="G10" s="104">
        <v>264.94</v>
      </c>
      <c r="H10" s="104">
        <v>15.51821</v>
      </c>
      <c r="I10" s="93"/>
      <c r="J10" s="101" t="s">
        <v>148</v>
      </c>
      <c r="K10" s="20">
        <v>277.27949999999998</v>
      </c>
      <c r="L10" s="20">
        <v>3152</v>
      </c>
      <c r="M10" s="20">
        <v>265.49</v>
      </c>
      <c r="N10" s="20">
        <v>11.789479999999999</v>
      </c>
    </row>
    <row r="11" spans="1:14" ht="15" customHeight="1">
      <c r="A11" s="93"/>
      <c r="B11" s="93"/>
      <c r="C11" s="93"/>
      <c r="D11" s="101" t="s">
        <v>67</v>
      </c>
      <c r="E11" s="104">
        <v>281.3415</v>
      </c>
      <c r="F11" s="104">
        <v>3696</v>
      </c>
      <c r="G11" s="104">
        <v>268.14</v>
      </c>
      <c r="H11" s="104">
        <v>13.20153</v>
      </c>
      <c r="I11" s="93"/>
      <c r="J11" s="101"/>
      <c r="K11" s="104">
        <v>276.90530000000001</v>
      </c>
      <c r="L11" s="104">
        <v>3624</v>
      </c>
      <c r="M11" s="104">
        <v>265.72000000000003</v>
      </c>
      <c r="N11" s="104">
        <v>11.18526</v>
      </c>
    </row>
    <row r="12" spans="1:14" ht="15" customHeight="1">
      <c r="A12" s="93"/>
      <c r="B12" s="93"/>
      <c r="C12" s="93"/>
      <c r="D12" s="30"/>
      <c r="E12" s="104">
        <v>281.07709999999997</v>
      </c>
      <c r="F12" s="104">
        <v>4171</v>
      </c>
      <c r="G12" s="104">
        <v>268.48</v>
      </c>
      <c r="H12" s="104">
        <v>12.597099999999999</v>
      </c>
      <c r="I12" s="93"/>
      <c r="J12" s="30"/>
      <c r="K12" s="104">
        <v>276.49579999999997</v>
      </c>
      <c r="L12" s="104">
        <v>4098</v>
      </c>
      <c r="M12" s="104">
        <v>265.36</v>
      </c>
      <c r="N12" s="104">
        <v>11.1358</v>
      </c>
    </row>
    <row r="13" spans="1:14" ht="15" customHeight="1">
      <c r="A13" s="93"/>
      <c r="B13" s="93"/>
      <c r="C13" s="93"/>
      <c r="D13" s="101"/>
      <c r="E13" s="104">
        <v>280.49619999999999</v>
      </c>
      <c r="F13" s="104">
        <v>4646</v>
      </c>
      <c r="G13" s="104">
        <v>267.87</v>
      </c>
      <c r="H13" s="104">
        <v>12.626150000000001</v>
      </c>
      <c r="I13" s="93"/>
      <c r="J13" s="30"/>
      <c r="K13" s="104">
        <v>276.38130000000001</v>
      </c>
      <c r="L13" s="104">
        <v>4571</v>
      </c>
      <c r="M13" s="104">
        <v>265.17</v>
      </c>
      <c r="N13" s="104">
        <v>11.211309999999999</v>
      </c>
    </row>
    <row r="14" spans="1:14" ht="15" customHeight="1">
      <c r="A14" s="93"/>
      <c r="B14" s="93"/>
      <c r="C14" s="93"/>
      <c r="D14" s="30"/>
      <c r="E14" s="104">
        <v>280.56720000000001</v>
      </c>
      <c r="F14" s="104">
        <v>5119</v>
      </c>
      <c r="G14" s="104">
        <v>267.79000000000002</v>
      </c>
      <c r="H14" s="104">
        <v>12.77717</v>
      </c>
      <c r="I14" s="93"/>
      <c r="J14" s="30"/>
      <c r="K14" s="104">
        <v>275.53210000000001</v>
      </c>
      <c r="L14" s="104">
        <v>5044</v>
      </c>
      <c r="M14" s="104">
        <v>264.82</v>
      </c>
      <c r="N14" s="104">
        <v>10.7121</v>
      </c>
    </row>
    <row r="15" spans="1:14" ht="15" customHeight="1">
      <c r="A15" s="93"/>
      <c r="B15" s="93"/>
      <c r="C15" s="93"/>
      <c r="D15" s="30"/>
      <c r="E15" s="104">
        <v>280.84589999999997</v>
      </c>
      <c r="F15" s="104">
        <v>5593</v>
      </c>
      <c r="G15" s="104">
        <v>267.7</v>
      </c>
      <c r="H15" s="104">
        <v>13.14589</v>
      </c>
      <c r="I15" s="93"/>
      <c r="J15" s="30"/>
      <c r="K15" s="104">
        <v>275.20740000000001</v>
      </c>
      <c r="L15" s="104">
        <v>5520</v>
      </c>
      <c r="M15" s="104">
        <v>264.69</v>
      </c>
      <c r="N15" s="104">
        <v>10.51736</v>
      </c>
    </row>
    <row r="16" spans="1:14" ht="15" customHeight="1">
      <c r="A16" s="93"/>
      <c r="B16" s="93"/>
      <c r="C16" s="93"/>
      <c r="D16" s="30"/>
      <c r="E16" s="104">
        <v>280.74470000000002</v>
      </c>
      <c r="F16" s="104">
        <v>6065</v>
      </c>
      <c r="G16" s="104">
        <v>267.95</v>
      </c>
      <c r="H16" s="104">
        <v>12.794729999999999</v>
      </c>
      <c r="I16" s="93"/>
      <c r="J16" s="101"/>
      <c r="K16" s="104">
        <v>275.5874</v>
      </c>
      <c r="L16" s="104">
        <v>5992</v>
      </c>
      <c r="M16" s="104">
        <v>264.54000000000002</v>
      </c>
      <c r="N16" s="104">
        <v>11.047359999999999</v>
      </c>
    </row>
    <row r="17" spans="1:14" ht="1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</row>
    <row r="18" spans="1:14" ht="1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</row>
    <row r="19" spans="1:14" ht="1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</row>
    <row r="20" spans="1:14" ht="1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</row>
    <row r="21" spans="1:14" ht="1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</row>
  </sheetData>
  <mergeCells count="1">
    <mergeCell ref="E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29"/>
  <sheetViews>
    <sheetView workbookViewId="0">
      <selection activeCell="H21" sqref="H21"/>
    </sheetView>
  </sheetViews>
  <sheetFormatPr defaultColWidth="11.19921875" defaultRowHeight="15" customHeight="1"/>
  <sheetData>
    <row r="1" spans="1:14" ht="15" customHeight="1">
      <c r="A1" s="67" t="s">
        <v>160</v>
      </c>
      <c r="B1" s="93"/>
      <c r="C1" s="93"/>
      <c r="E1" s="132" t="s">
        <v>161</v>
      </c>
      <c r="K1" s="132" t="s">
        <v>162</v>
      </c>
    </row>
    <row r="2" spans="1:14" ht="15" customHeight="1">
      <c r="A2" s="67" t="s">
        <v>90</v>
      </c>
      <c r="B2" s="93"/>
      <c r="C2" s="93"/>
      <c r="D2" s="68"/>
      <c r="E2" s="68"/>
      <c r="F2" s="68"/>
      <c r="G2" s="68"/>
      <c r="H2" s="68"/>
      <c r="I2" s="93"/>
      <c r="J2" s="93"/>
      <c r="K2" s="93"/>
      <c r="L2" s="93"/>
      <c r="M2" s="93"/>
      <c r="N2" s="93"/>
    </row>
    <row r="3" spans="1:14" ht="15" customHeight="1">
      <c r="A3" s="70" t="s">
        <v>111</v>
      </c>
      <c r="B3" s="93"/>
      <c r="C3" s="93"/>
      <c r="D3" s="71"/>
      <c r="E3" s="72" t="s">
        <v>10</v>
      </c>
      <c r="F3" s="72" t="s">
        <v>11</v>
      </c>
      <c r="G3" s="72" t="s">
        <v>12</v>
      </c>
      <c r="H3" s="103" t="s">
        <v>152</v>
      </c>
      <c r="I3" s="93"/>
      <c r="J3" s="71"/>
      <c r="K3" s="72" t="s">
        <v>10</v>
      </c>
      <c r="L3" s="72" t="s">
        <v>11</v>
      </c>
      <c r="M3" s="72" t="s">
        <v>12</v>
      </c>
      <c r="N3" s="103" t="s">
        <v>152</v>
      </c>
    </row>
    <row r="4" spans="1:14" ht="15" customHeight="1">
      <c r="A4" s="70" t="s">
        <v>131</v>
      </c>
      <c r="B4" s="93"/>
      <c r="C4" s="93"/>
      <c r="D4" s="101" t="s">
        <v>163</v>
      </c>
      <c r="E4" s="100">
        <v>74.080209999999994</v>
      </c>
      <c r="F4" s="100">
        <v>344</v>
      </c>
      <c r="G4" s="100">
        <v>67.349999999999994</v>
      </c>
      <c r="H4" s="100">
        <v>6.7302099999999996</v>
      </c>
      <c r="I4" s="93"/>
      <c r="J4" s="101" t="s">
        <v>148</v>
      </c>
      <c r="K4" s="100">
        <v>71.959569999999999</v>
      </c>
      <c r="L4" s="100">
        <v>400</v>
      </c>
      <c r="M4" s="100">
        <v>68.489999999999995</v>
      </c>
      <c r="N4" s="100">
        <v>3.46957</v>
      </c>
    </row>
    <row r="5" spans="1:14" ht="15" customHeight="1">
      <c r="A5" s="93"/>
      <c r="B5" s="93"/>
      <c r="C5" s="93"/>
      <c r="D5" s="30"/>
      <c r="E5" s="100">
        <v>73.845110000000005</v>
      </c>
      <c r="F5" s="100">
        <v>818</v>
      </c>
      <c r="G5" s="100">
        <v>67.94</v>
      </c>
      <c r="H5" s="100">
        <v>5.9051099999999996</v>
      </c>
      <c r="I5" s="93"/>
      <c r="J5" s="30"/>
      <c r="K5" s="100">
        <v>72.017449999999997</v>
      </c>
      <c r="L5" s="100">
        <v>873</v>
      </c>
      <c r="M5" s="100">
        <v>68.2</v>
      </c>
      <c r="N5" s="100">
        <v>3.81745</v>
      </c>
    </row>
    <row r="6" spans="1:14" ht="15" customHeight="1">
      <c r="A6" s="93"/>
      <c r="B6" s="93"/>
      <c r="C6" s="93"/>
      <c r="D6" s="30"/>
      <c r="E6" s="100">
        <v>74.134469999999993</v>
      </c>
      <c r="F6" s="100">
        <v>1283</v>
      </c>
      <c r="G6" s="100">
        <v>68.260000000000005</v>
      </c>
      <c r="H6" s="100">
        <v>5.8744699999999996</v>
      </c>
      <c r="I6" s="93"/>
      <c r="J6" s="101"/>
      <c r="K6" s="100">
        <v>71.772170000000003</v>
      </c>
      <c r="L6" s="100">
        <v>1340</v>
      </c>
      <c r="M6" s="100">
        <v>68.22</v>
      </c>
      <c r="N6" s="100">
        <v>3.5521699999999998</v>
      </c>
    </row>
    <row r="7" spans="1:14" ht="15" customHeight="1">
      <c r="A7" s="93"/>
      <c r="B7" s="93"/>
      <c r="C7" s="93"/>
      <c r="D7" s="101"/>
      <c r="E7" s="100">
        <v>74.105419999999995</v>
      </c>
      <c r="F7" s="100">
        <v>1762</v>
      </c>
      <c r="G7" s="100">
        <v>68.39</v>
      </c>
      <c r="H7" s="100">
        <v>5.7154199999999999</v>
      </c>
      <c r="I7" s="93"/>
      <c r="J7" s="30"/>
      <c r="K7" s="100">
        <v>71.68544</v>
      </c>
      <c r="L7" s="100">
        <v>1818</v>
      </c>
      <c r="M7" s="100">
        <v>67.97</v>
      </c>
      <c r="N7" s="100">
        <v>3.7154400000000001</v>
      </c>
    </row>
    <row r="8" spans="1:14" ht="15" customHeight="1">
      <c r="A8" s="93"/>
      <c r="B8" s="93"/>
      <c r="C8" s="93"/>
      <c r="D8" s="101"/>
      <c r="E8" s="100">
        <v>75.116810000000001</v>
      </c>
      <c r="F8" s="100">
        <v>2236</v>
      </c>
      <c r="G8" s="100">
        <v>69.209999999999994</v>
      </c>
      <c r="H8" s="100">
        <v>5.9068100000000001</v>
      </c>
      <c r="I8" s="93"/>
      <c r="J8" s="30"/>
      <c r="K8" s="100">
        <v>71.479129999999998</v>
      </c>
      <c r="L8" s="100">
        <v>2286</v>
      </c>
      <c r="M8" s="100">
        <v>67.75</v>
      </c>
      <c r="N8" s="100">
        <v>3.7291300000000001</v>
      </c>
    </row>
    <row r="9" spans="1:14" ht="15" customHeight="1">
      <c r="A9" s="93"/>
      <c r="B9" s="93"/>
      <c r="C9" s="93"/>
      <c r="D9" s="30"/>
      <c r="E9" s="100">
        <v>75.030429999999996</v>
      </c>
      <c r="F9" s="100">
        <v>2710</v>
      </c>
      <c r="G9" s="100">
        <v>69.02</v>
      </c>
      <c r="H9" s="100">
        <v>6.0104300000000004</v>
      </c>
      <c r="I9" s="93"/>
      <c r="J9" s="30"/>
      <c r="K9" s="100">
        <v>71.216520000000003</v>
      </c>
      <c r="L9" s="100">
        <v>2764</v>
      </c>
      <c r="M9" s="100">
        <v>67.08</v>
      </c>
      <c r="N9" s="100">
        <v>4.13652</v>
      </c>
    </row>
    <row r="10" spans="1:14" ht="15" customHeight="1">
      <c r="A10" s="93"/>
      <c r="B10" s="93"/>
      <c r="C10" s="93"/>
      <c r="D10" s="101" t="s">
        <v>148</v>
      </c>
      <c r="E10" s="100">
        <v>74.772130000000004</v>
      </c>
      <c r="F10" s="100">
        <v>3179</v>
      </c>
      <c r="G10" s="100">
        <v>69.709999999999994</v>
      </c>
      <c r="H10" s="100">
        <v>5.0621299999999998</v>
      </c>
      <c r="I10" s="93"/>
      <c r="J10" s="30"/>
      <c r="K10" s="100">
        <v>71.297830000000005</v>
      </c>
      <c r="L10" s="100">
        <v>3239</v>
      </c>
      <c r="M10" s="100">
        <v>67.5</v>
      </c>
      <c r="N10" s="100">
        <v>3.7978299999999998</v>
      </c>
    </row>
    <row r="11" spans="1:14" ht="15" customHeight="1">
      <c r="A11" s="93"/>
      <c r="B11" s="93"/>
      <c r="C11" s="93"/>
      <c r="D11" s="30"/>
      <c r="E11" s="100">
        <v>75.059790000000007</v>
      </c>
      <c r="F11" s="100">
        <v>3655</v>
      </c>
      <c r="G11" s="100">
        <v>70.34</v>
      </c>
      <c r="H11" s="100">
        <v>4.7197899999999997</v>
      </c>
      <c r="I11" s="93"/>
      <c r="J11" s="101" t="s">
        <v>164</v>
      </c>
      <c r="K11" s="20">
        <v>71.446089999999998</v>
      </c>
      <c r="L11" s="20">
        <v>3710</v>
      </c>
      <c r="M11" s="20">
        <v>68.41</v>
      </c>
      <c r="N11" s="20">
        <v>3.0360900000000002</v>
      </c>
    </row>
    <row r="12" spans="1:14" ht="15" customHeight="1">
      <c r="A12" s="93"/>
      <c r="B12" s="93"/>
      <c r="C12" s="93"/>
      <c r="D12" s="30"/>
      <c r="E12" s="100">
        <v>74.849789999999999</v>
      </c>
      <c r="F12" s="100">
        <v>4133</v>
      </c>
      <c r="G12" s="100">
        <v>70.11</v>
      </c>
      <c r="H12" s="100">
        <v>4.7397900000000002</v>
      </c>
      <c r="I12" s="93"/>
      <c r="J12" s="30"/>
      <c r="K12" s="20">
        <v>71.198040000000006</v>
      </c>
      <c r="L12" s="20">
        <v>4184</v>
      </c>
      <c r="M12" s="20">
        <v>68.59</v>
      </c>
      <c r="N12" s="20">
        <v>2.6080399999999999</v>
      </c>
    </row>
    <row r="13" spans="1:14" ht="15" customHeight="1">
      <c r="A13" s="93"/>
      <c r="B13" s="93"/>
      <c r="C13" s="93"/>
      <c r="D13" s="30"/>
      <c r="E13" s="100">
        <v>74.771699999999996</v>
      </c>
      <c r="F13" s="100">
        <v>4602</v>
      </c>
      <c r="G13" s="100">
        <v>69.459999999999994</v>
      </c>
      <c r="H13" s="100">
        <v>5.3117000000000001</v>
      </c>
      <c r="I13" s="93"/>
      <c r="J13" s="30"/>
      <c r="K13" s="100">
        <v>71.010869999999997</v>
      </c>
      <c r="L13" s="100">
        <v>4661</v>
      </c>
      <c r="M13" s="100">
        <v>68.87</v>
      </c>
      <c r="N13" s="100">
        <v>2.1408700000000001</v>
      </c>
    </row>
    <row r="14" spans="1:14" ht="15" customHeight="1">
      <c r="A14" s="93"/>
      <c r="B14" s="93"/>
      <c r="C14" s="93"/>
      <c r="D14" s="101"/>
      <c r="E14" s="100">
        <v>74.95617</v>
      </c>
      <c r="F14" s="100">
        <v>5078</v>
      </c>
      <c r="G14" s="100">
        <v>69.900000000000006</v>
      </c>
      <c r="H14" s="100">
        <v>5.0561699999999998</v>
      </c>
      <c r="I14" s="93"/>
      <c r="J14" s="30"/>
      <c r="K14" s="100">
        <v>71.011920000000003</v>
      </c>
      <c r="L14" s="100">
        <v>5135</v>
      </c>
      <c r="M14" s="100">
        <v>68.97</v>
      </c>
      <c r="N14" s="100">
        <v>2.0419200000000002</v>
      </c>
    </row>
    <row r="15" spans="1:14" ht="15" customHeight="1">
      <c r="A15" s="93"/>
      <c r="B15" s="93"/>
      <c r="C15" s="93"/>
      <c r="D15" s="30"/>
      <c r="E15" s="100">
        <v>74.641490000000005</v>
      </c>
      <c r="F15" s="100">
        <v>5548</v>
      </c>
      <c r="G15" s="100">
        <v>69.709999999999994</v>
      </c>
      <c r="H15" s="100">
        <v>4.9314900000000002</v>
      </c>
      <c r="I15" s="93"/>
      <c r="J15" s="30"/>
      <c r="K15" s="100">
        <v>70.798940000000002</v>
      </c>
      <c r="L15" s="100">
        <v>5598</v>
      </c>
      <c r="M15" s="100">
        <v>68.81</v>
      </c>
      <c r="N15" s="100">
        <v>1.9889399999999999</v>
      </c>
    </row>
    <row r="16" spans="1:14" ht="15" customHeight="1">
      <c r="A16" s="93"/>
      <c r="B16" s="93"/>
      <c r="C16" s="93"/>
      <c r="D16" s="30"/>
      <c r="E16" s="100">
        <v>74.585210000000004</v>
      </c>
      <c r="F16" s="100">
        <v>6024</v>
      </c>
      <c r="G16" s="100">
        <v>69.86</v>
      </c>
      <c r="H16" s="100">
        <v>4.7252099999999997</v>
      </c>
      <c r="I16" s="93"/>
      <c r="J16" s="30"/>
      <c r="K16" s="100">
        <v>70.572980000000001</v>
      </c>
      <c r="L16" s="100">
        <v>6077</v>
      </c>
      <c r="M16" s="100">
        <v>68.38</v>
      </c>
      <c r="N16" s="100">
        <v>2.1929799999999999</v>
      </c>
    </row>
    <row r="17" spans="1:14" ht="15" customHeight="1">
      <c r="A17" s="93"/>
      <c r="B17" s="93"/>
      <c r="C17" s="93"/>
      <c r="D17" s="93"/>
      <c r="E17" s="93"/>
      <c r="F17" s="93"/>
      <c r="G17" s="93"/>
      <c r="H17" s="93"/>
      <c r="I17" s="93"/>
      <c r="J17" s="30"/>
      <c r="K17" s="100">
        <v>70.559349999999995</v>
      </c>
      <c r="L17" s="100">
        <v>6554</v>
      </c>
      <c r="M17" s="100">
        <v>68.260000000000005</v>
      </c>
      <c r="N17" s="100">
        <v>2.29935</v>
      </c>
    </row>
    <row r="18" spans="1:14" ht="15" customHeight="1">
      <c r="A18" s="93"/>
      <c r="B18" s="93"/>
      <c r="C18" s="93"/>
      <c r="D18" s="93"/>
      <c r="E18" s="93"/>
      <c r="F18" s="93"/>
      <c r="G18" s="93"/>
      <c r="H18" s="93"/>
      <c r="I18" s="93"/>
      <c r="J18" s="30"/>
      <c r="K18" s="100">
        <v>70.510000000000005</v>
      </c>
      <c r="L18" s="100">
        <v>7026</v>
      </c>
      <c r="M18" s="100">
        <v>68.55</v>
      </c>
      <c r="N18" s="100">
        <v>1.96</v>
      </c>
    </row>
    <row r="19" spans="1:14" ht="15" customHeight="1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68"/>
    </row>
    <row r="20" spans="1:14" ht="15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68"/>
    </row>
    <row r="21" spans="1:14" ht="1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68"/>
    </row>
    <row r="22" spans="1:14" ht="1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</row>
    <row r="23" spans="1:14" ht="1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spans="1:14" ht="1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  <row r="25" spans="1:14" ht="1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</row>
    <row r="26" spans="1:14" ht="1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</row>
    <row r="27" spans="1:14" ht="1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</row>
    <row r="28" spans="1:14" ht="15.6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</row>
    <row r="29" spans="1:14" ht="15.6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165</v>
      </c>
      <c r="D1" s="68"/>
      <c r="E1" s="139" t="s">
        <v>166</v>
      </c>
      <c r="F1" s="140"/>
      <c r="G1" s="140"/>
      <c r="H1" s="140"/>
      <c r="J1" s="68"/>
      <c r="K1" s="139" t="s">
        <v>167</v>
      </c>
      <c r="L1" s="140"/>
      <c r="M1" s="140"/>
      <c r="N1" s="140"/>
    </row>
    <row r="2" spans="1:14" ht="15" customHeight="1">
      <c r="A2" s="81" t="s">
        <v>90</v>
      </c>
      <c r="D2" s="68"/>
      <c r="E2" s="105"/>
      <c r="F2" s="105"/>
      <c r="G2" s="105"/>
      <c r="H2" s="105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95</v>
      </c>
      <c r="E4" s="74">
        <v>277.43790000000001</v>
      </c>
      <c r="F4" s="75">
        <v>303</v>
      </c>
      <c r="G4" s="75">
        <v>264.14999999999998</v>
      </c>
      <c r="H4" s="75">
        <v>13.287929999999999</v>
      </c>
      <c r="J4" s="68" t="s">
        <v>119</v>
      </c>
      <c r="K4" s="74">
        <v>276.94959999999998</v>
      </c>
      <c r="L4" s="75">
        <v>302</v>
      </c>
      <c r="M4" s="75">
        <v>264.45999999999998</v>
      </c>
      <c r="N4" s="75">
        <v>12.489599999999999</v>
      </c>
    </row>
    <row r="5" spans="1:14" ht="15" customHeight="1">
      <c r="D5" s="68"/>
      <c r="E5" s="74">
        <v>277.36130000000003</v>
      </c>
      <c r="F5" s="75">
        <v>776</v>
      </c>
      <c r="G5" s="75">
        <v>264.17</v>
      </c>
      <c r="H5" s="75">
        <v>13.191240000000001</v>
      </c>
      <c r="J5" s="68"/>
      <c r="K5" s="74">
        <v>276.89519999999999</v>
      </c>
      <c r="L5" s="75">
        <v>776</v>
      </c>
      <c r="M5" s="75">
        <v>264.23</v>
      </c>
      <c r="N5" s="75">
        <v>12.66521</v>
      </c>
    </row>
    <row r="6" spans="1:14" ht="15" customHeight="1">
      <c r="D6" s="68"/>
      <c r="E6" s="74">
        <v>277.45749999999998</v>
      </c>
      <c r="F6" s="75">
        <v>1250</v>
      </c>
      <c r="G6" s="75">
        <v>264.45999999999998</v>
      </c>
      <c r="H6" s="75">
        <v>12.99751</v>
      </c>
      <c r="J6" s="68"/>
      <c r="K6" s="74">
        <v>276.87329999999997</v>
      </c>
      <c r="L6" s="75">
        <v>1249</v>
      </c>
      <c r="M6" s="75">
        <v>264.45999999999998</v>
      </c>
      <c r="N6" s="75">
        <v>12.41334</v>
      </c>
    </row>
    <row r="7" spans="1:14" ht="15" customHeight="1">
      <c r="D7" s="68"/>
      <c r="E7" s="74">
        <v>277.4796</v>
      </c>
      <c r="F7" s="75">
        <v>1722</v>
      </c>
      <c r="G7" s="75">
        <v>264.36</v>
      </c>
      <c r="H7" s="75">
        <v>13.119590000000001</v>
      </c>
      <c r="J7" s="68"/>
      <c r="K7" s="74">
        <v>276.73610000000002</v>
      </c>
      <c r="L7" s="75">
        <v>1722</v>
      </c>
      <c r="M7" s="75">
        <v>264.20999999999998</v>
      </c>
      <c r="N7" s="75">
        <v>12.5261</v>
      </c>
    </row>
    <row r="8" spans="1:14" ht="15" customHeight="1">
      <c r="D8" s="68"/>
      <c r="E8" s="74">
        <v>277.38170000000002</v>
      </c>
      <c r="F8" s="75">
        <v>2198</v>
      </c>
      <c r="G8" s="75">
        <v>264.23</v>
      </c>
      <c r="H8" s="75">
        <v>13.15165</v>
      </c>
      <c r="J8" s="68"/>
      <c r="K8" s="74">
        <v>276.75170000000003</v>
      </c>
      <c r="L8" s="75">
        <v>2194</v>
      </c>
      <c r="M8" s="75">
        <v>264.11</v>
      </c>
      <c r="N8" s="75">
        <v>12.64167</v>
      </c>
    </row>
    <row r="9" spans="1:14" ht="15" customHeight="1">
      <c r="D9" s="68"/>
      <c r="E9" s="74">
        <v>277.19209999999998</v>
      </c>
      <c r="F9" s="75">
        <v>2669</v>
      </c>
      <c r="G9" s="75">
        <v>263.52</v>
      </c>
      <c r="H9" s="75">
        <v>13.672090000000001</v>
      </c>
      <c r="J9" s="68"/>
      <c r="K9" s="74">
        <v>276.7088</v>
      </c>
      <c r="L9" s="75">
        <v>2668</v>
      </c>
      <c r="M9" s="75">
        <v>263.92</v>
      </c>
      <c r="N9" s="75">
        <v>12.788740000000001</v>
      </c>
    </row>
    <row r="10" spans="1:14" ht="15" customHeight="1">
      <c r="D10" s="68"/>
      <c r="E10" s="74">
        <v>277.07670000000002</v>
      </c>
      <c r="F10" s="75">
        <v>3145</v>
      </c>
      <c r="G10" s="75">
        <v>263.5</v>
      </c>
      <c r="H10" s="75">
        <v>13.57667</v>
      </c>
      <c r="J10" s="68"/>
      <c r="K10" s="74">
        <v>276.59129999999999</v>
      </c>
      <c r="L10" s="75">
        <v>3141</v>
      </c>
      <c r="M10" s="75">
        <v>266.97000000000003</v>
      </c>
      <c r="N10" s="75">
        <v>9.6212499999999999</v>
      </c>
    </row>
    <row r="11" spans="1:14" ht="15" customHeight="1">
      <c r="D11" s="68"/>
      <c r="E11" s="74">
        <v>276.86669999999998</v>
      </c>
      <c r="F11" s="75">
        <v>3617</v>
      </c>
      <c r="G11" s="75">
        <v>262.91000000000003</v>
      </c>
      <c r="H11" s="75">
        <v>13.956670000000001</v>
      </c>
      <c r="J11" s="68" t="s">
        <v>107</v>
      </c>
      <c r="K11" s="74">
        <v>276.79570000000001</v>
      </c>
      <c r="L11" s="75">
        <v>3615</v>
      </c>
      <c r="M11" s="75">
        <v>267.74</v>
      </c>
      <c r="N11" s="75">
        <v>9.0556599999999996</v>
      </c>
    </row>
    <row r="12" spans="1:14" ht="15" customHeight="1">
      <c r="D12" s="68" t="s">
        <v>119</v>
      </c>
      <c r="E12" s="19">
        <v>277.04169999999999</v>
      </c>
      <c r="F12" s="20">
        <v>4090</v>
      </c>
      <c r="G12" s="20">
        <v>263.31</v>
      </c>
      <c r="H12" s="20">
        <v>13.731669999999999</v>
      </c>
      <c r="J12" s="68"/>
      <c r="K12" s="74">
        <v>276.9178</v>
      </c>
      <c r="L12" s="75">
        <v>4091</v>
      </c>
      <c r="M12" s="75">
        <v>267.79000000000002</v>
      </c>
      <c r="N12" s="75">
        <v>9.1278199999999998</v>
      </c>
    </row>
    <row r="13" spans="1:14" ht="15" customHeight="1">
      <c r="D13" s="68"/>
      <c r="E13" s="74">
        <v>276.94959999999998</v>
      </c>
      <c r="F13" s="75">
        <v>4563</v>
      </c>
      <c r="G13" s="75">
        <v>264.45999999999998</v>
      </c>
      <c r="H13" s="75">
        <v>12.489599999999999</v>
      </c>
      <c r="J13" s="68"/>
      <c r="K13" s="74">
        <v>277.10329999999999</v>
      </c>
      <c r="L13" s="75">
        <v>4564</v>
      </c>
      <c r="M13" s="75">
        <v>267.95</v>
      </c>
      <c r="N13" s="75">
        <v>9.1533200000000008</v>
      </c>
    </row>
    <row r="14" spans="1:14" ht="15" customHeight="1">
      <c r="D14" s="68"/>
      <c r="E14" s="74">
        <v>276.89519999999999</v>
      </c>
      <c r="F14" s="75">
        <v>5037</v>
      </c>
      <c r="G14" s="75">
        <v>264.23</v>
      </c>
      <c r="H14" s="75">
        <v>12.66521</v>
      </c>
      <c r="J14" s="68"/>
      <c r="K14" s="74">
        <v>277.11790000000002</v>
      </c>
      <c r="L14" s="75">
        <v>5034</v>
      </c>
      <c r="M14" s="75">
        <v>268.39</v>
      </c>
      <c r="N14" s="75">
        <v>8.7279</v>
      </c>
    </row>
    <row r="15" spans="1:14" ht="15" customHeight="1">
      <c r="D15" s="68"/>
      <c r="E15" s="74">
        <v>276.87329999999997</v>
      </c>
      <c r="F15" s="75">
        <v>5510</v>
      </c>
      <c r="G15" s="75">
        <v>264.45999999999998</v>
      </c>
      <c r="H15" s="75">
        <v>12.41334</v>
      </c>
      <c r="J15" s="68"/>
      <c r="K15" s="74">
        <v>277.1583</v>
      </c>
      <c r="L15" s="75">
        <v>5509</v>
      </c>
      <c r="M15" s="75">
        <v>268.02</v>
      </c>
      <c r="N15" s="75">
        <v>9.1382700000000003</v>
      </c>
    </row>
    <row r="16" spans="1:14" ht="15" customHeight="1">
      <c r="D16" s="68"/>
      <c r="E16" s="74">
        <v>276.73610000000002</v>
      </c>
      <c r="F16" s="75">
        <v>5983</v>
      </c>
      <c r="G16" s="75">
        <v>264.20999999999998</v>
      </c>
      <c r="H16" s="75">
        <v>12.5261</v>
      </c>
      <c r="J16" s="68"/>
      <c r="K16" s="68"/>
      <c r="L16" s="68"/>
      <c r="M16" s="68"/>
      <c r="N16" s="68"/>
    </row>
    <row r="17" spans="4:14" ht="15" customHeight="1">
      <c r="D17" s="68"/>
      <c r="E17" s="74">
        <v>276.75170000000003</v>
      </c>
      <c r="F17" s="75">
        <v>6455</v>
      </c>
      <c r="G17" s="75">
        <v>264.11</v>
      </c>
      <c r="H17" s="75">
        <v>12.64167</v>
      </c>
      <c r="J17" s="68"/>
      <c r="K17" s="68"/>
      <c r="L17" s="68"/>
      <c r="M17" s="68"/>
      <c r="N17" s="68"/>
    </row>
    <row r="18" spans="4:14" ht="15" customHeight="1">
      <c r="D18" s="68"/>
      <c r="E18" s="74">
        <v>276.7088</v>
      </c>
      <c r="F18" s="75">
        <v>6929</v>
      </c>
      <c r="G18" s="75">
        <v>263.92</v>
      </c>
      <c r="H18" s="75">
        <v>12.788740000000001</v>
      </c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106" t="s">
        <v>168</v>
      </c>
      <c r="D1" s="68"/>
      <c r="E1" s="139" t="s">
        <v>169</v>
      </c>
      <c r="F1" s="140"/>
      <c r="G1" s="140"/>
      <c r="H1" s="140"/>
      <c r="J1" s="68"/>
      <c r="K1" s="139" t="s">
        <v>170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95</v>
      </c>
      <c r="E4" s="74">
        <v>279.47559999999999</v>
      </c>
      <c r="F4" s="75">
        <v>301</v>
      </c>
      <c r="G4" s="75">
        <v>258.73</v>
      </c>
      <c r="H4" s="75">
        <v>20.74558</v>
      </c>
      <c r="J4" s="68" t="s">
        <v>119</v>
      </c>
      <c r="K4" s="74">
        <v>276.11090000000002</v>
      </c>
      <c r="L4" s="75">
        <v>304</v>
      </c>
      <c r="M4" s="75">
        <v>263.45</v>
      </c>
      <c r="N4" s="75">
        <v>12.660880000000001</v>
      </c>
    </row>
    <row r="5" spans="1:14" ht="15" customHeight="1">
      <c r="D5" s="68"/>
      <c r="E5" s="74">
        <v>279.36270000000002</v>
      </c>
      <c r="F5" s="75">
        <v>775</v>
      </c>
      <c r="G5" s="75">
        <v>259.39999999999998</v>
      </c>
      <c r="H5" s="75">
        <v>19.96274</v>
      </c>
      <c r="J5" s="68"/>
      <c r="K5" s="74">
        <v>276.28489999999999</v>
      </c>
      <c r="L5" s="75">
        <v>776</v>
      </c>
      <c r="M5" s="75">
        <v>263.69</v>
      </c>
      <c r="N5" s="75">
        <v>12.594860000000001</v>
      </c>
    </row>
    <row r="6" spans="1:14" ht="15" customHeight="1">
      <c r="D6" s="68"/>
      <c r="E6" s="74">
        <v>279.12380000000002</v>
      </c>
      <c r="F6" s="75">
        <v>1249</v>
      </c>
      <c r="G6" s="75">
        <v>258.25</v>
      </c>
      <c r="H6" s="75">
        <v>20.873830000000002</v>
      </c>
      <c r="J6" s="68"/>
      <c r="K6" s="74">
        <v>276.4504</v>
      </c>
      <c r="L6" s="75">
        <v>1247</v>
      </c>
      <c r="M6" s="75">
        <v>263.73</v>
      </c>
      <c r="N6" s="75">
        <v>12.7204</v>
      </c>
    </row>
    <row r="7" spans="1:14" ht="15" customHeight="1">
      <c r="D7" s="68"/>
      <c r="E7" s="74">
        <v>279.22000000000003</v>
      </c>
      <c r="F7" s="75">
        <v>1722</v>
      </c>
      <c r="G7" s="75">
        <v>260.02999999999997</v>
      </c>
      <c r="H7" s="75">
        <v>19.190000000000001</v>
      </c>
      <c r="J7" s="68"/>
      <c r="K7" s="74">
        <v>276.57089999999999</v>
      </c>
      <c r="L7" s="75">
        <v>1723</v>
      </c>
      <c r="M7" s="75">
        <v>263.81</v>
      </c>
      <c r="N7" s="75">
        <v>12.760870000000001</v>
      </c>
    </row>
    <row r="8" spans="1:14" ht="15" customHeight="1">
      <c r="D8" s="68"/>
      <c r="E8" s="74">
        <v>279.30790000000002</v>
      </c>
      <c r="F8" s="75">
        <v>2195</v>
      </c>
      <c r="G8" s="75">
        <v>259.13</v>
      </c>
      <c r="H8" s="75">
        <v>20.177879999999998</v>
      </c>
      <c r="J8" s="68"/>
      <c r="K8" s="74">
        <v>276.82420000000002</v>
      </c>
      <c r="L8" s="75">
        <v>2258</v>
      </c>
      <c r="M8" s="75">
        <v>264.23</v>
      </c>
      <c r="N8" s="75">
        <v>12.59417</v>
      </c>
    </row>
    <row r="9" spans="1:14" ht="15" customHeight="1">
      <c r="D9" s="68"/>
      <c r="E9" s="74">
        <v>279.22000000000003</v>
      </c>
      <c r="F9" s="75">
        <v>2670</v>
      </c>
      <c r="G9" s="75">
        <v>259.17</v>
      </c>
      <c r="H9" s="75">
        <v>20.049990000000001</v>
      </c>
      <c r="J9" s="68" t="s">
        <v>107</v>
      </c>
      <c r="K9" s="74">
        <v>276.7704</v>
      </c>
      <c r="L9" s="75">
        <v>2734</v>
      </c>
      <c r="M9" s="75">
        <v>265.33999999999997</v>
      </c>
      <c r="N9" s="75">
        <v>11.43042</v>
      </c>
    </row>
    <row r="10" spans="1:14" ht="15" customHeight="1">
      <c r="D10" s="68" t="s">
        <v>138</v>
      </c>
      <c r="E10" s="74">
        <v>279.10910000000001</v>
      </c>
      <c r="F10" s="75">
        <v>3142</v>
      </c>
      <c r="G10" s="75">
        <v>260.17</v>
      </c>
      <c r="H10" s="75">
        <v>18.939080000000001</v>
      </c>
      <c r="J10" s="68"/>
      <c r="K10" s="74">
        <v>276.7192</v>
      </c>
      <c r="L10" s="75">
        <v>3207</v>
      </c>
      <c r="M10" s="75">
        <v>265.17</v>
      </c>
      <c r="N10" s="75">
        <v>11.54917</v>
      </c>
    </row>
    <row r="11" spans="1:14" ht="15" customHeight="1">
      <c r="D11" s="68"/>
      <c r="E11" s="74">
        <v>279.07029999999997</v>
      </c>
      <c r="F11" s="75">
        <v>3616</v>
      </c>
      <c r="G11" s="75">
        <v>260.07</v>
      </c>
      <c r="H11" s="75">
        <v>19.00029</v>
      </c>
      <c r="J11" s="68"/>
      <c r="K11" s="74">
        <v>276.8254</v>
      </c>
      <c r="L11" s="75">
        <v>3680</v>
      </c>
      <c r="M11" s="75">
        <v>265.45999999999998</v>
      </c>
      <c r="N11" s="75">
        <v>11.36542</v>
      </c>
    </row>
    <row r="12" spans="1:14" ht="15" customHeight="1">
      <c r="D12" s="68"/>
      <c r="E12" s="74">
        <v>279.1318</v>
      </c>
      <c r="F12" s="75">
        <v>4087</v>
      </c>
      <c r="G12" s="75">
        <v>260.36</v>
      </c>
      <c r="H12" s="75">
        <v>18.771830000000001</v>
      </c>
      <c r="J12" s="68"/>
      <c r="K12" s="74">
        <v>276.8261</v>
      </c>
      <c r="L12" s="75">
        <v>4154</v>
      </c>
      <c r="M12" s="75">
        <v>265.51</v>
      </c>
      <c r="N12" s="75">
        <v>11.316090000000001</v>
      </c>
    </row>
    <row r="13" spans="1:14" ht="15" customHeight="1">
      <c r="D13" s="68"/>
      <c r="E13" s="74">
        <v>279.06970000000001</v>
      </c>
      <c r="F13" s="75">
        <v>4564</v>
      </c>
      <c r="G13" s="75">
        <v>260.05</v>
      </c>
      <c r="H13" s="75">
        <v>19.01972</v>
      </c>
      <c r="J13" s="68"/>
      <c r="K13" s="74">
        <v>277.00439999999998</v>
      </c>
      <c r="L13" s="75">
        <v>4628</v>
      </c>
      <c r="M13" s="75">
        <v>265.95</v>
      </c>
      <c r="N13" s="75">
        <v>11.054349999999999</v>
      </c>
    </row>
    <row r="14" spans="1:14" ht="15" customHeight="1">
      <c r="D14" s="68"/>
      <c r="E14" s="74">
        <v>278.8494</v>
      </c>
      <c r="F14" s="75">
        <v>5035</v>
      </c>
      <c r="G14" s="75">
        <v>260.93</v>
      </c>
      <c r="H14" s="75">
        <v>17.919419999999999</v>
      </c>
      <c r="J14" s="68"/>
      <c r="K14" s="68"/>
      <c r="L14" s="68"/>
      <c r="M14" s="68"/>
      <c r="N14" s="68"/>
    </row>
    <row r="15" spans="1:14" ht="15" customHeight="1">
      <c r="D15" s="68"/>
      <c r="E15" s="74">
        <v>279.0652</v>
      </c>
      <c r="F15" s="75">
        <v>5509</v>
      </c>
      <c r="G15" s="75">
        <v>260.26</v>
      </c>
      <c r="H15" s="75">
        <v>18.805140000000002</v>
      </c>
      <c r="J15" s="68"/>
      <c r="K15" s="68"/>
      <c r="L15" s="68"/>
      <c r="M15" s="68"/>
      <c r="N15" s="68"/>
    </row>
    <row r="16" spans="1:14" ht="15" customHeight="1">
      <c r="D16" s="68"/>
      <c r="E16" s="74">
        <v>278.78559999999999</v>
      </c>
      <c r="F16" s="75">
        <v>5983</v>
      </c>
      <c r="G16" s="75">
        <v>260.27999999999997</v>
      </c>
      <c r="H16" s="75">
        <v>18.505590000000002</v>
      </c>
      <c r="J16" s="68"/>
      <c r="K16" s="68"/>
      <c r="L16" s="68"/>
      <c r="M16" s="68"/>
      <c r="N16" s="68"/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171</v>
      </c>
      <c r="D1" s="68"/>
      <c r="E1" s="139" t="s">
        <v>172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138</v>
      </c>
      <c r="E4" s="74">
        <v>274.52690000000001</v>
      </c>
      <c r="F4" s="75">
        <v>301</v>
      </c>
      <c r="G4" s="75">
        <v>267.72000000000003</v>
      </c>
      <c r="H4" s="75">
        <v>6.8068999999999997</v>
      </c>
    </row>
    <row r="5" spans="1:8" ht="15" customHeight="1">
      <c r="D5" s="68"/>
      <c r="E5" s="74">
        <v>274.65140000000002</v>
      </c>
      <c r="F5" s="75">
        <v>775</v>
      </c>
      <c r="G5" s="75">
        <v>267.47000000000003</v>
      </c>
      <c r="H5" s="75">
        <v>7.1813799999999999</v>
      </c>
    </row>
    <row r="6" spans="1:8" ht="15" customHeight="1">
      <c r="D6" s="68"/>
      <c r="E6" s="74">
        <v>274.64139999999998</v>
      </c>
      <c r="F6" s="75">
        <v>1249</v>
      </c>
      <c r="G6" s="75">
        <v>267.14</v>
      </c>
      <c r="H6" s="75">
        <v>7.5013699999999996</v>
      </c>
    </row>
    <row r="7" spans="1:8" ht="15" customHeight="1">
      <c r="D7" s="68"/>
      <c r="E7" s="74">
        <v>274.42590000000001</v>
      </c>
      <c r="F7" s="75">
        <v>1721</v>
      </c>
      <c r="G7" s="75">
        <v>267.16000000000003</v>
      </c>
      <c r="H7" s="75">
        <v>7.26586</v>
      </c>
    </row>
    <row r="8" spans="1:8" ht="15" customHeight="1">
      <c r="D8" s="68"/>
      <c r="E8" s="74">
        <v>274.31970000000001</v>
      </c>
      <c r="F8" s="75">
        <v>2197</v>
      </c>
      <c r="G8" s="75">
        <v>266.61</v>
      </c>
      <c r="H8" s="75">
        <v>7.70967</v>
      </c>
    </row>
    <row r="9" spans="1:8" ht="15" customHeight="1">
      <c r="D9" s="68"/>
      <c r="E9" s="74">
        <v>274.21280000000002</v>
      </c>
      <c r="F9" s="75">
        <v>2668</v>
      </c>
      <c r="G9" s="75">
        <v>266.8</v>
      </c>
      <c r="H9" s="75">
        <v>7.4127700000000001</v>
      </c>
    </row>
    <row r="10" spans="1:8" ht="15" customHeight="1">
      <c r="D10" s="68" t="s">
        <v>107</v>
      </c>
      <c r="E10" s="107">
        <v>274.21280000000002</v>
      </c>
      <c r="F10" s="75">
        <v>3142</v>
      </c>
      <c r="G10" s="75">
        <v>267.68</v>
      </c>
      <c r="H10" s="75">
        <v>6.5327700000000002</v>
      </c>
    </row>
    <row r="11" spans="1:8" ht="15" customHeight="1">
      <c r="D11" s="68"/>
      <c r="E11" s="92">
        <v>275.33550000000002</v>
      </c>
      <c r="F11" s="75">
        <v>3620</v>
      </c>
      <c r="G11" s="75">
        <v>269.20999999999998</v>
      </c>
      <c r="H11" s="75">
        <v>6.1255300000000004</v>
      </c>
    </row>
    <row r="12" spans="1:8" ht="15" customHeight="1">
      <c r="D12" s="68"/>
      <c r="E12" s="74">
        <v>275.32479999999998</v>
      </c>
      <c r="F12" s="75">
        <v>4091</v>
      </c>
      <c r="G12" s="75">
        <v>269.31</v>
      </c>
      <c r="H12" s="75">
        <v>6.0148200000000003</v>
      </c>
    </row>
    <row r="13" spans="1:8" ht="15" customHeight="1">
      <c r="D13" s="68"/>
      <c r="E13" s="74">
        <v>274.86619999999999</v>
      </c>
      <c r="F13" s="75">
        <v>4564</v>
      </c>
      <c r="G13" s="75">
        <v>269.42</v>
      </c>
      <c r="H13" s="75">
        <v>5.4462000000000002</v>
      </c>
    </row>
    <row r="14" spans="1:8" ht="15" customHeight="1">
      <c r="D14" s="68"/>
      <c r="E14" s="74">
        <v>274.11169999999998</v>
      </c>
      <c r="F14" s="75">
        <v>5039</v>
      </c>
      <c r="G14" s="75">
        <v>267.91000000000003</v>
      </c>
      <c r="H14" s="75">
        <v>6.2017199999999999</v>
      </c>
    </row>
    <row r="15" spans="1:8" ht="15" customHeight="1">
      <c r="D15" s="68"/>
      <c r="E15" s="74">
        <v>273.90899999999999</v>
      </c>
      <c r="F15" s="75">
        <v>5512</v>
      </c>
      <c r="G15" s="75">
        <v>267.45</v>
      </c>
      <c r="H15" s="75">
        <v>6.4589600000000003</v>
      </c>
    </row>
    <row r="16" spans="1:8" ht="15" customHeight="1">
      <c r="D16" s="68"/>
      <c r="E16" s="74">
        <v>273.96280000000002</v>
      </c>
      <c r="F16" s="75">
        <v>5985</v>
      </c>
      <c r="G16" s="75">
        <v>267.72000000000003</v>
      </c>
      <c r="H16" s="75">
        <v>6.2427599999999996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173</v>
      </c>
      <c r="D1" s="68"/>
      <c r="E1" s="139" t="s">
        <v>174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76.123949999999994</v>
      </c>
      <c r="F4" s="75">
        <v>301</v>
      </c>
      <c r="G4" s="75">
        <v>67.97</v>
      </c>
      <c r="H4" s="75">
        <v>8.15395</v>
      </c>
    </row>
    <row r="5" spans="1:8" ht="15" customHeight="1">
      <c r="D5" s="68"/>
      <c r="E5" s="74">
        <v>76.1541</v>
      </c>
      <c r="F5" s="75">
        <v>772</v>
      </c>
      <c r="G5" s="75">
        <v>68.489999999999995</v>
      </c>
      <c r="H5" s="75">
        <v>7.6641000000000004</v>
      </c>
    </row>
    <row r="6" spans="1:8" ht="15" customHeight="1">
      <c r="D6" s="68"/>
      <c r="E6" s="74">
        <v>76.339489999999998</v>
      </c>
      <c r="F6" s="75">
        <v>1239</v>
      </c>
      <c r="G6" s="75">
        <v>67.989999999999995</v>
      </c>
      <c r="H6" s="75">
        <v>8.3494899999999994</v>
      </c>
    </row>
    <row r="7" spans="1:8" ht="15" customHeight="1">
      <c r="D7" s="68"/>
      <c r="E7" s="74">
        <v>74.580259999999996</v>
      </c>
      <c r="F7" s="75">
        <v>1738</v>
      </c>
      <c r="G7" s="75">
        <v>65.739999999999995</v>
      </c>
      <c r="H7" s="75">
        <v>8.8402600000000007</v>
      </c>
    </row>
    <row r="8" spans="1:8" ht="15" customHeight="1">
      <c r="D8" s="68"/>
      <c r="E8" s="74">
        <v>74.208160000000007</v>
      </c>
      <c r="F8" s="75">
        <v>2210</v>
      </c>
      <c r="G8" s="75">
        <v>66.28</v>
      </c>
      <c r="H8" s="75">
        <v>7.9281600000000001</v>
      </c>
    </row>
    <row r="9" spans="1:8" ht="15" customHeight="1">
      <c r="D9" s="68"/>
      <c r="E9" s="74">
        <v>74.06053</v>
      </c>
      <c r="F9" s="75">
        <v>2685</v>
      </c>
      <c r="G9" s="75">
        <v>65.88</v>
      </c>
      <c r="H9" s="75">
        <v>8.1805299999999992</v>
      </c>
    </row>
    <row r="10" spans="1:8" ht="15" customHeight="1">
      <c r="D10" s="68"/>
      <c r="E10" s="74">
        <v>73.596320000000006</v>
      </c>
      <c r="F10" s="75">
        <v>3161</v>
      </c>
      <c r="G10" s="75">
        <v>65.38</v>
      </c>
      <c r="H10" s="75">
        <v>8.2163199999999996</v>
      </c>
    </row>
    <row r="11" spans="1:8" ht="15" customHeight="1">
      <c r="D11" s="68" t="s">
        <v>143</v>
      </c>
      <c r="E11" s="19">
        <v>73.763329999999996</v>
      </c>
      <c r="F11" s="20">
        <v>3633</v>
      </c>
      <c r="G11" s="20">
        <v>66.22</v>
      </c>
      <c r="H11" s="20">
        <v>7.5433300000000001</v>
      </c>
    </row>
    <row r="12" spans="1:8" ht="15" customHeight="1">
      <c r="D12" s="68"/>
      <c r="E12" s="19">
        <v>73.377099999999999</v>
      </c>
      <c r="F12" s="20">
        <v>4104</v>
      </c>
      <c r="G12" s="20">
        <v>65.88</v>
      </c>
      <c r="H12" s="20">
        <v>7.4970999999999997</v>
      </c>
    </row>
    <row r="13" spans="1:8" ht="15" customHeight="1">
      <c r="D13" s="68"/>
      <c r="E13" s="74">
        <v>73.325130000000001</v>
      </c>
      <c r="F13" s="75">
        <v>4581</v>
      </c>
      <c r="G13" s="75">
        <v>65.69</v>
      </c>
      <c r="H13" s="75">
        <v>7.6351300000000002</v>
      </c>
    </row>
    <row r="14" spans="1:8" ht="15" customHeight="1">
      <c r="D14" s="68"/>
      <c r="E14" s="74">
        <v>73.362110000000001</v>
      </c>
      <c r="F14" s="75">
        <v>5052</v>
      </c>
      <c r="G14" s="75">
        <v>66.2</v>
      </c>
      <c r="H14" s="75">
        <v>7.1621100000000002</v>
      </c>
    </row>
    <row r="15" spans="1:8" ht="15" customHeight="1">
      <c r="D15" s="68"/>
      <c r="E15" s="74">
        <v>73.036580000000001</v>
      </c>
      <c r="F15" s="75">
        <v>5524</v>
      </c>
      <c r="G15" s="75">
        <v>65.78</v>
      </c>
      <c r="H15" s="75">
        <v>7.2565799999999996</v>
      </c>
    </row>
    <row r="16" spans="1:8" ht="15" customHeight="1">
      <c r="D16" s="68"/>
      <c r="E16" s="74">
        <v>72.724469999999997</v>
      </c>
      <c r="F16" s="75">
        <v>6004</v>
      </c>
      <c r="G16" s="75">
        <v>65.510000000000005</v>
      </c>
      <c r="H16" s="75">
        <v>7.2144700000000004</v>
      </c>
    </row>
    <row r="17" spans="4:8" ht="15" customHeight="1">
      <c r="D17" s="68"/>
      <c r="E17" s="74">
        <v>72.622309999999999</v>
      </c>
      <c r="F17" s="75">
        <v>6469</v>
      </c>
      <c r="G17" s="75">
        <v>65.739999999999995</v>
      </c>
      <c r="H17" s="75">
        <v>6.8823100000000004</v>
      </c>
    </row>
    <row r="18" spans="4:8" ht="15" customHeight="1">
      <c r="D18" s="68"/>
      <c r="E18" s="74">
        <v>72.581050000000005</v>
      </c>
      <c r="F18" s="75">
        <v>6946</v>
      </c>
      <c r="G18" s="75">
        <v>65.459999999999994</v>
      </c>
      <c r="H18" s="75">
        <v>7.1210500000000003</v>
      </c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108" t="s">
        <v>175</v>
      </c>
      <c r="D1" s="68"/>
      <c r="E1" s="139" t="s">
        <v>176</v>
      </c>
      <c r="F1" s="140"/>
      <c r="G1" s="140"/>
      <c r="H1" s="140"/>
      <c r="J1" s="68"/>
      <c r="K1" s="139" t="s">
        <v>177</v>
      </c>
      <c r="L1" s="140"/>
      <c r="M1" s="140"/>
      <c r="N1" s="140"/>
    </row>
    <row r="2" spans="1:14" ht="15" customHeight="1">
      <c r="A2" s="108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109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109" t="s">
        <v>118</v>
      </c>
      <c r="D4" s="68" t="s">
        <v>95</v>
      </c>
      <c r="E4" s="74">
        <v>273.71690000000001</v>
      </c>
      <c r="F4" s="75">
        <v>305</v>
      </c>
      <c r="G4" s="75">
        <v>263.27</v>
      </c>
      <c r="H4" s="75">
        <v>10.446910000000001</v>
      </c>
      <c r="J4" s="68" t="s">
        <v>119</v>
      </c>
      <c r="K4" s="74">
        <v>273.14690000000002</v>
      </c>
      <c r="L4" s="75">
        <v>302</v>
      </c>
      <c r="M4" s="75">
        <v>265.20999999999998</v>
      </c>
      <c r="N4" s="75">
        <v>7.8868999999999998</v>
      </c>
    </row>
    <row r="5" spans="1:14" ht="15" customHeight="1">
      <c r="D5" s="68"/>
      <c r="E5" s="74">
        <v>273.82499999999999</v>
      </c>
      <c r="F5" s="75">
        <v>778</v>
      </c>
      <c r="G5" s="75">
        <v>263.08</v>
      </c>
      <c r="H5" s="75">
        <v>10.745010000000001</v>
      </c>
      <c r="J5" s="68"/>
      <c r="K5" s="74">
        <v>273.17349999999999</v>
      </c>
      <c r="L5" s="75">
        <v>777</v>
      </c>
      <c r="M5" s="75">
        <v>265.17</v>
      </c>
      <c r="N5" s="75">
        <v>7.9434500000000003</v>
      </c>
    </row>
    <row r="6" spans="1:14" ht="15" customHeight="1">
      <c r="D6" s="68"/>
      <c r="E6" s="74">
        <v>273.7921</v>
      </c>
      <c r="F6" s="75">
        <v>1249</v>
      </c>
      <c r="G6" s="75">
        <v>262.87</v>
      </c>
      <c r="H6" s="75">
        <v>10.92207</v>
      </c>
      <c r="J6" s="68"/>
      <c r="K6" s="74">
        <v>273.1497</v>
      </c>
      <c r="L6" s="75">
        <v>1249</v>
      </c>
      <c r="M6" s="75">
        <v>265.20999999999998</v>
      </c>
      <c r="N6" s="75">
        <v>7.9496700000000002</v>
      </c>
    </row>
    <row r="7" spans="1:14" ht="15" customHeight="1">
      <c r="D7" s="68"/>
      <c r="E7" s="74">
        <v>273.80529999999999</v>
      </c>
      <c r="F7" s="75">
        <v>1724</v>
      </c>
      <c r="G7" s="75">
        <v>262.37</v>
      </c>
      <c r="H7" s="75">
        <v>11.43533</v>
      </c>
      <c r="J7" s="68"/>
      <c r="K7" s="74">
        <v>273.03129999999999</v>
      </c>
      <c r="L7" s="75">
        <v>1722</v>
      </c>
      <c r="M7" s="75">
        <v>265.38</v>
      </c>
      <c r="N7" s="75">
        <v>7.6513299999999997</v>
      </c>
    </row>
    <row r="8" spans="1:14" ht="15" customHeight="1">
      <c r="D8" s="68"/>
      <c r="E8" s="74">
        <v>273.76519999999999</v>
      </c>
      <c r="F8" s="75">
        <v>2198</v>
      </c>
      <c r="G8" s="75">
        <v>262.24</v>
      </c>
      <c r="H8" s="75">
        <v>11.52519</v>
      </c>
      <c r="J8" s="68"/>
      <c r="K8" s="74">
        <v>273.0772</v>
      </c>
      <c r="L8" s="75">
        <v>2195</v>
      </c>
      <c r="M8" s="75">
        <v>265.17</v>
      </c>
      <c r="N8" s="75">
        <v>7.9072399999999998</v>
      </c>
    </row>
    <row r="9" spans="1:14" ht="15" customHeight="1">
      <c r="D9" s="68"/>
      <c r="E9" s="74">
        <v>273.7663</v>
      </c>
      <c r="F9" s="75">
        <v>2672</v>
      </c>
      <c r="G9" s="75">
        <v>262.29000000000002</v>
      </c>
      <c r="H9" s="75">
        <v>11.476319999999999</v>
      </c>
      <c r="J9" s="68"/>
      <c r="K9" s="74">
        <v>272.92669999999998</v>
      </c>
      <c r="L9" s="75">
        <v>2668</v>
      </c>
      <c r="M9" s="75">
        <v>265.17</v>
      </c>
      <c r="N9" s="75">
        <v>7.6366699999999996</v>
      </c>
    </row>
    <row r="10" spans="1:14" ht="15" customHeight="1">
      <c r="D10" s="68" t="s">
        <v>138</v>
      </c>
      <c r="E10" s="74">
        <v>273.59660000000002</v>
      </c>
      <c r="F10" s="75">
        <v>3143</v>
      </c>
      <c r="G10" s="75">
        <v>263.60000000000002</v>
      </c>
      <c r="H10" s="75">
        <v>9.9965399999999995</v>
      </c>
      <c r="J10" s="68" t="s">
        <v>114</v>
      </c>
      <c r="K10" s="19">
        <v>273.75310000000002</v>
      </c>
      <c r="L10" s="20">
        <v>3142</v>
      </c>
      <c r="M10" s="20">
        <v>266.57</v>
      </c>
      <c r="N10" s="20">
        <v>7.0930600000000004</v>
      </c>
    </row>
    <row r="11" spans="1:14" ht="15" customHeight="1">
      <c r="D11" s="68"/>
      <c r="E11" s="74">
        <v>273.54730000000001</v>
      </c>
      <c r="F11" s="75">
        <v>3618</v>
      </c>
      <c r="G11" s="75">
        <v>263.73</v>
      </c>
      <c r="H11" s="75">
        <v>9.8173200000000005</v>
      </c>
      <c r="J11" s="68"/>
      <c r="K11" s="74">
        <v>273.74059999999997</v>
      </c>
      <c r="L11" s="75">
        <v>3619</v>
      </c>
      <c r="M11" s="75">
        <v>267.07</v>
      </c>
      <c r="N11" s="75">
        <v>6.6405599999999998</v>
      </c>
    </row>
    <row r="12" spans="1:14" ht="15" customHeight="1">
      <c r="D12" s="68"/>
      <c r="E12" s="74">
        <v>273.6635</v>
      </c>
      <c r="F12" s="75">
        <v>4090</v>
      </c>
      <c r="G12" s="75">
        <v>263.70999999999998</v>
      </c>
      <c r="H12" s="75">
        <v>9.9534599999999998</v>
      </c>
      <c r="J12" s="68"/>
      <c r="K12" s="74">
        <v>273.74059999999997</v>
      </c>
      <c r="L12" s="75">
        <v>4092</v>
      </c>
      <c r="M12" s="75">
        <v>267.24</v>
      </c>
      <c r="N12" s="75">
        <v>6.4805599999999997</v>
      </c>
    </row>
    <row r="13" spans="1:14" ht="15" customHeight="1">
      <c r="D13" s="68"/>
      <c r="E13" s="74">
        <v>273.63569999999999</v>
      </c>
      <c r="F13" s="75">
        <v>4562</v>
      </c>
      <c r="G13" s="75">
        <v>263.52</v>
      </c>
      <c r="H13" s="75">
        <v>10.115679999999999</v>
      </c>
      <c r="J13" s="68"/>
      <c r="K13" s="74">
        <v>273.74059999999997</v>
      </c>
      <c r="L13" s="75">
        <v>4563</v>
      </c>
      <c r="M13" s="75">
        <v>267.41000000000003</v>
      </c>
      <c r="N13" s="75">
        <v>6.2705599999999997</v>
      </c>
    </row>
    <row r="14" spans="1:14" ht="15" customHeight="1">
      <c r="D14" s="68"/>
      <c r="E14" s="74">
        <v>273.53699999999998</v>
      </c>
      <c r="F14" s="75">
        <v>5036</v>
      </c>
      <c r="G14" s="75">
        <v>263.45999999999998</v>
      </c>
      <c r="H14" s="75">
        <v>10.07701</v>
      </c>
      <c r="J14" s="68"/>
      <c r="K14" s="74">
        <v>273.8569</v>
      </c>
      <c r="L14" s="75">
        <v>5037</v>
      </c>
      <c r="M14" s="75">
        <v>267.49</v>
      </c>
      <c r="N14" s="75">
        <v>6.3168600000000001</v>
      </c>
    </row>
    <row r="15" spans="1:14" ht="15" customHeight="1">
      <c r="D15" s="68"/>
      <c r="E15" s="74">
        <v>273.45929999999998</v>
      </c>
      <c r="F15" s="75">
        <v>5509</v>
      </c>
      <c r="G15" s="75">
        <v>263.25</v>
      </c>
      <c r="H15" s="75">
        <v>10.209339999999999</v>
      </c>
      <c r="J15" s="68"/>
      <c r="K15" s="74">
        <v>273.73289999999997</v>
      </c>
      <c r="L15" s="75">
        <v>5510</v>
      </c>
      <c r="M15" s="75">
        <v>267.54000000000002</v>
      </c>
      <c r="N15" s="75">
        <v>5.92286</v>
      </c>
    </row>
    <row r="16" spans="1:14" ht="15" customHeight="1">
      <c r="D16" s="68"/>
      <c r="E16" s="74">
        <v>273.4357</v>
      </c>
      <c r="F16" s="75">
        <v>5983</v>
      </c>
      <c r="G16" s="75">
        <v>263.10000000000002</v>
      </c>
      <c r="H16" s="75">
        <v>10.335660000000001</v>
      </c>
      <c r="J16" s="68"/>
      <c r="K16" s="74">
        <v>273.38510000000002</v>
      </c>
      <c r="L16" s="75">
        <v>5980</v>
      </c>
      <c r="M16" s="75">
        <v>267.51</v>
      </c>
      <c r="N16" s="75">
        <v>5.8451399999999998</v>
      </c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108" t="s">
        <v>178</v>
      </c>
      <c r="D1" s="68"/>
      <c r="E1" s="139" t="s">
        <v>179</v>
      </c>
      <c r="F1" s="140"/>
      <c r="G1" s="140"/>
      <c r="H1" s="140"/>
    </row>
    <row r="2" spans="1:8" ht="15" customHeight="1">
      <c r="A2" s="108" t="s">
        <v>90</v>
      </c>
      <c r="D2" s="68"/>
      <c r="E2" s="68"/>
      <c r="F2" s="68"/>
      <c r="G2" s="68"/>
      <c r="H2" s="68"/>
    </row>
    <row r="3" spans="1:8" ht="15" customHeight="1">
      <c r="A3" s="109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109" t="s">
        <v>118</v>
      </c>
      <c r="D4" s="68" t="s">
        <v>95</v>
      </c>
      <c r="E4" s="74">
        <v>55.755290000000002</v>
      </c>
      <c r="F4" s="75">
        <v>301</v>
      </c>
      <c r="G4" s="75">
        <v>50.14</v>
      </c>
      <c r="H4" s="75">
        <v>5.6152899999999999</v>
      </c>
    </row>
    <row r="5" spans="1:8" ht="15" customHeight="1">
      <c r="D5" s="68"/>
      <c r="E5" s="74">
        <v>56.00412</v>
      </c>
      <c r="F5" s="75">
        <v>778</v>
      </c>
      <c r="G5" s="75">
        <v>50.37</v>
      </c>
      <c r="H5" s="75">
        <v>5.6341200000000002</v>
      </c>
    </row>
    <row r="6" spans="1:8" ht="15" customHeight="1">
      <c r="D6" s="68"/>
      <c r="E6" s="74">
        <v>55.568820000000002</v>
      </c>
      <c r="F6" s="75">
        <v>1248</v>
      </c>
      <c r="G6" s="75">
        <v>50.18</v>
      </c>
      <c r="H6" s="75">
        <v>5.3888199999999999</v>
      </c>
    </row>
    <row r="7" spans="1:8" ht="15" customHeight="1">
      <c r="D7" s="68"/>
      <c r="E7" s="74">
        <v>55.882170000000002</v>
      </c>
      <c r="F7" s="75">
        <v>1720</v>
      </c>
      <c r="G7" s="75">
        <v>50.45</v>
      </c>
      <c r="H7" s="75">
        <v>5.4321700000000002</v>
      </c>
    </row>
    <row r="8" spans="1:8" ht="15" customHeight="1">
      <c r="D8" s="68"/>
      <c r="E8" s="74">
        <v>54.932830000000003</v>
      </c>
      <c r="F8" s="75">
        <v>2199</v>
      </c>
      <c r="G8" s="75">
        <v>49.03</v>
      </c>
      <c r="H8" s="75">
        <v>5.9028299999999998</v>
      </c>
    </row>
    <row r="9" spans="1:8" ht="15" customHeight="1">
      <c r="D9" s="68"/>
      <c r="E9" s="19">
        <v>55.137450000000001</v>
      </c>
      <c r="F9" s="20">
        <v>2669</v>
      </c>
      <c r="G9" s="20">
        <v>49.23</v>
      </c>
      <c r="H9" s="20">
        <v>5.9074499999999999</v>
      </c>
    </row>
    <row r="10" spans="1:8" ht="15" customHeight="1">
      <c r="D10" s="68" t="s">
        <v>138</v>
      </c>
      <c r="E10" s="19">
        <v>55.026299999999999</v>
      </c>
      <c r="F10" s="20">
        <v>3159</v>
      </c>
      <c r="G10" s="20">
        <v>49.61</v>
      </c>
      <c r="H10" s="20">
        <v>5.4162999999999997</v>
      </c>
    </row>
    <row r="11" spans="1:8" ht="15" customHeight="1">
      <c r="D11" s="68"/>
      <c r="E11" s="19">
        <v>55.026299999999999</v>
      </c>
      <c r="F11" s="20">
        <v>3613</v>
      </c>
      <c r="G11" s="20">
        <v>49.61</v>
      </c>
      <c r="H11" s="20">
        <v>5.4162999999999997</v>
      </c>
    </row>
    <row r="12" spans="1:8" ht="15" customHeight="1">
      <c r="D12" s="68"/>
      <c r="E12" s="74">
        <v>54.26587</v>
      </c>
      <c r="F12" s="75">
        <v>4100</v>
      </c>
      <c r="G12" s="75">
        <v>49.49</v>
      </c>
      <c r="H12" s="75">
        <v>4.7758700000000003</v>
      </c>
    </row>
    <row r="13" spans="1:8" ht="15" customHeight="1">
      <c r="D13" s="68"/>
      <c r="E13" s="74">
        <v>54.469360000000002</v>
      </c>
      <c r="F13" s="75">
        <v>4558</v>
      </c>
      <c r="G13" s="75">
        <v>49.85</v>
      </c>
      <c r="H13" s="75">
        <v>4.6193600000000004</v>
      </c>
    </row>
    <row r="14" spans="1:8" ht="15" customHeight="1">
      <c r="D14" s="68"/>
      <c r="E14" s="74">
        <v>55.351739999999999</v>
      </c>
      <c r="F14" s="75">
        <v>5023</v>
      </c>
      <c r="G14" s="75">
        <v>50.48</v>
      </c>
      <c r="H14" s="75">
        <v>4.87174</v>
      </c>
    </row>
    <row r="15" spans="1:8" ht="15" customHeight="1">
      <c r="D15" s="68"/>
      <c r="E15" s="68"/>
      <c r="F15" s="68"/>
      <c r="G15" s="68"/>
      <c r="H15" s="68"/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180</v>
      </c>
      <c r="D1" s="68"/>
      <c r="E1" s="139" t="s">
        <v>181</v>
      </c>
      <c r="F1" s="140"/>
      <c r="G1" s="140"/>
      <c r="H1" s="140"/>
    </row>
    <row r="2" spans="1:8" ht="15" customHeight="1">
      <c r="A2" s="81" t="s">
        <v>90</v>
      </c>
      <c r="D2" s="110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127</v>
      </c>
      <c r="D4" s="68" t="s">
        <v>113</v>
      </c>
      <c r="E4" s="74">
        <v>288.21960000000001</v>
      </c>
      <c r="F4" s="75">
        <v>301</v>
      </c>
      <c r="G4" s="75">
        <v>279.18</v>
      </c>
      <c r="H4" s="75">
        <v>9.0395900000000005</v>
      </c>
    </row>
    <row r="5" spans="1:8" ht="15" customHeight="1">
      <c r="D5" s="68"/>
      <c r="E5" s="74">
        <v>288.1121</v>
      </c>
      <c r="F5" s="75">
        <v>773</v>
      </c>
      <c r="G5" s="75">
        <v>279.35000000000002</v>
      </c>
      <c r="H5" s="75">
        <v>8.7620699999999996</v>
      </c>
    </row>
    <row r="6" spans="1:8" ht="15" customHeight="1">
      <c r="D6" s="68"/>
      <c r="E6" s="74">
        <v>288.15300000000002</v>
      </c>
      <c r="F6" s="75">
        <v>1247</v>
      </c>
      <c r="G6" s="75">
        <v>279.66000000000003</v>
      </c>
      <c r="H6" s="75">
        <v>8.4930400000000006</v>
      </c>
    </row>
    <row r="7" spans="1:8" ht="15" customHeight="1">
      <c r="D7" s="68"/>
      <c r="E7" s="74">
        <v>288.23790000000002</v>
      </c>
      <c r="F7" s="75">
        <v>1719</v>
      </c>
      <c r="G7" s="75">
        <v>279.31</v>
      </c>
      <c r="H7" s="75">
        <v>8.9279200000000003</v>
      </c>
    </row>
    <row r="8" spans="1:8" ht="15" customHeight="1">
      <c r="D8" s="68"/>
      <c r="E8" s="74">
        <v>287.76830000000001</v>
      </c>
      <c r="F8" s="75">
        <v>2194</v>
      </c>
      <c r="G8" s="75">
        <v>279.12</v>
      </c>
      <c r="H8" s="75">
        <v>8.6483299999999996</v>
      </c>
    </row>
    <row r="9" spans="1:8" ht="15" customHeight="1">
      <c r="D9" s="68"/>
      <c r="E9" s="74">
        <v>287.87459999999999</v>
      </c>
      <c r="F9" s="75">
        <v>2665</v>
      </c>
      <c r="G9" s="75">
        <v>278.26</v>
      </c>
      <c r="H9" s="75">
        <v>9.6145700000000005</v>
      </c>
    </row>
    <row r="10" spans="1:8" ht="15" customHeight="1">
      <c r="D10" s="68"/>
      <c r="E10" s="74">
        <v>287.44330000000002</v>
      </c>
      <c r="F10" s="75">
        <v>3139</v>
      </c>
      <c r="G10" s="75">
        <v>277.95</v>
      </c>
      <c r="H10" s="75">
        <v>9.4933200000000006</v>
      </c>
    </row>
    <row r="11" spans="1:8" ht="15" customHeight="1">
      <c r="D11" s="68" t="s">
        <v>119</v>
      </c>
      <c r="E11" s="19">
        <v>286.09550000000002</v>
      </c>
      <c r="F11" s="20">
        <v>3618</v>
      </c>
      <c r="G11" s="20">
        <v>278.91000000000003</v>
      </c>
      <c r="H11" s="20">
        <v>7.18553</v>
      </c>
    </row>
    <row r="12" spans="1:8" ht="15" customHeight="1">
      <c r="D12" s="68"/>
      <c r="E12" s="19">
        <v>286.1703</v>
      </c>
      <c r="F12" s="20">
        <v>4097</v>
      </c>
      <c r="G12" s="20">
        <v>278.74</v>
      </c>
      <c r="H12" s="20">
        <v>7.4302799999999998</v>
      </c>
    </row>
    <row r="13" spans="1:8" ht="15" customHeight="1">
      <c r="D13" s="68"/>
      <c r="E13" s="19">
        <v>286.11919999999998</v>
      </c>
      <c r="F13" s="20">
        <v>4563</v>
      </c>
      <c r="G13" s="20">
        <v>278.85000000000002</v>
      </c>
      <c r="H13" s="20">
        <v>7.2691800000000004</v>
      </c>
    </row>
    <row r="14" spans="1:8" ht="15" customHeight="1">
      <c r="D14" s="68"/>
      <c r="E14" s="74">
        <v>286.15050000000002</v>
      </c>
      <c r="F14" s="75">
        <v>5039</v>
      </c>
      <c r="G14" s="75">
        <v>278.12</v>
      </c>
      <c r="H14" s="75">
        <v>8.0305400000000002</v>
      </c>
    </row>
    <row r="15" spans="1:8" ht="15" customHeight="1">
      <c r="D15" s="68"/>
      <c r="E15" s="74">
        <v>286.1705</v>
      </c>
      <c r="F15" s="75">
        <v>5512</v>
      </c>
      <c r="G15" s="75">
        <v>277.95</v>
      </c>
      <c r="H15" s="75">
        <v>8.2205200000000005</v>
      </c>
    </row>
    <row r="16" spans="1:8" ht="15" customHeight="1">
      <c r="D16" s="68"/>
      <c r="E16" s="74">
        <v>286.16950000000003</v>
      </c>
      <c r="F16" s="75">
        <v>5983</v>
      </c>
      <c r="G16" s="75">
        <v>277.52999999999997</v>
      </c>
      <c r="H16" s="75">
        <v>8.6394599999999997</v>
      </c>
    </row>
    <row r="17" spans="4:8" ht="15" customHeight="1">
      <c r="D17" s="68"/>
      <c r="E17" s="74">
        <v>286.04840000000002</v>
      </c>
      <c r="F17" s="75">
        <v>6459</v>
      </c>
      <c r="G17" s="75">
        <v>277.93</v>
      </c>
      <c r="H17" s="75">
        <v>8.1183899999999998</v>
      </c>
    </row>
    <row r="18" spans="4:8" ht="15" customHeight="1">
      <c r="D18" s="68"/>
      <c r="E18" s="74">
        <v>286.81369999999998</v>
      </c>
      <c r="F18" s="75">
        <v>6927</v>
      </c>
      <c r="G18" s="75">
        <v>278.58</v>
      </c>
      <c r="H18" s="75">
        <v>8.2336899999999993</v>
      </c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182</v>
      </c>
      <c r="D1" s="68"/>
      <c r="E1" s="139" t="s">
        <v>183</v>
      </c>
      <c r="F1" s="140"/>
      <c r="G1" s="140"/>
      <c r="H1" s="140"/>
      <c r="J1" s="68"/>
      <c r="K1" s="139" t="s">
        <v>184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127</v>
      </c>
      <c r="D4" s="68" t="s">
        <v>113</v>
      </c>
      <c r="E4" s="74">
        <v>292.55779999999999</v>
      </c>
      <c r="F4" s="75">
        <v>301</v>
      </c>
      <c r="G4" s="75">
        <v>283.22000000000003</v>
      </c>
      <c r="H4" s="75">
        <v>9.3377499999999998</v>
      </c>
      <c r="J4" s="68" t="s">
        <v>138</v>
      </c>
      <c r="K4" s="74">
        <v>288.827</v>
      </c>
      <c r="L4" s="75">
        <v>301</v>
      </c>
      <c r="M4" s="75">
        <v>282.36</v>
      </c>
      <c r="N4" s="75">
        <v>6.4669699999999999</v>
      </c>
    </row>
    <row r="5" spans="1:14" ht="15" customHeight="1">
      <c r="D5" s="68"/>
      <c r="E5" s="74">
        <v>292.61</v>
      </c>
      <c r="F5" s="75">
        <v>775</v>
      </c>
      <c r="G5" s="75">
        <v>283.22000000000003</v>
      </c>
      <c r="H5" s="75">
        <v>9.39</v>
      </c>
      <c r="J5" s="68"/>
      <c r="K5" s="74">
        <v>288.99149999999997</v>
      </c>
      <c r="L5" s="75">
        <v>778</v>
      </c>
      <c r="M5" s="75">
        <v>282.17</v>
      </c>
      <c r="N5" s="75">
        <v>6.82151</v>
      </c>
    </row>
    <row r="6" spans="1:14" ht="15" customHeight="1">
      <c r="D6" s="68"/>
      <c r="E6" s="74">
        <v>292.48559999999998</v>
      </c>
      <c r="F6" s="75">
        <v>1244</v>
      </c>
      <c r="G6" s="75">
        <v>282.68</v>
      </c>
      <c r="H6" s="75">
        <v>9.8055699999999995</v>
      </c>
      <c r="J6" s="68"/>
      <c r="K6" s="74">
        <v>288.62259999999998</v>
      </c>
      <c r="L6" s="75">
        <v>1252</v>
      </c>
      <c r="M6" s="75">
        <v>282.08999999999997</v>
      </c>
      <c r="N6" s="75">
        <v>6.53261</v>
      </c>
    </row>
    <row r="7" spans="1:14" ht="15" customHeight="1">
      <c r="D7" s="68"/>
      <c r="E7" s="74">
        <v>292.22129999999999</v>
      </c>
      <c r="F7" s="75">
        <v>1719</v>
      </c>
      <c r="G7" s="75">
        <v>282.68</v>
      </c>
      <c r="H7" s="75">
        <v>9.5413399999999999</v>
      </c>
      <c r="J7" s="68"/>
      <c r="K7" s="74">
        <v>288.8159</v>
      </c>
      <c r="L7" s="75">
        <v>1721</v>
      </c>
      <c r="M7" s="75">
        <v>281.77999999999997</v>
      </c>
      <c r="N7" s="75">
        <v>7.0358700000000001</v>
      </c>
    </row>
    <row r="8" spans="1:14" ht="15" customHeight="1">
      <c r="D8" s="68"/>
      <c r="E8" s="74">
        <v>292.17309999999998</v>
      </c>
      <c r="F8" s="75">
        <v>2192</v>
      </c>
      <c r="G8" s="75">
        <v>282.86</v>
      </c>
      <c r="H8" s="75">
        <v>9.3131199999999996</v>
      </c>
      <c r="J8" s="68"/>
      <c r="K8" s="74">
        <v>288.70850000000002</v>
      </c>
      <c r="L8" s="75">
        <v>2198</v>
      </c>
      <c r="M8" s="75">
        <v>282.05</v>
      </c>
      <c r="N8" s="75">
        <v>6.6584899999999996</v>
      </c>
    </row>
    <row r="9" spans="1:14" ht="15" customHeight="1">
      <c r="D9" s="68"/>
      <c r="E9" s="74">
        <v>292.22089999999997</v>
      </c>
      <c r="F9" s="75">
        <v>2668</v>
      </c>
      <c r="G9" s="75">
        <v>284.47000000000003</v>
      </c>
      <c r="H9" s="75">
        <v>7.7509100000000002</v>
      </c>
      <c r="J9" s="68"/>
      <c r="K9" s="74">
        <v>288.64409999999998</v>
      </c>
      <c r="L9" s="75">
        <v>2673</v>
      </c>
      <c r="M9" s="75">
        <v>281.58999999999997</v>
      </c>
      <c r="N9" s="75">
        <v>7.0541299999999998</v>
      </c>
    </row>
    <row r="10" spans="1:14" ht="15" customHeight="1">
      <c r="D10" s="68" t="s">
        <v>114</v>
      </c>
      <c r="E10" s="74">
        <v>292.25479999999999</v>
      </c>
      <c r="F10" s="75">
        <v>3140</v>
      </c>
      <c r="G10" s="75">
        <v>284.85000000000002</v>
      </c>
      <c r="H10" s="75">
        <v>7.4047599999999996</v>
      </c>
      <c r="J10" s="68"/>
      <c r="K10" s="74">
        <v>287.93169999999998</v>
      </c>
      <c r="L10" s="75">
        <v>3146</v>
      </c>
      <c r="M10" s="75">
        <v>282.91000000000003</v>
      </c>
      <c r="N10" s="75">
        <v>5.0217000000000001</v>
      </c>
    </row>
    <row r="11" spans="1:14" ht="15" customHeight="1">
      <c r="D11" s="68"/>
      <c r="E11" s="74">
        <v>292.166</v>
      </c>
      <c r="F11" s="75">
        <v>3618</v>
      </c>
      <c r="G11" s="75">
        <v>285.02</v>
      </c>
      <c r="H11" s="75">
        <v>7.1460100000000004</v>
      </c>
      <c r="J11" s="68" t="s">
        <v>107</v>
      </c>
      <c r="K11" s="74">
        <v>287.98829999999998</v>
      </c>
      <c r="L11" s="75">
        <v>3619</v>
      </c>
      <c r="M11" s="75">
        <v>283.22000000000003</v>
      </c>
      <c r="N11" s="75">
        <v>4.7682599999999997</v>
      </c>
    </row>
    <row r="12" spans="1:14" ht="15" customHeight="1">
      <c r="D12" s="68"/>
      <c r="E12" s="74">
        <v>292.05270000000002</v>
      </c>
      <c r="F12" s="75">
        <v>4090</v>
      </c>
      <c r="G12" s="75">
        <v>284.89</v>
      </c>
      <c r="H12" s="75">
        <v>7.1627200000000002</v>
      </c>
      <c r="J12" s="68"/>
      <c r="K12" s="74">
        <v>287.98200000000003</v>
      </c>
      <c r="L12" s="75">
        <v>4094</v>
      </c>
      <c r="M12" s="75">
        <v>283.7</v>
      </c>
      <c r="N12" s="75">
        <v>4.2819399999999996</v>
      </c>
    </row>
    <row r="13" spans="1:14" ht="15" customHeight="1">
      <c r="D13" s="68"/>
      <c r="E13" s="74">
        <v>291.77890000000002</v>
      </c>
      <c r="F13" s="75">
        <v>4561</v>
      </c>
      <c r="G13" s="75">
        <v>284.75</v>
      </c>
      <c r="H13" s="75">
        <v>7.0288599999999999</v>
      </c>
      <c r="J13" s="68"/>
      <c r="K13" s="74">
        <v>288.11279999999999</v>
      </c>
      <c r="L13" s="75">
        <v>4565</v>
      </c>
      <c r="M13" s="75">
        <v>282.82</v>
      </c>
      <c r="N13" s="75">
        <v>5.2927499999999998</v>
      </c>
    </row>
    <row r="14" spans="1:14" ht="15" customHeight="1">
      <c r="D14" s="68"/>
      <c r="E14" s="74">
        <v>291.58420000000001</v>
      </c>
      <c r="F14" s="75">
        <v>5041</v>
      </c>
      <c r="G14" s="75">
        <v>284.7</v>
      </c>
      <c r="H14" s="75">
        <v>6.8842100000000004</v>
      </c>
      <c r="J14" s="68"/>
      <c r="K14" s="74">
        <v>288.26139999999998</v>
      </c>
      <c r="L14" s="75">
        <v>5038</v>
      </c>
      <c r="M14" s="75">
        <v>283.08999999999997</v>
      </c>
      <c r="N14" s="75">
        <v>5.1713699999999996</v>
      </c>
    </row>
    <row r="15" spans="1:14" ht="15" customHeight="1">
      <c r="D15" s="68"/>
      <c r="E15" s="74">
        <v>291.45229999999998</v>
      </c>
      <c r="F15" s="75">
        <v>5511</v>
      </c>
      <c r="G15" s="75">
        <v>284.10000000000002</v>
      </c>
      <c r="H15" s="75">
        <v>7.3522600000000002</v>
      </c>
      <c r="J15" s="68"/>
      <c r="K15" s="74">
        <v>287.59879999999998</v>
      </c>
      <c r="L15" s="75">
        <v>5509</v>
      </c>
      <c r="M15" s="75">
        <v>282.22000000000003</v>
      </c>
      <c r="N15" s="75">
        <v>5.3788200000000002</v>
      </c>
    </row>
    <row r="16" spans="1:14" ht="15" customHeight="1">
      <c r="D16" s="68"/>
      <c r="E16" s="68"/>
      <c r="F16" s="68"/>
      <c r="G16" s="68"/>
      <c r="H16" s="68"/>
      <c r="J16" s="68"/>
      <c r="K16" s="68"/>
      <c r="L16" s="68"/>
      <c r="M16" s="68"/>
      <c r="N16" s="68"/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185</v>
      </c>
      <c r="D1" s="68"/>
      <c r="E1" s="139" t="s">
        <v>186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127</v>
      </c>
      <c r="D4" s="68" t="s">
        <v>113</v>
      </c>
      <c r="E4" s="74">
        <v>63.816549999999999</v>
      </c>
      <c r="F4" s="75">
        <v>301</v>
      </c>
      <c r="G4" s="75">
        <v>59.41</v>
      </c>
      <c r="H4" s="75">
        <v>4.4065500000000002</v>
      </c>
    </row>
    <row r="5" spans="1:8" ht="15" customHeight="1">
      <c r="D5" s="68"/>
      <c r="E5" s="74">
        <v>63.537680000000002</v>
      </c>
      <c r="F5" s="75">
        <v>768</v>
      </c>
      <c r="G5" s="75">
        <v>59.11</v>
      </c>
      <c r="H5" s="75">
        <v>4.4276799999999996</v>
      </c>
    </row>
    <row r="6" spans="1:8" ht="15" customHeight="1">
      <c r="D6" s="68"/>
      <c r="E6" s="74">
        <v>63.563749999999999</v>
      </c>
      <c r="F6" s="75">
        <v>1245</v>
      </c>
      <c r="G6" s="75">
        <v>59.54</v>
      </c>
      <c r="H6" s="75">
        <v>4.0237499999999997</v>
      </c>
    </row>
    <row r="7" spans="1:8" ht="15" customHeight="1">
      <c r="D7" s="68"/>
      <c r="E7" s="74">
        <v>63.335180000000001</v>
      </c>
      <c r="F7" s="75">
        <v>1722</v>
      </c>
      <c r="G7" s="75">
        <v>59.16</v>
      </c>
      <c r="H7" s="75">
        <v>4.1751800000000001</v>
      </c>
    </row>
    <row r="8" spans="1:8" ht="15" customHeight="1">
      <c r="D8" s="68"/>
      <c r="E8" s="74">
        <v>63.625889999999998</v>
      </c>
      <c r="F8" s="75">
        <v>2197</v>
      </c>
      <c r="G8" s="75">
        <v>59.16</v>
      </c>
      <c r="H8" s="75">
        <v>4.4658899999999999</v>
      </c>
    </row>
    <row r="9" spans="1:8" ht="15" customHeight="1">
      <c r="D9" s="68"/>
      <c r="E9" s="74">
        <v>63.36618</v>
      </c>
      <c r="F9" s="75">
        <v>2672</v>
      </c>
      <c r="G9" s="75">
        <v>58.97</v>
      </c>
      <c r="H9" s="75">
        <v>4.3961800000000002</v>
      </c>
    </row>
    <row r="10" spans="1:8" ht="15" customHeight="1">
      <c r="D10" s="68" t="s">
        <v>114</v>
      </c>
      <c r="E10" s="74">
        <v>63.770180000000003</v>
      </c>
      <c r="F10" s="75">
        <v>3137</v>
      </c>
      <c r="G10" s="75">
        <v>59.98</v>
      </c>
      <c r="H10" s="75">
        <v>3.7901799999999999</v>
      </c>
    </row>
    <row r="11" spans="1:8" ht="15" customHeight="1">
      <c r="D11" s="68"/>
      <c r="E11" s="74">
        <v>63.521790000000003</v>
      </c>
      <c r="F11" s="75">
        <v>3608</v>
      </c>
      <c r="G11" s="75">
        <v>60.19</v>
      </c>
      <c r="H11" s="75">
        <v>3.3317899999999998</v>
      </c>
    </row>
    <row r="12" spans="1:8" ht="15" customHeight="1">
      <c r="D12" s="68"/>
      <c r="E12" s="74">
        <v>63.371070000000003</v>
      </c>
      <c r="F12" s="75">
        <v>4081</v>
      </c>
      <c r="G12" s="75">
        <v>60.15</v>
      </c>
      <c r="H12" s="75">
        <v>3.2210700000000001</v>
      </c>
    </row>
    <row r="13" spans="1:8" ht="15" customHeight="1">
      <c r="D13" s="68"/>
      <c r="E13" s="74">
        <v>63.164110000000001</v>
      </c>
      <c r="F13" s="75">
        <v>4569</v>
      </c>
      <c r="G13" s="75">
        <v>59.89</v>
      </c>
      <c r="H13" s="75">
        <v>3.2741099999999999</v>
      </c>
    </row>
    <row r="14" spans="1:8" ht="15" customHeight="1">
      <c r="D14" s="68"/>
      <c r="E14" s="74">
        <v>63.154359999999997</v>
      </c>
      <c r="F14" s="75">
        <v>5027</v>
      </c>
      <c r="G14" s="75">
        <v>59.85</v>
      </c>
      <c r="H14" s="75">
        <v>3.30436</v>
      </c>
    </row>
    <row r="15" spans="1:8" ht="15" customHeight="1">
      <c r="D15" s="68"/>
      <c r="E15" s="74">
        <v>63.134639999999997</v>
      </c>
      <c r="F15" s="75">
        <v>5500</v>
      </c>
      <c r="G15" s="75">
        <v>59.81</v>
      </c>
      <c r="H15" s="75">
        <v>3.32464</v>
      </c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42"/>
  <sheetViews>
    <sheetView workbookViewId="0"/>
  </sheetViews>
  <sheetFormatPr defaultColWidth="11.19921875" defaultRowHeight="15" customHeight="1"/>
  <sheetData>
    <row r="1" spans="1:8" ht="15" customHeight="1">
      <c r="A1" s="81" t="s">
        <v>187</v>
      </c>
      <c r="D1" s="68"/>
      <c r="E1" s="139" t="s">
        <v>188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292.51339999999999</v>
      </c>
      <c r="F4" s="75">
        <v>301</v>
      </c>
      <c r="G4" s="75">
        <v>282.36</v>
      </c>
      <c r="H4" s="75">
        <v>10.153420000000001</v>
      </c>
    </row>
    <row r="5" spans="1:8" ht="15" customHeight="1">
      <c r="D5" s="68"/>
      <c r="E5" s="74">
        <v>292.74200000000002</v>
      </c>
      <c r="F5" s="75">
        <v>777</v>
      </c>
      <c r="G5" s="75">
        <v>283.07</v>
      </c>
      <c r="H5" s="75">
        <v>9.6719399999999993</v>
      </c>
    </row>
    <row r="6" spans="1:8" ht="15" customHeight="1">
      <c r="D6" s="68"/>
      <c r="E6" s="74">
        <v>292.86849999999998</v>
      </c>
      <c r="F6" s="75">
        <v>1249</v>
      </c>
      <c r="G6" s="75">
        <v>282.08999999999997</v>
      </c>
      <c r="H6" s="75">
        <v>10.778499999999999</v>
      </c>
    </row>
    <row r="7" spans="1:8" ht="15" customHeight="1">
      <c r="D7" s="68"/>
      <c r="E7" s="74">
        <v>292.75779999999997</v>
      </c>
      <c r="F7" s="75">
        <v>1723</v>
      </c>
      <c r="G7" s="75">
        <v>282.55</v>
      </c>
      <c r="H7" s="75">
        <v>10.20776</v>
      </c>
    </row>
    <row r="8" spans="1:8" ht="15" customHeight="1">
      <c r="D8" s="68"/>
      <c r="E8" s="74">
        <v>292.61</v>
      </c>
      <c r="F8" s="75">
        <v>2195</v>
      </c>
      <c r="G8" s="75">
        <v>282.07</v>
      </c>
      <c r="H8" s="75">
        <v>10.53999</v>
      </c>
    </row>
    <row r="9" spans="1:8" ht="15" customHeight="1">
      <c r="D9" s="68"/>
      <c r="E9" s="74">
        <v>292.28809999999999</v>
      </c>
      <c r="F9" s="75">
        <v>2669</v>
      </c>
      <c r="G9" s="75">
        <v>281.48</v>
      </c>
      <c r="H9" s="75">
        <v>10.80804</v>
      </c>
    </row>
    <row r="10" spans="1:8" ht="15" customHeight="1">
      <c r="E10" s="74">
        <v>292.11</v>
      </c>
      <c r="F10" s="75">
        <v>3142</v>
      </c>
      <c r="G10" s="75">
        <v>281.14999999999998</v>
      </c>
      <c r="H10" s="75">
        <v>10.96001</v>
      </c>
    </row>
    <row r="11" spans="1:8" ht="15" customHeight="1">
      <c r="D11" s="68" t="s">
        <v>114</v>
      </c>
      <c r="E11" s="19">
        <v>291.85849999999999</v>
      </c>
      <c r="F11" s="20">
        <v>3612</v>
      </c>
      <c r="G11" s="20">
        <v>282.2</v>
      </c>
      <c r="H11" s="20">
        <v>9.6585300000000007</v>
      </c>
    </row>
    <row r="12" spans="1:8" ht="15" customHeight="1">
      <c r="D12" s="68"/>
      <c r="E12" s="74">
        <v>291.44850000000002</v>
      </c>
      <c r="F12" s="75">
        <v>4083</v>
      </c>
      <c r="G12" s="75">
        <v>283.66000000000003</v>
      </c>
      <c r="H12" s="75">
        <v>7.7885</v>
      </c>
    </row>
    <row r="13" spans="1:8" ht="15" customHeight="1">
      <c r="D13" s="68"/>
      <c r="E13" s="74">
        <v>291.21609999999998</v>
      </c>
      <c r="F13" s="75">
        <v>4558</v>
      </c>
      <c r="G13" s="75">
        <v>283.26</v>
      </c>
      <c r="H13" s="75">
        <v>7.9560899999999997</v>
      </c>
    </row>
    <row r="14" spans="1:8" ht="15" customHeight="1">
      <c r="D14" s="68"/>
      <c r="E14" s="74">
        <v>290.96679999999998</v>
      </c>
      <c r="F14" s="75">
        <v>5034</v>
      </c>
      <c r="G14" s="75">
        <v>283.26</v>
      </c>
      <c r="H14" s="75">
        <v>7.7067399999999999</v>
      </c>
    </row>
    <row r="15" spans="1:8" ht="15" customHeight="1">
      <c r="D15" s="68"/>
      <c r="E15" s="74">
        <v>291.15660000000003</v>
      </c>
      <c r="F15" s="75">
        <v>5510</v>
      </c>
      <c r="G15" s="75">
        <v>283.60000000000002</v>
      </c>
      <c r="H15" s="75">
        <v>7.5565699999999998</v>
      </c>
    </row>
    <row r="16" spans="1:8" ht="15" customHeight="1">
      <c r="D16" s="68"/>
      <c r="E16" s="74">
        <v>291.55880000000002</v>
      </c>
      <c r="F16" s="75">
        <v>5978</v>
      </c>
      <c r="G16" s="75">
        <v>283.85000000000002</v>
      </c>
      <c r="H16" s="75">
        <v>7.7087700000000003</v>
      </c>
    </row>
    <row r="17" spans="4:8" ht="15" customHeight="1">
      <c r="D17" s="68"/>
      <c r="E17" s="74">
        <v>290.90219999999999</v>
      </c>
      <c r="F17" s="75">
        <v>6453</v>
      </c>
      <c r="G17" s="75">
        <v>283.39</v>
      </c>
      <c r="H17" s="75">
        <v>7.5121900000000004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  <row r="27" spans="4:8" ht="15" customHeight="1">
      <c r="D27" s="68"/>
      <c r="E27" s="68"/>
      <c r="F27" s="68"/>
      <c r="G27" s="68"/>
      <c r="H27" s="68"/>
    </row>
    <row r="28" spans="4:8" ht="15.6">
      <c r="D28" s="68"/>
      <c r="E28" s="68"/>
      <c r="F28" s="68"/>
      <c r="G28" s="68"/>
      <c r="H28" s="68"/>
    </row>
    <row r="29" spans="4:8" ht="15.6">
      <c r="D29" s="68"/>
      <c r="E29" s="68"/>
      <c r="F29" s="68"/>
      <c r="G29" s="68"/>
      <c r="H29" s="68"/>
    </row>
    <row r="30" spans="4:8" ht="15.6">
      <c r="D30" s="68"/>
      <c r="E30" s="68"/>
      <c r="F30" s="68"/>
      <c r="G30" s="68"/>
      <c r="H30" s="68"/>
    </row>
    <row r="31" spans="4:8" ht="15.6">
      <c r="D31" s="68"/>
      <c r="E31" s="68"/>
      <c r="F31" s="68"/>
      <c r="G31" s="68"/>
      <c r="H31" s="68"/>
    </row>
    <row r="32" spans="4:8" ht="15.6">
      <c r="D32" s="68"/>
      <c r="E32" s="68"/>
      <c r="F32" s="68"/>
      <c r="G32" s="68"/>
      <c r="H32" s="68"/>
    </row>
    <row r="33" spans="4:8" ht="15.6">
      <c r="D33" s="68"/>
      <c r="E33" s="68"/>
      <c r="F33" s="68"/>
      <c r="G33" s="68"/>
      <c r="H33" s="68"/>
    </row>
    <row r="34" spans="4:8" ht="15.6">
      <c r="D34" s="68"/>
      <c r="E34" s="68"/>
      <c r="F34" s="68"/>
      <c r="G34" s="68"/>
      <c r="H34" s="68"/>
    </row>
    <row r="35" spans="4:8" ht="15.6">
      <c r="D35" s="68"/>
      <c r="E35" s="68"/>
      <c r="F35" s="68"/>
      <c r="G35" s="68"/>
      <c r="H35" s="68"/>
    </row>
    <row r="36" spans="4:8" ht="15.6">
      <c r="D36" s="68"/>
      <c r="E36" s="68"/>
      <c r="F36" s="68"/>
      <c r="G36" s="68"/>
      <c r="H36" s="68"/>
    </row>
    <row r="37" spans="4:8" ht="15.6">
      <c r="D37" s="68"/>
      <c r="E37" s="68"/>
      <c r="F37" s="68"/>
      <c r="G37" s="68"/>
      <c r="H37" s="68"/>
    </row>
    <row r="38" spans="4:8" ht="15.6">
      <c r="D38" s="68"/>
      <c r="E38" s="68"/>
      <c r="F38" s="68"/>
      <c r="G38" s="68"/>
      <c r="H38" s="68"/>
    </row>
    <row r="39" spans="4:8" ht="15.6">
      <c r="D39" s="68"/>
      <c r="E39" s="68"/>
      <c r="F39" s="68"/>
      <c r="G39" s="68"/>
      <c r="H39" s="68"/>
    </row>
    <row r="40" spans="4:8" ht="15.6">
      <c r="D40" s="68"/>
      <c r="E40" s="68"/>
      <c r="F40" s="68"/>
      <c r="G40" s="68"/>
      <c r="H40" s="68"/>
    </row>
    <row r="41" spans="4:8" ht="15.6">
      <c r="D41" s="68"/>
      <c r="E41" s="68"/>
      <c r="F41" s="68"/>
      <c r="G41" s="68"/>
      <c r="H41" s="68"/>
    </row>
    <row r="42" spans="4:8" ht="15.6">
      <c r="D42" s="68"/>
      <c r="E42" s="68"/>
      <c r="F42" s="68"/>
      <c r="G42" s="68"/>
      <c r="H42" s="68"/>
    </row>
  </sheetData>
  <mergeCells count="1">
    <mergeCell ref="E1:H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189</v>
      </c>
      <c r="D1" s="68"/>
      <c r="E1" s="139" t="s">
        <v>190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95</v>
      </c>
      <c r="E4" s="74">
        <v>66.243510000000001</v>
      </c>
      <c r="F4" s="75">
        <v>301</v>
      </c>
      <c r="G4" s="75">
        <v>60.14</v>
      </c>
      <c r="H4" s="75">
        <v>6.10351</v>
      </c>
    </row>
    <row r="5" spans="1:8" ht="15" customHeight="1">
      <c r="D5" s="68"/>
      <c r="E5" s="74">
        <v>66.52176</v>
      </c>
      <c r="F5" s="75">
        <v>780</v>
      </c>
      <c r="G5" s="75">
        <v>59.89</v>
      </c>
      <c r="H5" s="75">
        <v>6.6317599999999999</v>
      </c>
    </row>
    <row r="6" spans="1:8" ht="15" customHeight="1">
      <c r="D6" s="68"/>
      <c r="E6" s="74">
        <v>66.304190000000006</v>
      </c>
      <c r="F6" s="75">
        <v>1249</v>
      </c>
      <c r="G6" s="75">
        <v>59.37</v>
      </c>
      <c r="H6" s="75">
        <v>6.9341900000000001</v>
      </c>
    </row>
    <row r="7" spans="1:8" ht="15" customHeight="1">
      <c r="D7" s="68"/>
      <c r="E7" s="74">
        <v>65.900670000000005</v>
      </c>
      <c r="F7" s="75">
        <v>1721</v>
      </c>
      <c r="G7" s="75">
        <v>59.24</v>
      </c>
      <c r="H7" s="75">
        <v>6.6606699999999996</v>
      </c>
    </row>
    <row r="8" spans="1:8" ht="15" customHeight="1">
      <c r="D8" s="68"/>
      <c r="E8" s="74">
        <v>65.539590000000004</v>
      </c>
      <c r="F8" s="75">
        <v>2198</v>
      </c>
      <c r="G8" s="75">
        <v>58.65</v>
      </c>
      <c r="H8" s="75">
        <v>6.8895900000000001</v>
      </c>
    </row>
    <row r="9" spans="1:8" ht="15" customHeight="1">
      <c r="D9" s="68"/>
      <c r="E9" s="74">
        <v>65.12</v>
      </c>
      <c r="F9" s="75">
        <v>2668</v>
      </c>
      <c r="G9" s="75">
        <v>58.3</v>
      </c>
      <c r="H9" s="75">
        <v>6.82</v>
      </c>
    </row>
    <row r="10" spans="1:8" ht="15" customHeight="1">
      <c r="D10" s="68" t="s">
        <v>120</v>
      </c>
      <c r="E10" s="19">
        <v>65.365269999999995</v>
      </c>
      <c r="F10" s="20">
        <v>3142</v>
      </c>
      <c r="G10" s="20">
        <v>59.64</v>
      </c>
      <c r="H10" s="20">
        <v>5.7252700000000001</v>
      </c>
    </row>
    <row r="11" spans="1:8" ht="15" customHeight="1">
      <c r="D11" s="68"/>
      <c r="E11" s="19">
        <v>65.080169999999995</v>
      </c>
      <c r="F11" s="20">
        <v>3616</v>
      </c>
      <c r="G11" s="20">
        <v>59.72</v>
      </c>
      <c r="H11" s="20">
        <v>5.3601700000000001</v>
      </c>
    </row>
    <row r="12" spans="1:8" ht="15" customHeight="1">
      <c r="D12" s="68"/>
      <c r="E12" s="19">
        <v>64.653599999999997</v>
      </c>
      <c r="F12" s="20">
        <v>4091</v>
      </c>
      <c r="G12" s="20">
        <v>59.16</v>
      </c>
      <c r="H12" s="20">
        <v>5.4935999999999998</v>
      </c>
    </row>
    <row r="13" spans="1:8" ht="15" customHeight="1">
      <c r="D13" s="68"/>
      <c r="E13" s="19">
        <v>64.355069999999998</v>
      </c>
      <c r="F13" s="20">
        <v>4563</v>
      </c>
      <c r="G13" s="20">
        <v>59.11</v>
      </c>
      <c r="H13" s="20">
        <v>5.2450700000000001</v>
      </c>
    </row>
    <row r="14" spans="1:8" ht="15" customHeight="1">
      <c r="D14" s="68"/>
      <c r="E14" s="74">
        <v>64.48133</v>
      </c>
      <c r="F14" s="75">
        <v>5035</v>
      </c>
      <c r="G14" s="75">
        <v>59.72</v>
      </c>
      <c r="H14" s="75">
        <v>4.7613300000000001</v>
      </c>
    </row>
    <row r="15" spans="1:8" ht="15" customHeight="1">
      <c r="D15" s="68"/>
      <c r="E15" s="74">
        <v>64.625950000000003</v>
      </c>
      <c r="F15" s="75">
        <v>5508</v>
      </c>
      <c r="G15" s="75">
        <v>60.12</v>
      </c>
      <c r="H15" s="75">
        <v>4.5059500000000003</v>
      </c>
    </row>
    <row r="16" spans="1:8" ht="15" customHeight="1">
      <c r="D16" s="68"/>
      <c r="E16" s="74">
        <v>64.507570000000001</v>
      </c>
      <c r="F16" s="75">
        <v>5986</v>
      </c>
      <c r="G16" s="75">
        <v>59.53</v>
      </c>
      <c r="H16" s="75">
        <v>4.9775700000000001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191</v>
      </c>
      <c r="D1" s="68"/>
      <c r="E1" s="139" t="s">
        <v>192</v>
      </c>
      <c r="F1" s="140"/>
      <c r="G1" s="140"/>
      <c r="H1" s="140"/>
      <c r="J1" s="68"/>
      <c r="K1" s="139" t="s">
        <v>193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95</v>
      </c>
      <c r="E4" s="74">
        <v>293.78379999999999</v>
      </c>
      <c r="F4" s="75">
        <v>301</v>
      </c>
      <c r="G4" s="75">
        <v>281.36</v>
      </c>
      <c r="H4" s="75">
        <v>12.42384</v>
      </c>
      <c r="J4" s="68" t="s">
        <v>143</v>
      </c>
      <c r="K4" s="74">
        <v>292.27999999999997</v>
      </c>
      <c r="L4" s="75">
        <v>301</v>
      </c>
      <c r="M4" s="75">
        <v>281.77999999999997</v>
      </c>
      <c r="N4" s="75">
        <v>10.5</v>
      </c>
    </row>
    <row r="5" spans="1:14" ht="15" customHeight="1">
      <c r="D5" s="68"/>
      <c r="E5" s="74">
        <v>293.31450000000001</v>
      </c>
      <c r="F5" s="75">
        <v>775</v>
      </c>
      <c r="G5" s="75">
        <v>280.70999999999998</v>
      </c>
      <c r="H5" s="75">
        <v>12.604480000000001</v>
      </c>
      <c r="J5" s="68"/>
      <c r="K5" s="74">
        <v>292.29039999999998</v>
      </c>
      <c r="L5" s="75">
        <v>773</v>
      </c>
      <c r="M5" s="75">
        <v>281.70999999999998</v>
      </c>
      <c r="N5" s="75">
        <v>10.580399999999999</v>
      </c>
    </row>
    <row r="6" spans="1:14" ht="15" customHeight="1">
      <c r="D6" s="68"/>
      <c r="E6" s="74">
        <v>292.81279999999998</v>
      </c>
      <c r="F6" s="75">
        <v>1250</v>
      </c>
      <c r="G6" s="75">
        <v>279.85000000000002</v>
      </c>
      <c r="H6" s="75">
        <v>12.962809999999999</v>
      </c>
      <c r="J6" s="68"/>
      <c r="K6" s="74">
        <v>292.33</v>
      </c>
      <c r="L6" s="75">
        <v>1240</v>
      </c>
      <c r="M6" s="75">
        <v>281.58999999999997</v>
      </c>
      <c r="N6" s="75">
        <v>10.74</v>
      </c>
    </row>
    <row r="7" spans="1:14" ht="15" customHeight="1">
      <c r="D7" s="68"/>
      <c r="E7" s="74">
        <v>291.75909999999999</v>
      </c>
      <c r="F7" s="75">
        <v>1725</v>
      </c>
      <c r="G7" s="75">
        <v>278.43</v>
      </c>
      <c r="H7" s="75">
        <v>13.329140000000001</v>
      </c>
      <c r="J7" s="68"/>
      <c r="K7" s="74">
        <v>292.12610000000001</v>
      </c>
      <c r="L7" s="75">
        <v>1719</v>
      </c>
      <c r="M7" s="75">
        <v>281.23</v>
      </c>
      <c r="N7" s="75">
        <v>10.89607</v>
      </c>
    </row>
    <row r="8" spans="1:14" ht="15" customHeight="1">
      <c r="D8" s="68"/>
      <c r="E8" s="74">
        <v>291.62540000000001</v>
      </c>
      <c r="F8" s="75">
        <v>2194</v>
      </c>
      <c r="G8" s="75">
        <v>277.68</v>
      </c>
      <c r="H8" s="75">
        <v>13.94544</v>
      </c>
      <c r="J8" s="68"/>
      <c r="K8" s="74">
        <v>292.32249999999999</v>
      </c>
      <c r="L8" s="75">
        <v>2191</v>
      </c>
      <c r="M8" s="75">
        <v>280.63</v>
      </c>
      <c r="N8" s="75">
        <v>11.692500000000001</v>
      </c>
    </row>
    <row r="9" spans="1:14" ht="15" customHeight="1">
      <c r="D9" s="68"/>
      <c r="E9" s="74">
        <v>291.26310000000001</v>
      </c>
      <c r="F9" s="75">
        <v>2671</v>
      </c>
      <c r="G9" s="75">
        <v>277.87</v>
      </c>
      <c r="H9" s="75">
        <v>13.393050000000001</v>
      </c>
      <c r="J9" s="68"/>
      <c r="K9" s="74">
        <v>292.11149999999998</v>
      </c>
      <c r="L9" s="75">
        <v>2664</v>
      </c>
      <c r="M9" s="75">
        <v>281.5</v>
      </c>
      <c r="N9" s="75">
        <v>10.61154</v>
      </c>
    </row>
    <row r="10" spans="1:14" ht="15" customHeight="1">
      <c r="E10" s="74">
        <v>291.04020000000003</v>
      </c>
      <c r="F10" s="75">
        <v>3143</v>
      </c>
      <c r="G10" s="75">
        <v>276.95</v>
      </c>
      <c r="H10" s="75">
        <v>14.090210000000001</v>
      </c>
      <c r="J10" s="68" t="s">
        <v>114</v>
      </c>
      <c r="K10" s="19">
        <v>290.61309999999997</v>
      </c>
      <c r="L10" s="20">
        <v>3133</v>
      </c>
      <c r="M10" s="20">
        <v>279.62</v>
      </c>
      <c r="N10" s="20">
        <v>10.993080000000001</v>
      </c>
    </row>
    <row r="11" spans="1:14" ht="15" customHeight="1">
      <c r="D11" s="68"/>
      <c r="E11" s="74">
        <v>290.96499999999997</v>
      </c>
      <c r="F11" s="75">
        <v>3616</v>
      </c>
      <c r="G11" s="75">
        <v>276.88</v>
      </c>
      <c r="H11" s="75">
        <v>14.085000000000001</v>
      </c>
      <c r="J11" s="68"/>
      <c r="K11" s="74">
        <v>290.98349999999999</v>
      </c>
      <c r="L11" s="75">
        <v>3613</v>
      </c>
      <c r="M11" s="75">
        <v>282.99</v>
      </c>
      <c r="N11" s="75">
        <v>7.9935400000000003</v>
      </c>
    </row>
    <row r="12" spans="1:14" ht="15" customHeight="1">
      <c r="D12" s="68" t="s">
        <v>120</v>
      </c>
      <c r="E12" s="74">
        <v>290.78809999999999</v>
      </c>
      <c r="F12" s="75">
        <v>4088</v>
      </c>
      <c r="G12" s="75">
        <v>279.79000000000002</v>
      </c>
      <c r="H12" s="75">
        <v>10.99804</v>
      </c>
      <c r="J12" s="68"/>
      <c r="K12" s="74">
        <v>291.24849999999998</v>
      </c>
      <c r="L12" s="75">
        <v>4082</v>
      </c>
      <c r="M12" s="75">
        <v>283.77999999999997</v>
      </c>
      <c r="N12" s="75">
        <v>7.4684600000000003</v>
      </c>
    </row>
    <row r="13" spans="1:14" ht="15" customHeight="1">
      <c r="D13" s="68"/>
      <c r="E13" s="74">
        <v>290.66000000000003</v>
      </c>
      <c r="F13" s="75">
        <v>4563</v>
      </c>
      <c r="G13" s="75">
        <v>280.10000000000002</v>
      </c>
      <c r="H13" s="75">
        <v>10.559990000000001</v>
      </c>
      <c r="J13" s="68"/>
      <c r="K13" s="74">
        <v>291.28899999999999</v>
      </c>
      <c r="L13" s="75">
        <v>4554</v>
      </c>
      <c r="M13" s="75">
        <v>284.01</v>
      </c>
      <c r="N13" s="75">
        <v>7.2790299999999997</v>
      </c>
    </row>
    <row r="14" spans="1:14" ht="15" customHeight="1">
      <c r="D14" s="68"/>
      <c r="E14" s="74">
        <v>290.27659999999997</v>
      </c>
      <c r="F14" s="75">
        <v>5036</v>
      </c>
      <c r="G14" s="75">
        <v>279.79000000000002</v>
      </c>
      <c r="H14" s="75">
        <v>10.48659</v>
      </c>
      <c r="J14" s="68"/>
      <c r="K14" s="74">
        <v>291.2115</v>
      </c>
      <c r="L14" s="75">
        <v>5028</v>
      </c>
      <c r="M14" s="75">
        <v>283.91000000000003</v>
      </c>
      <c r="N14" s="75">
        <v>7.3015400000000001</v>
      </c>
    </row>
    <row r="15" spans="1:14" ht="15" customHeight="1">
      <c r="D15" s="68"/>
      <c r="E15" s="74">
        <v>290.45940000000002</v>
      </c>
      <c r="F15" s="75">
        <v>5512</v>
      </c>
      <c r="G15" s="75">
        <v>279.79000000000002</v>
      </c>
      <c r="H15" s="75">
        <v>10.66934</v>
      </c>
      <c r="J15" s="68"/>
      <c r="K15" s="74">
        <v>291.04919999999998</v>
      </c>
      <c r="L15" s="75">
        <v>5501</v>
      </c>
      <c r="M15" s="75">
        <v>283.47000000000003</v>
      </c>
      <c r="N15" s="75">
        <v>7.5792299999999999</v>
      </c>
    </row>
    <row r="16" spans="1:14" ht="15" customHeight="1">
      <c r="D16" s="68"/>
      <c r="E16" s="74">
        <v>290.52980000000002</v>
      </c>
      <c r="F16" s="75">
        <v>5988</v>
      </c>
      <c r="G16" s="75">
        <v>279.89</v>
      </c>
      <c r="H16" s="75">
        <v>10.63977</v>
      </c>
      <c r="J16" s="68"/>
      <c r="K16" s="74">
        <v>291.1386</v>
      </c>
      <c r="L16" s="75">
        <v>5974</v>
      </c>
      <c r="M16" s="75">
        <v>282.99</v>
      </c>
      <c r="N16" s="75">
        <v>8.1486400000000003</v>
      </c>
    </row>
    <row r="17" spans="4:14" ht="15" customHeight="1">
      <c r="D17" s="68"/>
      <c r="E17" s="74">
        <v>290.5915</v>
      </c>
      <c r="F17" s="75">
        <v>6463</v>
      </c>
      <c r="G17" s="75">
        <v>279.27</v>
      </c>
      <c r="H17" s="75">
        <v>11.321529999999999</v>
      </c>
      <c r="J17" s="68"/>
      <c r="K17" s="68"/>
      <c r="L17" s="68"/>
      <c r="M17" s="68"/>
      <c r="N17" s="68"/>
    </row>
    <row r="18" spans="4:14" ht="15" customHeight="1">
      <c r="D18" s="68"/>
      <c r="E18" s="74">
        <v>290.89359999999999</v>
      </c>
      <c r="F18" s="75">
        <v>6935</v>
      </c>
      <c r="G18" s="75">
        <v>280.17</v>
      </c>
      <c r="H18" s="75">
        <v>10.723610000000001</v>
      </c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194</v>
      </c>
      <c r="D1" s="68"/>
      <c r="E1" s="139" t="s">
        <v>195</v>
      </c>
      <c r="F1" s="140"/>
      <c r="G1" s="140"/>
      <c r="H1" s="140"/>
      <c r="J1" s="68"/>
      <c r="K1" s="139" t="s">
        <v>196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143</v>
      </c>
      <c r="E4" s="74">
        <v>293.72019999999998</v>
      </c>
      <c r="F4" s="75">
        <v>301</v>
      </c>
      <c r="G4" s="75">
        <v>285.10000000000002</v>
      </c>
      <c r="H4" s="75">
        <v>8.6202100000000002</v>
      </c>
      <c r="J4" s="68" t="s">
        <v>113</v>
      </c>
      <c r="K4" s="74">
        <v>288.51679999999999</v>
      </c>
      <c r="L4" s="75">
        <v>301</v>
      </c>
      <c r="M4" s="75">
        <v>280.81</v>
      </c>
      <c r="N4" s="75">
        <v>7.7068099999999999</v>
      </c>
    </row>
    <row r="5" spans="1:14" ht="15" customHeight="1">
      <c r="D5" s="68"/>
      <c r="E5" s="74">
        <v>293.61279999999999</v>
      </c>
      <c r="F5" s="75">
        <v>774</v>
      </c>
      <c r="G5" s="75">
        <v>284.54000000000002</v>
      </c>
      <c r="H5" s="75">
        <v>9.0728200000000001</v>
      </c>
      <c r="J5" s="68"/>
      <c r="K5" s="74">
        <v>288.45830000000001</v>
      </c>
      <c r="L5" s="75">
        <v>774</v>
      </c>
      <c r="M5" s="75">
        <v>280.27</v>
      </c>
      <c r="N5" s="75">
        <v>8.1883099999999995</v>
      </c>
    </row>
    <row r="6" spans="1:14" ht="15" customHeight="1">
      <c r="D6" s="68"/>
      <c r="E6" s="74">
        <v>293.23169999999999</v>
      </c>
      <c r="F6" s="75">
        <v>1249</v>
      </c>
      <c r="G6" s="75">
        <v>284.27</v>
      </c>
      <c r="H6" s="75">
        <v>8.9617500000000003</v>
      </c>
      <c r="J6" s="68"/>
      <c r="K6" s="74">
        <v>288.27539999999999</v>
      </c>
      <c r="L6" s="75">
        <v>1247</v>
      </c>
      <c r="M6" s="75">
        <v>279.85000000000002</v>
      </c>
      <c r="N6" s="75">
        <v>8.4254200000000008</v>
      </c>
    </row>
    <row r="7" spans="1:14" ht="15" customHeight="1">
      <c r="D7" s="68"/>
      <c r="E7" s="74">
        <v>292.95740000000001</v>
      </c>
      <c r="F7" s="75">
        <v>1723</v>
      </c>
      <c r="G7" s="75">
        <v>283.97000000000003</v>
      </c>
      <c r="H7" s="75">
        <v>8.9873899999999995</v>
      </c>
      <c r="J7" s="68"/>
      <c r="K7" s="74">
        <v>288.18200000000002</v>
      </c>
      <c r="L7" s="75">
        <v>1722</v>
      </c>
      <c r="M7" s="75">
        <v>280.25</v>
      </c>
      <c r="N7" s="75">
        <v>7.9319600000000001</v>
      </c>
    </row>
    <row r="8" spans="1:14" ht="15" customHeight="1">
      <c r="D8" s="68"/>
      <c r="E8" s="74">
        <v>292.11040000000003</v>
      </c>
      <c r="F8" s="75">
        <v>2196</v>
      </c>
      <c r="G8" s="75">
        <v>282.97000000000003</v>
      </c>
      <c r="H8" s="75">
        <v>9.1404200000000007</v>
      </c>
      <c r="J8" s="68"/>
      <c r="K8" s="74">
        <v>288.15390000000002</v>
      </c>
      <c r="L8" s="75">
        <v>2195</v>
      </c>
      <c r="M8" s="75">
        <v>279.85000000000002</v>
      </c>
      <c r="N8" s="75">
        <v>8.3039000000000005</v>
      </c>
    </row>
    <row r="9" spans="1:14" ht="15" customHeight="1">
      <c r="D9" s="68"/>
      <c r="E9" s="74">
        <v>291.8519</v>
      </c>
      <c r="F9" s="75">
        <v>2669</v>
      </c>
      <c r="G9" s="75">
        <v>282.61</v>
      </c>
      <c r="H9" s="75">
        <v>9.2419200000000004</v>
      </c>
      <c r="J9" s="68"/>
      <c r="K9" s="74">
        <v>288.13740000000001</v>
      </c>
      <c r="L9" s="75">
        <v>2669</v>
      </c>
      <c r="M9" s="75">
        <v>279.58</v>
      </c>
      <c r="N9" s="75">
        <v>8.5573999999999995</v>
      </c>
    </row>
    <row r="10" spans="1:14" ht="15" customHeight="1">
      <c r="D10" s="68" t="s">
        <v>114</v>
      </c>
      <c r="E10" s="74">
        <v>291.77850000000001</v>
      </c>
      <c r="F10" s="75">
        <v>3141</v>
      </c>
      <c r="G10" s="75">
        <v>285.81</v>
      </c>
      <c r="H10" s="75">
        <v>5.9685100000000002</v>
      </c>
      <c r="J10" s="68" t="s">
        <v>138</v>
      </c>
      <c r="K10" s="74">
        <v>287.93869999999998</v>
      </c>
      <c r="L10" s="75">
        <v>3145</v>
      </c>
      <c r="M10" s="75">
        <v>279.54000000000002</v>
      </c>
      <c r="N10" s="75">
        <v>8.3986800000000006</v>
      </c>
    </row>
    <row r="11" spans="1:14" ht="15" customHeight="1">
      <c r="D11" s="68"/>
      <c r="E11" s="74">
        <v>291.77440000000001</v>
      </c>
      <c r="F11" s="75">
        <v>3616</v>
      </c>
      <c r="G11" s="75">
        <v>286.5</v>
      </c>
      <c r="H11" s="75">
        <v>5.2743500000000001</v>
      </c>
      <c r="J11" s="68"/>
      <c r="K11" s="74">
        <v>287.5532</v>
      </c>
      <c r="L11" s="75">
        <v>3615</v>
      </c>
      <c r="M11" s="75">
        <v>280.06</v>
      </c>
      <c r="N11" s="75">
        <v>7.4931900000000002</v>
      </c>
    </row>
    <row r="12" spans="1:14" ht="15" customHeight="1">
      <c r="D12" s="68"/>
      <c r="E12" s="74">
        <v>291.59829999999999</v>
      </c>
      <c r="F12" s="75">
        <v>4090</v>
      </c>
      <c r="G12" s="75">
        <v>286.02</v>
      </c>
      <c r="H12" s="75">
        <v>5.5783100000000001</v>
      </c>
      <c r="J12" s="68"/>
      <c r="K12" s="74">
        <v>287.54169999999999</v>
      </c>
      <c r="L12" s="75">
        <v>4089</v>
      </c>
      <c r="M12" s="75">
        <v>279.66000000000003</v>
      </c>
      <c r="N12" s="75">
        <v>7.8817000000000004</v>
      </c>
    </row>
    <row r="13" spans="1:14" ht="15" customHeight="1">
      <c r="D13" s="68"/>
      <c r="E13" s="74">
        <v>291.48</v>
      </c>
      <c r="F13" s="75">
        <v>4562</v>
      </c>
      <c r="G13" s="75">
        <v>286.39999999999998</v>
      </c>
      <c r="H13" s="75">
        <v>5.0800099999999997</v>
      </c>
      <c r="J13" s="68"/>
      <c r="K13" s="74">
        <v>287.43979999999999</v>
      </c>
      <c r="L13" s="75">
        <v>4568</v>
      </c>
      <c r="M13" s="75">
        <v>280.52</v>
      </c>
      <c r="N13" s="75">
        <v>6.9198000000000004</v>
      </c>
    </row>
    <row r="14" spans="1:14" ht="15" customHeight="1">
      <c r="D14" s="68"/>
      <c r="E14" s="74">
        <v>291.35320000000002</v>
      </c>
      <c r="F14" s="75">
        <v>5036</v>
      </c>
      <c r="G14" s="75">
        <v>286.29000000000002</v>
      </c>
      <c r="H14" s="75">
        <v>5.06318</v>
      </c>
      <c r="J14" s="68"/>
      <c r="K14" s="74">
        <v>287.66809999999998</v>
      </c>
      <c r="L14" s="75">
        <v>5035</v>
      </c>
      <c r="M14" s="75">
        <v>279.83</v>
      </c>
      <c r="N14" s="75">
        <v>7.8381400000000001</v>
      </c>
    </row>
    <row r="15" spans="1:14" ht="15" customHeight="1">
      <c r="D15" s="68"/>
      <c r="E15" s="74">
        <v>291.20170000000002</v>
      </c>
      <c r="F15" s="75">
        <v>5509</v>
      </c>
      <c r="G15" s="75">
        <v>286.5</v>
      </c>
      <c r="H15" s="75">
        <v>4.70174</v>
      </c>
      <c r="J15" s="68"/>
      <c r="K15" s="74">
        <v>287.72309999999999</v>
      </c>
      <c r="L15" s="75">
        <v>5508</v>
      </c>
      <c r="M15" s="75">
        <v>279.89</v>
      </c>
      <c r="N15" s="75">
        <v>7.8331200000000001</v>
      </c>
    </row>
    <row r="16" spans="1:14" ht="15" customHeight="1">
      <c r="D16" s="68"/>
      <c r="E16" s="68"/>
      <c r="F16" s="68"/>
      <c r="G16" s="68"/>
      <c r="H16" s="68"/>
      <c r="J16" s="68"/>
      <c r="K16" s="74">
        <v>287.77789999999999</v>
      </c>
      <c r="L16" s="75">
        <v>5981</v>
      </c>
      <c r="M16" s="75">
        <v>279.56</v>
      </c>
      <c r="N16" s="75">
        <v>8.2179199999999994</v>
      </c>
    </row>
    <row r="17" spans="4:14" ht="15" customHeight="1">
      <c r="D17" s="68"/>
      <c r="E17" s="68"/>
      <c r="F17" s="68"/>
      <c r="G17" s="68"/>
      <c r="H17" s="68"/>
      <c r="J17" s="68"/>
      <c r="K17" s="74">
        <v>287.74709999999999</v>
      </c>
      <c r="L17" s="75">
        <v>6456</v>
      </c>
      <c r="M17" s="75">
        <v>280.39999999999998</v>
      </c>
      <c r="N17" s="75">
        <v>7.3471000000000002</v>
      </c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197</v>
      </c>
      <c r="D1" s="68"/>
      <c r="E1" s="139" t="s">
        <v>198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143</v>
      </c>
      <c r="E4" s="74">
        <v>52.316519999999997</v>
      </c>
      <c r="F4" s="75">
        <v>301</v>
      </c>
      <c r="G4" s="75">
        <v>47.57</v>
      </c>
      <c r="H4" s="75">
        <v>4.7465200000000003</v>
      </c>
    </row>
    <row r="5" spans="1:8" ht="15" customHeight="1">
      <c r="D5" s="68"/>
      <c r="E5" s="74">
        <v>51.761060000000001</v>
      </c>
      <c r="F5" s="75">
        <v>775</v>
      </c>
      <c r="G5" s="75">
        <v>47.07</v>
      </c>
      <c r="H5" s="75">
        <v>4.6910600000000002</v>
      </c>
    </row>
    <row r="6" spans="1:8" ht="15" customHeight="1">
      <c r="D6" s="68"/>
      <c r="E6" s="74">
        <v>51.519779999999997</v>
      </c>
      <c r="F6" s="75">
        <v>1241</v>
      </c>
      <c r="G6" s="75">
        <v>47.05</v>
      </c>
      <c r="H6" s="75">
        <v>4.4697800000000001</v>
      </c>
    </row>
    <row r="7" spans="1:8" ht="15" customHeight="1">
      <c r="D7" s="68"/>
      <c r="E7" s="74">
        <v>51.405650000000001</v>
      </c>
      <c r="F7" s="75">
        <v>1723</v>
      </c>
      <c r="G7" s="75">
        <v>46.27</v>
      </c>
      <c r="H7" s="75">
        <v>5.13565</v>
      </c>
    </row>
    <row r="8" spans="1:8" ht="15" customHeight="1">
      <c r="D8" s="68"/>
      <c r="E8" s="74">
        <v>51.021090000000001</v>
      </c>
      <c r="F8" s="75">
        <v>2192</v>
      </c>
      <c r="G8" s="75">
        <v>46.21</v>
      </c>
      <c r="H8" s="75">
        <v>4.8110900000000001</v>
      </c>
    </row>
    <row r="9" spans="1:8" ht="15" customHeight="1">
      <c r="D9" s="68"/>
      <c r="E9" s="74">
        <v>50.917389999999997</v>
      </c>
      <c r="F9" s="75">
        <v>2670</v>
      </c>
      <c r="G9" s="75">
        <v>46.12</v>
      </c>
      <c r="H9" s="75">
        <v>4.79739</v>
      </c>
    </row>
    <row r="10" spans="1:8" ht="15" customHeight="1">
      <c r="D10" s="68" t="s">
        <v>114</v>
      </c>
      <c r="E10" s="74">
        <v>50.52319</v>
      </c>
      <c r="F10" s="75">
        <v>3141</v>
      </c>
      <c r="G10" s="75">
        <v>45.7</v>
      </c>
      <c r="H10" s="75">
        <v>4.8231900000000003</v>
      </c>
    </row>
    <row r="11" spans="1:8" ht="15" customHeight="1">
      <c r="D11" s="68"/>
      <c r="E11" s="19">
        <v>50.554349999999999</v>
      </c>
      <c r="F11" s="20">
        <v>3606</v>
      </c>
      <c r="G11" s="20">
        <v>46.63</v>
      </c>
      <c r="H11" s="20">
        <v>3.92435</v>
      </c>
    </row>
    <row r="12" spans="1:8" ht="15" customHeight="1">
      <c r="D12" s="68"/>
      <c r="E12" s="19">
        <v>50.534350000000003</v>
      </c>
      <c r="F12" s="20">
        <v>4081</v>
      </c>
      <c r="G12" s="20">
        <v>47.55</v>
      </c>
      <c r="H12" s="20">
        <v>2.9843500000000001</v>
      </c>
    </row>
    <row r="13" spans="1:8" ht="15" customHeight="1">
      <c r="D13" s="68"/>
      <c r="E13" s="19">
        <v>50.503189999999996</v>
      </c>
      <c r="F13" s="20">
        <v>4560</v>
      </c>
      <c r="G13" s="20">
        <v>47.6</v>
      </c>
      <c r="H13" s="20">
        <v>2.9031899999999999</v>
      </c>
    </row>
    <row r="14" spans="1:8" ht="15" customHeight="1">
      <c r="D14" s="68"/>
      <c r="E14" s="19">
        <v>50.25468</v>
      </c>
      <c r="F14" s="20">
        <v>5035</v>
      </c>
      <c r="G14" s="20">
        <v>47.79</v>
      </c>
      <c r="H14" s="20">
        <v>2.46468</v>
      </c>
    </row>
    <row r="15" spans="1:8" ht="15" customHeight="1">
      <c r="D15" s="68"/>
      <c r="E15" s="74">
        <v>49.970849999999999</v>
      </c>
      <c r="F15" s="75">
        <v>5508</v>
      </c>
      <c r="G15" s="75">
        <v>47.24</v>
      </c>
      <c r="H15" s="75">
        <v>2.7308500000000002</v>
      </c>
    </row>
    <row r="16" spans="1:8" ht="15" customHeight="1">
      <c r="D16" s="68"/>
      <c r="E16" s="74">
        <v>49.776299999999999</v>
      </c>
      <c r="F16" s="75">
        <v>5980</v>
      </c>
      <c r="G16" s="75">
        <v>46.82</v>
      </c>
      <c r="H16" s="75">
        <v>2.9563000000000001</v>
      </c>
    </row>
    <row r="17" spans="4:8" ht="15" customHeight="1">
      <c r="D17" s="68"/>
      <c r="E17" s="74">
        <v>49.745649999999998</v>
      </c>
      <c r="F17" s="75">
        <v>6454</v>
      </c>
      <c r="G17" s="75">
        <v>46.71</v>
      </c>
      <c r="H17" s="75">
        <v>3.03565</v>
      </c>
    </row>
    <row r="18" spans="4:8" ht="15" customHeight="1">
      <c r="D18" s="68"/>
      <c r="E18" s="74">
        <v>49.579129999999999</v>
      </c>
      <c r="F18" s="75">
        <v>6928</v>
      </c>
      <c r="G18" s="75">
        <v>47.01</v>
      </c>
      <c r="H18" s="75">
        <v>2.5691299999999999</v>
      </c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I16"/>
  <sheetViews>
    <sheetView workbookViewId="0"/>
  </sheetViews>
  <sheetFormatPr defaultColWidth="11.19921875" defaultRowHeight="15" customHeight="1"/>
  <sheetData>
    <row r="1" spans="1:9" ht="15" customHeight="1">
      <c r="A1" s="111" t="s">
        <v>199</v>
      </c>
      <c r="E1" s="16" t="s">
        <v>200</v>
      </c>
    </row>
    <row r="2" spans="1:9" ht="15" customHeight="1">
      <c r="A2" s="112" t="s">
        <v>90</v>
      </c>
    </row>
    <row r="3" spans="1:9" ht="15" customHeight="1">
      <c r="A3" s="113" t="s">
        <v>111</v>
      </c>
      <c r="D3" s="71"/>
      <c r="E3" s="71" t="s">
        <v>10</v>
      </c>
      <c r="F3" s="71" t="s">
        <v>11</v>
      </c>
      <c r="G3" s="71" t="s">
        <v>12</v>
      </c>
      <c r="H3" s="114" t="s">
        <v>152</v>
      </c>
    </row>
    <row r="4" spans="1:9" ht="15" customHeight="1">
      <c r="A4" s="113" t="s">
        <v>118</v>
      </c>
      <c r="D4" s="115" t="s">
        <v>69</v>
      </c>
      <c r="E4" s="35">
        <v>292.87950000000001</v>
      </c>
      <c r="F4" s="35">
        <v>386</v>
      </c>
      <c r="G4" s="35">
        <v>281.39999999999998</v>
      </c>
      <c r="H4" s="35">
        <v>11.479520000000001</v>
      </c>
      <c r="I4" s="90"/>
    </row>
    <row r="5" spans="1:9" ht="15" customHeight="1">
      <c r="D5" s="71"/>
      <c r="E5" s="35">
        <v>292.71409999999997</v>
      </c>
      <c r="F5" s="35">
        <v>856</v>
      </c>
      <c r="G5" s="35">
        <v>281.20999999999998</v>
      </c>
      <c r="H5" s="35">
        <v>11.504049999999999</v>
      </c>
      <c r="I5" s="68"/>
    </row>
    <row r="6" spans="1:9" ht="15" customHeight="1">
      <c r="D6" s="71"/>
      <c r="E6" s="35">
        <v>292.49380000000002</v>
      </c>
      <c r="F6" s="35">
        <v>1334</v>
      </c>
      <c r="G6" s="35">
        <v>280.31</v>
      </c>
      <c r="H6" s="35">
        <v>12.183809999999999</v>
      </c>
      <c r="I6" s="68"/>
    </row>
    <row r="7" spans="1:9" ht="15" customHeight="1">
      <c r="D7" s="71"/>
      <c r="E7" s="35">
        <v>292.21589999999998</v>
      </c>
      <c r="F7" s="35">
        <v>1805</v>
      </c>
      <c r="G7" s="35">
        <v>280.12</v>
      </c>
      <c r="H7" s="35">
        <v>12.0959</v>
      </c>
      <c r="I7" s="68"/>
    </row>
    <row r="8" spans="1:9" ht="15" customHeight="1">
      <c r="D8" s="71"/>
      <c r="E8" s="35">
        <v>291.92430000000002</v>
      </c>
      <c r="F8" s="35">
        <v>2278</v>
      </c>
      <c r="G8" s="35">
        <v>279.81</v>
      </c>
      <c r="H8" s="35">
        <v>12.11429</v>
      </c>
      <c r="I8" s="68"/>
    </row>
    <row r="9" spans="1:9" ht="15" customHeight="1">
      <c r="D9" s="71"/>
      <c r="E9" s="35">
        <v>291.69720000000001</v>
      </c>
      <c r="F9" s="35">
        <v>2751</v>
      </c>
      <c r="G9" s="35">
        <v>279.95999999999998</v>
      </c>
      <c r="H9" s="35">
        <v>11.73723</v>
      </c>
      <c r="I9" s="68"/>
    </row>
    <row r="10" spans="1:9" ht="15" customHeight="1">
      <c r="D10" s="115" t="s">
        <v>67</v>
      </c>
      <c r="E10" s="35">
        <v>291.24250000000001</v>
      </c>
      <c r="F10" s="35">
        <v>3220</v>
      </c>
      <c r="G10" s="35">
        <v>280.67</v>
      </c>
      <c r="H10" s="35">
        <v>10.5725</v>
      </c>
      <c r="I10" s="90"/>
    </row>
    <row r="11" spans="1:9" ht="15" customHeight="1">
      <c r="D11" s="71"/>
      <c r="E11" s="35">
        <v>290.88479999999998</v>
      </c>
      <c r="F11" s="35">
        <v>3696</v>
      </c>
      <c r="G11" s="35">
        <v>280.38</v>
      </c>
      <c r="H11" s="35">
        <v>10.504759999999999</v>
      </c>
      <c r="I11" s="68"/>
    </row>
    <row r="12" spans="1:9" ht="15" customHeight="1">
      <c r="D12" s="71"/>
      <c r="E12" s="35">
        <v>290.45690000000002</v>
      </c>
      <c r="F12" s="35">
        <v>4170</v>
      </c>
      <c r="G12" s="35">
        <v>280.27</v>
      </c>
      <c r="H12" s="35">
        <v>10.186870000000001</v>
      </c>
      <c r="I12" s="68"/>
    </row>
    <row r="13" spans="1:9" ht="15" customHeight="1">
      <c r="D13" s="71"/>
      <c r="E13" s="35">
        <v>290.28539999999998</v>
      </c>
      <c r="F13" s="35">
        <v>4644</v>
      </c>
      <c r="G13" s="35">
        <v>279.39</v>
      </c>
      <c r="H13" s="35">
        <v>10.89542</v>
      </c>
      <c r="I13" s="68"/>
    </row>
    <row r="14" spans="1:9" ht="15" customHeight="1">
      <c r="D14" s="71"/>
      <c r="E14" s="35">
        <v>290.25900000000001</v>
      </c>
      <c r="F14" s="35">
        <v>5117</v>
      </c>
      <c r="G14" s="35">
        <v>279.66000000000003</v>
      </c>
      <c r="H14" s="35">
        <v>10.59904</v>
      </c>
      <c r="I14" s="68"/>
    </row>
    <row r="15" spans="1:9" ht="15" customHeight="1">
      <c r="D15" s="71"/>
      <c r="E15" s="35">
        <v>290.23630000000003</v>
      </c>
      <c r="F15" s="35">
        <v>5589</v>
      </c>
      <c r="G15" s="35">
        <v>279.25</v>
      </c>
      <c r="H15" s="35">
        <v>10.986269999999999</v>
      </c>
      <c r="I15" s="68"/>
    </row>
    <row r="16" spans="1:9" ht="15" customHeight="1">
      <c r="D16" s="71"/>
      <c r="E16" s="35">
        <v>290.02449999999999</v>
      </c>
      <c r="F16" s="35">
        <v>6065</v>
      </c>
      <c r="G16" s="35">
        <v>279.54000000000002</v>
      </c>
      <c r="H16" s="35">
        <v>10.48452</v>
      </c>
      <c r="I16" s="6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15"/>
  <sheetViews>
    <sheetView workbookViewId="0"/>
  </sheetViews>
  <sheetFormatPr defaultColWidth="11.19921875" defaultRowHeight="15" customHeight="1"/>
  <sheetData>
    <row r="1" spans="1:8" ht="15" customHeight="1">
      <c r="A1" s="112" t="s">
        <v>201</v>
      </c>
      <c r="E1" s="16" t="s">
        <v>202</v>
      </c>
    </row>
    <row r="2" spans="1:8" ht="15" customHeight="1">
      <c r="A2" s="112" t="s">
        <v>90</v>
      </c>
    </row>
    <row r="3" spans="1:8" ht="15" customHeight="1">
      <c r="A3" s="113" t="s">
        <v>111</v>
      </c>
      <c r="D3" s="71"/>
      <c r="E3" s="71" t="s">
        <v>10</v>
      </c>
      <c r="F3" s="71" t="s">
        <v>11</v>
      </c>
      <c r="G3" s="71" t="s">
        <v>12</v>
      </c>
      <c r="H3" s="114" t="s">
        <v>152</v>
      </c>
    </row>
    <row r="4" spans="1:8" ht="15" customHeight="1">
      <c r="A4" s="113" t="s">
        <v>118</v>
      </c>
      <c r="D4" s="115" t="s">
        <v>159</v>
      </c>
      <c r="E4" s="99">
        <v>49.60575</v>
      </c>
      <c r="F4" s="99">
        <v>345</v>
      </c>
      <c r="G4" s="99">
        <v>46.44</v>
      </c>
      <c r="H4" s="99">
        <v>3.1657500000000001</v>
      </c>
    </row>
    <row r="5" spans="1:8" ht="15" customHeight="1">
      <c r="D5" s="30"/>
      <c r="E5" s="100">
        <v>49.340470000000003</v>
      </c>
      <c r="F5" s="100">
        <v>818</v>
      </c>
      <c r="G5" s="100">
        <v>46.17</v>
      </c>
      <c r="H5" s="100">
        <v>3.1704699999999999</v>
      </c>
    </row>
    <row r="6" spans="1:8" ht="15" customHeight="1">
      <c r="D6" s="30"/>
      <c r="E6" s="100">
        <v>49.153309999999998</v>
      </c>
      <c r="F6" s="100">
        <v>1287</v>
      </c>
      <c r="G6" s="100">
        <v>46.33</v>
      </c>
      <c r="H6" s="100">
        <v>2.8233100000000002</v>
      </c>
    </row>
    <row r="7" spans="1:8" ht="15" customHeight="1">
      <c r="D7" s="30"/>
      <c r="E7" s="100">
        <v>48.918819999999997</v>
      </c>
      <c r="F7" s="100">
        <v>1766</v>
      </c>
      <c r="G7" s="100">
        <v>45.89</v>
      </c>
      <c r="H7" s="100">
        <v>3.0288200000000001</v>
      </c>
    </row>
    <row r="8" spans="1:8" ht="15" customHeight="1">
      <c r="D8" s="30"/>
      <c r="E8" s="100">
        <v>48.69952</v>
      </c>
      <c r="F8" s="100">
        <v>2234</v>
      </c>
      <c r="G8" s="100">
        <v>45.81</v>
      </c>
      <c r="H8" s="100">
        <v>2.8895200000000001</v>
      </c>
    </row>
    <row r="9" spans="1:8" ht="15" customHeight="1">
      <c r="D9" s="30"/>
      <c r="E9" s="100">
        <v>48.599530000000001</v>
      </c>
      <c r="F9" s="100">
        <v>2713</v>
      </c>
      <c r="G9" s="100">
        <v>45.52</v>
      </c>
      <c r="H9" s="100">
        <v>3.0795300000000001</v>
      </c>
    </row>
    <row r="10" spans="1:8" ht="15" customHeight="1">
      <c r="D10" s="116" t="s">
        <v>148</v>
      </c>
      <c r="E10" s="100">
        <v>48.534170000000003</v>
      </c>
      <c r="F10" s="100">
        <v>3181</v>
      </c>
      <c r="G10" s="100">
        <v>46.04</v>
      </c>
      <c r="H10" s="100">
        <v>2.49417</v>
      </c>
    </row>
    <row r="11" spans="1:8" ht="15" customHeight="1">
      <c r="D11" s="30"/>
      <c r="E11" s="100">
        <v>48.276769999999999</v>
      </c>
      <c r="F11" s="100">
        <v>3655</v>
      </c>
      <c r="G11" s="100">
        <v>45.75</v>
      </c>
      <c r="H11" s="100">
        <v>2.52677</v>
      </c>
    </row>
    <row r="12" spans="1:8" ht="15" customHeight="1">
      <c r="D12" s="30"/>
      <c r="E12" s="100">
        <v>48.137619999999998</v>
      </c>
      <c r="F12" s="100">
        <v>4128</v>
      </c>
      <c r="G12" s="100">
        <v>45.58</v>
      </c>
      <c r="H12" s="100">
        <v>2.55762</v>
      </c>
    </row>
    <row r="13" spans="1:8" ht="15" customHeight="1">
      <c r="D13" s="30"/>
      <c r="E13" s="100">
        <v>47.951810000000002</v>
      </c>
      <c r="F13" s="100">
        <v>4601</v>
      </c>
      <c r="G13" s="100">
        <v>45.6</v>
      </c>
      <c r="H13" s="100">
        <v>2.35181</v>
      </c>
    </row>
    <row r="14" spans="1:8" ht="15" customHeight="1">
      <c r="D14" s="30"/>
      <c r="E14" s="100">
        <v>47.980159999999998</v>
      </c>
      <c r="F14" s="100">
        <v>5074</v>
      </c>
      <c r="G14" s="100">
        <v>45.31</v>
      </c>
      <c r="H14" s="100">
        <v>2.6701600000000001</v>
      </c>
    </row>
    <row r="15" spans="1:8" ht="15" customHeight="1">
      <c r="D15" s="30"/>
      <c r="E15" s="100">
        <v>47.823700000000002</v>
      </c>
      <c r="F15" s="100">
        <v>5548</v>
      </c>
      <c r="G15" s="100">
        <v>45.43</v>
      </c>
      <c r="H15" s="100">
        <v>2.3936999999999999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203</v>
      </c>
      <c r="D1" s="68"/>
      <c r="E1" s="139" t="s">
        <v>204</v>
      </c>
      <c r="F1" s="140"/>
      <c r="G1" s="140"/>
      <c r="H1" s="140"/>
      <c r="J1" s="68"/>
      <c r="K1" s="139" t="s">
        <v>205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127</v>
      </c>
      <c r="D4" s="68" t="s">
        <v>143</v>
      </c>
      <c r="E4" s="74">
        <v>288.62889999999999</v>
      </c>
      <c r="F4" s="75">
        <v>301</v>
      </c>
      <c r="G4" s="75">
        <v>278.93</v>
      </c>
      <c r="H4" s="75">
        <v>9.6989199999999993</v>
      </c>
      <c r="J4" s="68" t="s">
        <v>95</v>
      </c>
      <c r="K4" s="74">
        <v>285.4443</v>
      </c>
      <c r="L4" s="75">
        <v>301</v>
      </c>
      <c r="M4" s="75">
        <v>276.14999999999998</v>
      </c>
      <c r="N4" s="75">
        <v>9.2942999999999998</v>
      </c>
    </row>
    <row r="5" spans="1:14" ht="15" customHeight="1">
      <c r="D5" s="68"/>
      <c r="E5" s="74">
        <v>288.67649999999998</v>
      </c>
      <c r="F5" s="75">
        <v>775</v>
      </c>
      <c r="G5" s="75">
        <v>278.68</v>
      </c>
      <c r="H5" s="75">
        <v>9.9965299999999999</v>
      </c>
      <c r="J5" s="68"/>
      <c r="K5" s="74">
        <v>285.4837</v>
      </c>
      <c r="L5" s="75">
        <v>774</v>
      </c>
      <c r="M5" s="75">
        <v>275.58999999999997</v>
      </c>
      <c r="N5" s="75">
        <v>9.8937200000000001</v>
      </c>
    </row>
    <row r="6" spans="1:14" ht="15" customHeight="1">
      <c r="D6" s="68"/>
      <c r="E6" s="74">
        <v>288.6628</v>
      </c>
      <c r="F6" s="75">
        <v>1248</v>
      </c>
      <c r="G6" s="75">
        <v>278.64</v>
      </c>
      <c r="H6" s="75">
        <v>10.022819999999999</v>
      </c>
      <c r="J6" s="68"/>
      <c r="K6" s="74">
        <v>285.5822</v>
      </c>
      <c r="L6" s="75">
        <v>1247</v>
      </c>
      <c r="M6" s="75">
        <v>276.20999999999998</v>
      </c>
      <c r="N6" s="75">
        <v>9.3722300000000001</v>
      </c>
    </row>
    <row r="7" spans="1:14" ht="15" customHeight="1">
      <c r="D7" s="68"/>
      <c r="E7" s="74">
        <v>288.5247</v>
      </c>
      <c r="F7" s="75">
        <v>1721</v>
      </c>
      <c r="G7" s="75">
        <v>277.18</v>
      </c>
      <c r="H7" s="75">
        <v>11.34469</v>
      </c>
      <c r="J7" s="68"/>
      <c r="K7" s="74">
        <v>285.47289999999998</v>
      </c>
      <c r="L7" s="75">
        <v>1722</v>
      </c>
      <c r="M7" s="75">
        <v>275.98</v>
      </c>
      <c r="N7" s="75">
        <v>9.4928500000000007</v>
      </c>
    </row>
    <row r="8" spans="1:14" ht="15" customHeight="1">
      <c r="D8" s="68"/>
      <c r="E8" s="74">
        <v>288.42849999999999</v>
      </c>
      <c r="F8" s="75">
        <v>2197</v>
      </c>
      <c r="G8" s="75">
        <v>277.47000000000003</v>
      </c>
      <c r="H8" s="75">
        <v>10.95848</v>
      </c>
      <c r="J8" s="68"/>
      <c r="K8" s="74">
        <v>285.33420000000001</v>
      </c>
      <c r="L8" s="75">
        <v>2192</v>
      </c>
      <c r="M8" s="75">
        <v>275.42</v>
      </c>
      <c r="N8" s="75">
        <v>9.9141399999999997</v>
      </c>
    </row>
    <row r="9" spans="1:14" ht="15" customHeight="1">
      <c r="D9" s="68"/>
      <c r="E9" s="74">
        <v>288.1789</v>
      </c>
      <c r="F9" s="75">
        <v>2669</v>
      </c>
      <c r="G9" s="75">
        <v>277.24</v>
      </c>
      <c r="H9" s="75">
        <v>10.93895</v>
      </c>
      <c r="J9" s="68" t="s">
        <v>114</v>
      </c>
      <c r="K9" s="74">
        <v>285.29239999999999</v>
      </c>
      <c r="L9" s="75">
        <v>2666</v>
      </c>
      <c r="M9" s="75">
        <v>277.2</v>
      </c>
      <c r="N9" s="75">
        <v>8.0923700000000007</v>
      </c>
    </row>
    <row r="10" spans="1:14" ht="15" customHeight="1">
      <c r="D10" s="68" t="s">
        <v>120</v>
      </c>
      <c r="E10" s="19">
        <v>288.67579999999998</v>
      </c>
      <c r="F10" s="20">
        <v>3142</v>
      </c>
      <c r="G10" s="20">
        <v>277.01</v>
      </c>
      <c r="H10" s="20">
        <v>11.66574</v>
      </c>
      <c r="J10" s="68"/>
      <c r="K10" s="74">
        <v>285.45589999999999</v>
      </c>
      <c r="L10" s="75">
        <v>3141</v>
      </c>
      <c r="M10" s="75">
        <v>277.05</v>
      </c>
      <c r="N10" s="75">
        <v>8.4058600000000006</v>
      </c>
    </row>
    <row r="11" spans="1:14" ht="15" customHeight="1">
      <c r="D11" s="68"/>
      <c r="E11" s="74">
        <v>288.64980000000003</v>
      </c>
      <c r="F11" s="75">
        <v>3614</v>
      </c>
      <c r="G11" s="75">
        <v>279</v>
      </c>
      <c r="H11" s="75">
        <v>9.6497899999999994</v>
      </c>
      <c r="J11" s="68"/>
      <c r="K11" s="74">
        <v>285.40429999999998</v>
      </c>
      <c r="L11" s="75">
        <v>3614</v>
      </c>
      <c r="M11" s="75">
        <v>277.91000000000003</v>
      </c>
      <c r="N11" s="75">
        <v>7.4942900000000003</v>
      </c>
    </row>
    <row r="12" spans="1:14" ht="15" customHeight="1">
      <c r="D12" s="68"/>
      <c r="E12" s="74">
        <v>288.495</v>
      </c>
      <c r="F12" s="75">
        <v>4087</v>
      </c>
      <c r="G12" s="75">
        <v>278.87</v>
      </c>
      <c r="H12" s="75">
        <v>9.625</v>
      </c>
      <c r="J12" s="68"/>
      <c r="K12" s="74">
        <v>285.48540000000003</v>
      </c>
      <c r="L12" s="75">
        <v>4086</v>
      </c>
      <c r="M12" s="75">
        <v>277.8</v>
      </c>
      <c r="N12" s="75">
        <v>7.6853800000000003</v>
      </c>
    </row>
    <row r="13" spans="1:14" ht="15" customHeight="1">
      <c r="D13" s="68"/>
      <c r="E13" s="74">
        <v>288.46260000000001</v>
      </c>
      <c r="F13" s="75">
        <v>4562</v>
      </c>
      <c r="G13" s="75">
        <v>279.37</v>
      </c>
      <c r="H13" s="75">
        <v>9.0926100000000005</v>
      </c>
      <c r="J13" s="68"/>
      <c r="K13" s="74">
        <v>285.60289999999998</v>
      </c>
      <c r="L13" s="75">
        <v>4562</v>
      </c>
      <c r="M13" s="75">
        <v>278.26</v>
      </c>
      <c r="N13" s="75">
        <v>7.3429200000000003</v>
      </c>
    </row>
    <row r="14" spans="1:14" ht="15" customHeight="1">
      <c r="D14" s="68"/>
      <c r="E14" s="74">
        <v>288.37450000000001</v>
      </c>
      <c r="F14" s="75">
        <v>5036</v>
      </c>
      <c r="G14" s="75">
        <v>278.74</v>
      </c>
      <c r="H14" s="75">
        <v>9.6344799999999999</v>
      </c>
      <c r="J14" s="68"/>
      <c r="K14" s="74">
        <v>285.8569</v>
      </c>
      <c r="L14" s="75">
        <v>5034</v>
      </c>
      <c r="M14" s="75">
        <v>278.79000000000002</v>
      </c>
      <c r="N14" s="75">
        <v>7.0668899999999999</v>
      </c>
    </row>
    <row r="15" spans="1:14" ht="15" customHeight="1">
      <c r="D15" s="68"/>
      <c r="E15" s="74">
        <v>288.30259999999998</v>
      </c>
      <c r="F15" s="75">
        <v>5509</v>
      </c>
      <c r="G15" s="75">
        <v>278.7</v>
      </c>
      <c r="H15" s="75">
        <v>9.6026000000000007</v>
      </c>
      <c r="J15" s="68"/>
      <c r="K15" s="68"/>
      <c r="L15" s="68"/>
      <c r="M15" s="68"/>
      <c r="N15" s="68"/>
    </row>
    <row r="16" spans="1:14" ht="15" customHeight="1">
      <c r="D16" s="68"/>
      <c r="E16" s="68"/>
      <c r="F16" s="68"/>
      <c r="G16" s="68"/>
      <c r="H16" s="68"/>
      <c r="J16" s="68"/>
      <c r="K16" s="68"/>
      <c r="L16" s="68"/>
      <c r="M16" s="68"/>
      <c r="N16" s="68"/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206</v>
      </c>
      <c r="D1" s="68"/>
      <c r="E1" s="139" t="s">
        <v>207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127</v>
      </c>
      <c r="D4" s="68" t="s">
        <v>143</v>
      </c>
      <c r="E4" s="74">
        <v>58.73386</v>
      </c>
      <c r="F4" s="75">
        <v>301</v>
      </c>
      <c r="G4" s="75">
        <v>55</v>
      </c>
      <c r="H4" s="75">
        <v>3.73386</v>
      </c>
    </row>
    <row r="5" spans="1:8" ht="15" customHeight="1">
      <c r="D5" s="68"/>
      <c r="E5" s="74">
        <v>58.84178</v>
      </c>
      <c r="F5" s="75">
        <v>779</v>
      </c>
      <c r="G5" s="75">
        <v>55.35</v>
      </c>
      <c r="H5" s="75">
        <v>3.4917799999999999</v>
      </c>
    </row>
    <row r="6" spans="1:8" ht="15" customHeight="1">
      <c r="D6" s="68"/>
      <c r="E6" s="74">
        <v>58.71067</v>
      </c>
      <c r="F6" s="75">
        <v>1247</v>
      </c>
      <c r="G6" s="75">
        <v>55.25</v>
      </c>
      <c r="H6" s="75">
        <v>3.4606699999999999</v>
      </c>
    </row>
    <row r="7" spans="1:8" ht="15" customHeight="1">
      <c r="D7" s="68"/>
      <c r="E7" s="74">
        <v>58.180909999999997</v>
      </c>
      <c r="F7" s="75">
        <v>1726</v>
      </c>
      <c r="G7" s="75">
        <v>54.95</v>
      </c>
      <c r="H7" s="75">
        <v>3.2309100000000002</v>
      </c>
    </row>
    <row r="8" spans="1:8" ht="15" customHeight="1">
      <c r="D8" s="68"/>
      <c r="E8" s="74">
        <v>58.124090000000002</v>
      </c>
      <c r="F8" s="75">
        <v>2203</v>
      </c>
      <c r="G8" s="75">
        <v>54.83</v>
      </c>
      <c r="H8" s="75">
        <v>3.2940900000000002</v>
      </c>
    </row>
    <row r="9" spans="1:8" ht="15" customHeight="1">
      <c r="D9" s="68"/>
      <c r="E9" s="19">
        <v>58.028179999999999</v>
      </c>
      <c r="F9" s="20">
        <v>2670</v>
      </c>
      <c r="G9" s="20">
        <v>54.6</v>
      </c>
      <c r="H9" s="20">
        <v>3.4281799999999998</v>
      </c>
    </row>
    <row r="10" spans="1:8" ht="15" customHeight="1">
      <c r="D10" s="68" t="s">
        <v>138</v>
      </c>
      <c r="E10" s="74">
        <v>57.85886</v>
      </c>
      <c r="F10" s="75">
        <v>3144</v>
      </c>
      <c r="G10" s="75">
        <v>54.7</v>
      </c>
      <c r="H10" s="75">
        <v>3.1588599999999998</v>
      </c>
    </row>
    <row r="11" spans="1:8" ht="15" customHeight="1">
      <c r="D11" s="68"/>
      <c r="E11" s="74">
        <v>57.748860000000001</v>
      </c>
      <c r="F11" s="75">
        <v>3614</v>
      </c>
      <c r="G11" s="75">
        <v>54.76</v>
      </c>
      <c r="H11" s="75">
        <v>2.9888599999999999</v>
      </c>
    </row>
    <row r="12" spans="1:8" ht="15" customHeight="1">
      <c r="D12" s="68"/>
      <c r="E12" s="74">
        <v>57.740220000000001</v>
      </c>
      <c r="F12" s="75">
        <v>4092</v>
      </c>
      <c r="G12" s="75">
        <v>54.62</v>
      </c>
      <c r="H12" s="75">
        <v>3.1202200000000002</v>
      </c>
    </row>
    <row r="13" spans="1:8" ht="15" customHeight="1">
      <c r="D13" s="68"/>
      <c r="E13" s="74">
        <v>57.411360000000002</v>
      </c>
      <c r="F13" s="75">
        <v>4566</v>
      </c>
      <c r="G13" s="75">
        <v>54.45</v>
      </c>
      <c r="H13" s="75">
        <v>2.96136</v>
      </c>
    </row>
    <row r="14" spans="1:8" ht="15" customHeight="1">
      <c r="D14" s="68"/>
      <c r="E14" s="74">
        <v>57.165329999999997</v>
      </c>
      <c r="F14" s="75">
        <v>5037</v>
      </c>
      <c r="G14" s="75">
        <v>54.07</v>
      </c>
      <c r="H14" s="75">
        <v>3.0953300000000001</v>
      </c>
    </row>
    <row r="15" spans="1:8" ht="15" customHeight="1">
      <c r="D15" s="68"/>
      <c r="E15" s="74">
        <v>57.06</v>
      </c>
      <c r="F15" s="75">
        <v>5511</v>
      </c>
      <c r="G15" s="75">
        <v>54.03</v>
      </c>
      <c r="H15" s="75">
        <v>3.03</v>
      </c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208</v>
      </c>
      <c r="D1" s="68"/>
      <c r="E1" s="139" t="s">
        <v>209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95</v>
      </c>
      <c r="E4" s="92">
        <v>291.32530000000003</v>
      </c>
      <c r="F4" s="117">
        <v>301</v>
      </c>
      <c r="G4" s="117">
        <v>279.77</v>
      </c>
      <c r="H4" s="117">
        <v>11.55528</v>
      </c>
    </row>
    <row r="5" spans="1:8" ht="15" customHeight="1">
      <c r="D5" s="68"/>
      <c r="E5" s="74">
        <v>291.36259999999999</v>
      </c>
      <c r="F5" s="75">
        <v>774</v>
      </c>
      <c r="G5" s="75">
        <v>279.87</v>
      </c>
      <c r="H5" s="75">
        <v>11.49255</v>
      </c>
    </row>
    <row r="6" spans="1:8" ht="15" customHeight="1">
      <c r="D6" s="68"/>
      <c r="E6" s="74">
        <v>291.35759999999999</v>
      </c>
      <c r="F6" s="75">
        <v>1247</v>
      </c>
      <c r="G6" s="75">
        <v>279.70999999999998</v>
      </c>
      <c r="H6" s="75">
        <v>11.647650000000001</v>
      </c>
    </row>
    <row r="7" spans="1:8" ht="15" customHeight="1">
      <c r="D7" s="68"/>
      <c r="E7" s="74">
        <v>291.43150000000003</v>
      </c>
      <c r="F7" s="75">
        <v>1721</v>
      </c>
      <c r="G7" s="75">
        <v>279.79000000000002</v>
      </c>
      <c r="H7" s="75">
        <v>11.641450000000001</v>
      </c>
    </row>
    <row r="8" spans="1:8" ht="15" customHeight="1">
      <c r="D8" s="68"/>
      <c r="E8" s="74">
        <v>291.62889999999999</v>
      </c>
      <c r="F8" s="75">
        <v>2194</v>
      </c>
      <c r="G8" s="75">
        <v>279.06</v>
      </c>
      <c r="H8" s="75">
        <v>12.568910000000001</v>
      </c>
    </row>
    <row r="9" spans="1:8" ht="15" customHeight="1">
      <c r="D9" s="68"/>
      <c r="E9" s="74">
        <v>291.54559999999998</v>
      </c>
      <c r="F9" s="75">
        <v>2668</v>
      </c>
      <c r="G9" s="75">
        <v>279.39</v>
      </c>
      <c r="H9" s="75">
        <v>12.15563</v>
      </c>
    </row>
    <row r="10" spans="1:8" ht="15" customHeight="1">
      <c r="D10" s="68"/>
      <c r="E10" s="74">
        <v>291.54259999999999</v>
      </c>
      <c r="F10" s="75">
        <v>3140</v>
      </c>
      <c r="G10" s="75">
        <v>279.5</v>
      </c>
      <c r="H10" s="75">
        <v>12.042590000000001</v>
      </c>
    </row>
    <row r="11" spans="1:8" ht="15" customHeight="1">
      <c r="D11" s="68" t="s">
        <v>114</v>
      </c>
      <c r="E11" s="19">
        <v>291.31380000000001</v>
      </c>
      <c r="F11" s="20">
        <v>3617</v>
      </c>
      <c r="G11" s="20">
        <v>280.25</v>
      </c>
      <c r="H11" s="20">
        <v>11.06382</v>
      </c>
    </row>
    <row r="12" spans="1:8" ht="15" customHeight="1">
      <c r="D12" s="68"/>
      <c r="E12" s="74">
        <v>291.26729999999998</v>
      </c>
      <c r="F12" s="75">
        <v>4090</v>
      </c>
      <c r="G12" s="75">
        <v>281.76</v>
      </c>
      <c r="H12" s="75">
        <v>9.5072600000000005</v>
      </c>
    </row>
    <row r="13" spans="1:8" ht="15" customHeight="1">
      <c r="D13" s="68"/>
      <c r="E13" s="74">
        <v>291.2756</v>
      </c>
      <c r="F13" s="75">
        <v>4562</v>
      </c>
      <c r="G13" s="75">
        <v>282.08999999999997</v>
      </c>
      <c r="H13" s="75">
        <v>9.1856399999999994</v>
      </c>
    </row>
    <row r="14" spans="1:8" ht="15" customHeight="1">
      <c r="D14" s="68"/>
      <c r="E14" s="74">
        <v>291.39109999999999</v>
      </c>
      <c r="F14" s="75">
        <v>5036</v>
      </c>
      <c r="G14" s="75">
        <v>282.36</v>
      </c>
      <c r="H14" s="75">
        <v>9.0311000000000003</v>
      </c>
    </row>
    <row r="15" spans="1:8" ht="15" customHeight="1">
      <c r="D15" s="68"/>
      <c r="E15" s="74">
        <v>291.5102</v>
      </c>
      <c r="F15" s="75">
        <v>5510</v>
      </c>
      <c r="G15" s="75">
        <v>282.7</v>
      </c>
      <c r="H15" s="75">
        <v>8.8101699999999994</v>
      </c>
    </row>
    <row r="16" spans="1:8" ht="15" customHeight="1">
      <c r="D16" s="68"/>
      <c r="E16" s="74">
        <v>291.62959999999998</v>
      </c>
      <c r="F16" s="75">
        <v>5983</v>
      </c>
      <c r="G16" s="75">
        <v>283.08999999999997</v>
      </c>
      <c r="H16" s="75">
        <v>8.5396300000000007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</row>
    <row r="23" spans="4:8" ht="15" customHeight="1">
      <c r="D23" s="68"/>
    </row>
    <row r="24" spans="4:8" ht="15" customHeight="1">
      <c r="D24" s="68"/>
    </row>
    <row r="25" spans="4:8" ht="15" customHeight="1">
      <c r="D25" s="68"/>
    </row>
    <row r="26" spans="4:8" ht="15" customHeight="1">
      <c r="D26" s="68"/>
    </row>
  </sheetData>
  <mergeCells count="1">
    <mergeCell ref="E1:H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N40"/>
  <sheetViews>
    <sheetView workbookViewId="0"/>
  </sheetViews>
  <sheetFormatPr defaultColWidth="11.19921875" defaultRowHeight="15" customHeight="1"/>
  <sheetData>
    <row r="1" spans="1:14" ht="15" customHeight="1">
      <c r="A1" s="81" t="s">
        <v>210</v>
      </c>
      <c r="D1" s="68"/>
      <c r="E1" s="139" t="s">
        <v>211</v>
      </c>
      <c r="F1" s="140"/>
      <c r="G1" s="140"/>
      <c r="H1" s="140"/>
      <c r="J1" s="68"/>
      <c r="K1" s="139" t="s">
        <v>212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94</v>
      </c>
      <c r="E4" s="74">
        <v>57.251539999999999</v>
      </c>
      <c r="F4" s="75">
        <v>301</v>
      </c>
      <c r="G4" s="75">
        <v>51.95</v>
      </c>
      <c r="H4" s="75">
        <v>5.14154</v>
      </c>
      <c r="J4" s="68" t="s">
        <v>113</v>
      </c>
      <c r="K4" s="74">
        <v>60.940579999999997</v>
      </c>
      <c r="L4" s="75">
        <v>301</v>
      </c>
      <c r="M4" s="75">
        <v>53.97</v>
      </c>
      <c r="N4" s="75">
        <v>6.97058</v>
      </c>
    </row>
    <row r="5" spans="1:14" ht="15" customHeight="1">
      <c r="D5" s="68"/>
      <c r="E5" s="74">
        <v>57.249409999999997</v>
      </c>
      <c r="F5" s="75">
        <v>782</v>
      </c>
      <c r="G5" s="75">
        <v>52.11</v>
      </c>
      <c r="H5" s="75">
        <v>5.2794100000000004</v>
      </c>
      <c r="J5" s="68"/>
      <c r="K5" s="74">
        <v>60.687690000000003</v>
      </c>
      <c r="L5" s="75">
        <v>770</v>
      </c>
      <c r="M5" s="75">
        <v>54.2</v>
      </c>
      <c r="N5" s="75">
        <v>6.4876899999999997</v>
      </c>
    </row>
    <row r="6" spans="1:14" ht="15" customHeight="1">
      <c r="D6" s="68"/>
      <c r="E6" s="74">
        <v>57.144620000000003</v>
      </c>
      <c r="F6" s="75">
        <v>1246</v>
      </c>
      <c r="G6" s="75">
        <v>51.97</v>
      </c>
      <c r="H6" s="75">
        <v>5.1146200000000004</v>
      </c>
      <c r="J6" s="68"/>
      <c r="K6" s="74">
        <v>60.360579999999999</v>
      </c>
      <c r="L6" s="75">
        <v>1245</v>
      </c>
      <c r="M6" s="75">
        <v>53.52</v>
      </c>
      <c r="N6" s="75">
        <v>6.8405800000000001</v>
      </c>
    </row>
    <row r="7" spans="1:14" ht="15" customHeight="1">
      <c r="D7" s="68"/>
      <c r="E7" s="74">
        <v>57.148650000000004</v>
      </c>
      <c r="F7" s="75">
        <v>1723</v>
      </c>
      <c r="G7" s="75">
        <v>52.03</v>
      </c>
      <c r="H7" s="75">
        <v>5.2186500000000002</v>
      </c>
      <c r="J7" s="68"/>
      <c r="K7" s="74">
        <v>60.330379999999998</v>
      </c>
      <c r="L7" s="75">
        <v>1721</v>
      </c>
      <c r="M7" s="75">
        <v>53.96</v>
      </c>
      <c r="N7" s="75">
        <v>6.3703799999999999</v>
      </c>
    </row>
    <row r="8" spans="1:14" ht="15" customHeight="1">
      <c r="D8" s="68"/>
      <c r="E8" s="74">
        <v>56.997309999999999</v>
      </c>
      <c r="F8" s="75">
        <v>2197</v>
      </c>
      <c r="G8" s="75">
        <v>51.93</v>
      </c>
      <c r="H8" s="75">
        <v>5.5573100000000002</v>
      </c>
      <c r="J8" s="68"/>
      <c r="K8" s="74">
        <v>59.8675</v>
      </c>
      <c r="L8" s="75">
        <v>2193</v>
      </c>
      <c r="M8" s="75">
        <v>53.29</v>
      </c>
      <c r="N8" s="75">
        <v>6.5774999999999997</v>
      </c>
    </row>
    <row r="9" spans="1:14" ht="15" customHeight="1">
      <c r="D9" s="68"/>
      <c r="E9" s="74">
        <v>56.897689999999997</v>
      </c>
      <c r="F9" s="75">
        <v>2674</v>
      </c>
      <c r="G9" s="75">
        <v>51.44</v>
      </c>
      <c r="H9" s="75">
        <v>5.4776899999999999</v>
      </c>
      <c r="J9" s="68"/>
      <c r="K9" s="74">
        <v>59.986730000000001</v>
      </c>
      <c r="L9" s="75">
        <v>2662</v>
      </c>
      <c r="M9" s="75">
        <v>53.8</v>
      </c>
      <c r="N9" s="75">
        <v>6.1867299999999998</v>
      </c>
    </row>
    <row r="10" spans="1:14" ht="15" customHeight="1">
      <c r="D10" s="68" t="s">
        <v>114</v>
      </c>
      <c r="E10" s="19">
        <v>56.80077</v>
      </c>
      <c r="F10" s="20">
        <v>3144</v>
      </c>
      <c r="G10" s="20">
        <v>51.42</v>
      </c>
      <c r="H10" s="20">
        <v>4.5607699999999998</v>
      </c>
      <c r="J10" s="68" t="s">
        <v>138</v>
      </c>
      <c r="K10" s="74">
        <v>59.885190000000001</v>
      </c>
      <c r="L10" s="75">
        <v>3139</v>
      </c>
      <c r="M10" s="75">
        <v>54.13</v>
      </c>
      <c r="N10" s="75">
        <v>5.7551899999999998</v>
      </c>
    </row>
    <row r="11" spans="1:14" ht="15" customHeight="1">
      <c r="D11" s="68"/>
      <c r="E11" s="74">
        <v>56.83784</v>
      </c>
      <c r="F11" s="75">
        <v>3611</v>
      </c>
      <c r="G11" s="75">
        <v>52.24</v>
      </c>
      <c r="H11" s="75">
        <v>4.5978399999999997</v>
      </c>
      <c r="J11" s="68"/>
      <c r="K11" s="74">
        <v>59.755580000000002</v>
      </c>
      <c r="L11" s="75">
        <v>3622</v>
      </c>
      <c r="M11" s="75">
        <v>53.9</v>
      </c>
      <c r="N11" s="75">
        <v>5.8555799999999998</v>
      </c>
    </row>
    <row r="12" spans="1:14" ht="15" customHeight="1">
      <c r="D12" s="68"/>
      <c r="E12" s="74">
        <v>56.957650000000001</v>
      </c>
      <c r="F12" s="75">
        <v>4092</v>
      </c>
      <c r="G12" s="75">
        <v>52.41</v>
      </c>
      <c r="H12" s="75">
        <v>4.54765</v>
      </c>
      <c r="J12" s="68"/>
      <c r="K12" s="74">
        <v>59.372689999999999</v>
      </c>
      <c r="L12" s="75">
        <v>4088</v>
      </c>
      <c r="M12" s="75">
        <v>53.48</v>
      </c>
      <c r="N12" s="75">
        <v>5.89269</v>
      </c>
    </row>
    <row r="13" spans="1:14" ht="15" customHeight="1">
      <c r="D13" s="68"/>
      <c r="E13" s="74">
        <v>57.017690000000002</v>
      </c>
      <c r="F13" s="75">
        <v>4566</v>
      </c>
      <c r="G13" s="75">
        <v>52.89</v>
      </c>
      <c r="H13" s="75">
        <v>4.1276900000000003</v>
      </c>
      <c r="J13" s="68"/>
      <c r="K13" s="74">
        <v>59.307310000000001</v>
      </c>
      <c r="L13" s="75">
        <v>4559</v>
      </c>
      <c r="M13" s="75">
        <v>53.1</v>
      </c>
      <c r="N13" s="75">
        <v>6.2073099999999997</v>
      </c>
    </row>
    <row r="14" spans="1:14" ht="15" customHeight="1">
      <c r="D14" s="68"/>
      <c r="E14" s="74">
        <v>56.950380000000003</v>
      </c>
      <c r="F14" s="75">
        <v>5041</v>
      </c>
      <c r="G14" s="75">
        <v>52.62</v>
      </c>
      <c r="H14" s="75">
        <v>4.3303799999999999</v>
      </c>
      <c r="J14" s="68"/>
      <c r="K14" s="74">
        <v>59.3825</v>
      </c>
      <c r="L14" s="75">
        <v>5026</v>
      </c>
      <c r="M14" s="75">
        <v>53.54</v>
      </c>
      <c r="N14" s="75">
        <v>5.8425000000000002</v>
      </c>
    </row>
    <row r="15" spans="1:14" ht="15" customHeight="1">
      <c r="D15" s="68"/>
      <c r="E15" s="74">
        <v>57.209420000000001</v>
      </c>
      <c r="F15" s="75">
        <v>5518</v>
      </c>
      <c r="G15" s="75">
        <v>53.1</v>
      </c>
      <c r="H15" s="75">
        <v>4.1094200000000001</v>
      </c>
      <c r="J15" s="68"/>
      <c r="K15" s="74">
        <v>59.199620000000003</v>
      </c>
      <c r="L15" s="75">
        <v>5509</v>
      </c>
      <c r="M15" s="75">
        <v>53.04</v>
      </c>
      <c r="N15" s="75">
        <v>6.1596200000000003</v>
      </c>
    </row>
    <row r="16" spans="1:14" ht="15" customHeight="1">
      <c r="D16" s="68"/>
      <c r="E16" s="74">
        <v>57.313079999999999</v>
      </c>
      <c r="F16" s="75">
        <v>6002</v>
      </c>
      <c r="G16" s="75">
        <v>53.27</v>
      </c>
      <c r="H16" s="75">
        <v>4.0430799999999998</v>
      </c>
      <c r="J16" s="68"/>
      <c r="K16" s="74">
        <v>58.881729999999997</v>
      </c>
      <c r="L16" s="75">
        <v>5978</v>
      </c>
      <c r="M16" s="75">
        <v>53.31</v>
      </c>
      <c r="N16" s="75">
        <v>5.5717299999999996</v>
      </c>
    </row>
    <row r="17" spans="4:14" ht="15" customHeight="1">
      <c r="D17" s="68"/>
      <c r="E17" s="74">
        <v>57.399419999999999</v>
      </c>
      <c r="F17" s="75">
        <v>6467</v>
      </c>
      <c r="G17" s="75">
        <v>53.31</v>
      </c>
      <c r="H17" s="75">
        <v>4.0894199999999996</v>
      </c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  <row r="27" spans="4:14" ht="15" customHeight="1">
      <c r="J27" s="68"/>
      <c r="K27" s="68"/>
      <c r="L27" s="68"/>
      <c r="M27" s="68"/>
      <c r="N27" s="68"/>
    </row>
    <row r="28" spans="4:14" ht="15.6">
      <c r="J28" s="68"/>
      <c r="K28" s="68"/>
      <c r="L28" s="68"/>
      <c r="M28" s="68"/>
      <c r="N28" s="68"/>
    </row>
    <row r="29" spans="4:14" ht="15.6">
      <c r="J29" s="68"/>
      <c r="K29" s="68"/>
      <c r="L29" s="68"/>
      <c r="M29" s="68"/>
      <c r="N29" s="68"/>
    </row>
    <row r="30" spans="4:14" ht="15.6">
      <c r="J30" s="68"/>
      <c r="K30" s="68"/>
      <c r="L30" s="68"/>
      <c r="M30" s="68"/>
      <c r="N30" s="68"/>
    </row>
    <row r="31" spans="4:14" ht="15.6">
      <c r="J31" s="68"/>
      <c r="K31" s="68"/>
      <c r="L31" s="68"/>
      <c r="M31" s="68"/>
      <c r="N31" s="68"/>
    </row>
    <row r="32" spans="4:14" ht="15.6">
      <c r="J32" s="68"/>
      <c r="K32" s="68"/>
      <c r="L32" s="68"/>
      <c r="M32" s="68"/>
      <c r="N32" s="68"/>
    </row>
    <row r="33" spans="10:14" ht="15.6">
      <c r="J33" s="68"/>
      <c r="K33" s="68"/>
      <c r="L33" s="68"/>
      <c r="M33" s="68"/>
      <c r="N33" s="68"/>
    </row>
    <row r="34" spans="10:14" ht="15.6">
      <c r="J34" s="68"/>
      <c r="K34" s="68"/>
      <c r="L34" s="68"/>
      <c r="M34" s="68"/>
      <c r="N34" s="68"/>
    </row>
    <row r="35" spans="10:14" ht="15.6">
      <c r="J35" s="68"/>
      <c r="K35" s="68"/>
      <c r="L35" s="68"/>
      <c r="M35" s="68"/>
      <c r="N35" s="68"/>
    </row>
    <row r="36" spans="10:14" ht="15.6">
      <c r="J36" s="68"/>
      <c r="K36" s="68"/>
      <c r="L36" s="68"/>
      <c r="M36" s="68"/>
      <c r="N36" s="68"/>
    </row>
    <row r="37" spans="10:14" ht="15.6">
      <c r="J37" s="68"/>
      <c r="K37" s="68"/>
      <c r="L37" s="68"/>
      <c r="M37" s="68"/>
      <c r="N37" s="68"/>
    </row>
    <row r="38" spans="10:14" ht="15.6">
      <c r="J38" s="68"/>
      <c r="K38" s="68"/>
      <c r="L38" s="68"/>
      <c r="M38" s="68"/>
      <c r="N38" s="68"/>
    </row>
    <row r="39" spans="10:14" ht="15.6">
      <c r="J39" s="68"/>
      <c r="K39" s="68"/>
      <c r="L39" s="68"/>
      <c r="M39" s="68"/>
      <c r="N39" s="68"/>
    </row>
    <row r="40" spans="10:14" ht="15.6">
      <c r="J40" s="68"/>
      <c r="K40" s="68"/>
      <c r="L40" s="68"/>
      <c r="M40" s="68"/>
      <c r="N40" s="68"/>
    </row>
  </sheetData>
  <mergeCells count="2">
    <mergeCell ref="E1:H1"/>
    <mergeCell ref="K1:N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213</v>
      </c>
      <c r="D1" s="68"/>
      <c r="E1" s="139" t="s">
        <v>214</v>
      </c>
      <c r="F1" s="140"/>
      <c r="G1" s="140"/>
      <c r="H1" s="140"/>
      <c r="J1" s="68"/>
      <c r="K1" s="139" t="s">
        <v>215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143</v>
      </c>
      <c r="E4" s="74">
        <v>290.91820000000001</v>
      </c>
      <c r="F4" s="75">
        <v>301</v>
      </c>
      <c r="G4" s="75">
        <v>277.26</v>
      </c>
      <c r="H4" s="75">
        <v>13.65814</v>
      </c>
      <c r="J4" s="68" t="s">
        <v>95</v>
      </c>
      <c r="K4" s="74">
        <v>287.51530000000002</v>
      </c>
      <c r="L4" s="75">
        <v>301</v>
      </c>
      <c r="M4" s="75">
        <v>274.31</v>
      </c>
      <c r="N4" s="75">
        <v>13.20532</v>
      </c>
    </row>
    <row r="5" spans="1:14" ht="15" customHeight="1">
      <c r="D5" s="68"/>
      <c r="E5" s="74">
        <v>290.86419999999998</v>
      </c>
      <c r="F5" s="75">
        <v>773</v>
      </c>
      <c r="G5" s="75">
        <v>277.47000000000003</v>
      </c>
      <c r="H5" s="75">
        <v>13.39418</v>
      </c>
      <c r="J5" s="68"/>
      <c r="K5" s="74">
        <v>287.58710000000002</v>
      </c>
      <c r="L5" s="75">
        <v>776</v>
      </c>
      <c r="M5" s="75">
        <v>273.81</v>
      </c>
      <c r="N5" s="75">
        <v>13.777139999999999</v>
      </c>
    </row>
    <row r="6" spans="1:14" ht="15" customHeight="1">
      <c r="D6" s="68"/>
      <c r="E6" s="74">
        <v>290.90629999999999</v>
      </c>
      <c r="F6" s="75">
        <v>1247</v>
      </c>
      <c r="G6" s="75">
        <v>277.3</v>
      </c>
      <c r="H6" s="75">
        <v>13.606310000000001</v>
      </c>
      <c r="J6" s="68"/>
      <c r="K6" s="74">
        <v>287.73689999999999</v>
      </c>
      <c r="L6" s="75">
        <v>1247</v>
      </c>
      <c r="M6" s="75">
        <v>274.27</v>
      </c>
      <c r="N6" s="75">
        <v>13.466950000000001</v>
      </c>
    </row>
    <row r="7" spans="1:14" ht="15" customHeight="1">
      <c r="D7" s="68"/>
      <c r="E7" s="74">
        <v>290.52910000000003</v>
      </c>
      <c r="F7" s="75">
        <v>1719</v>
      </c>
      <c r="G7" s="75">
        <v>276.92</v>
      </c>
      <c r="H7" s="75">
        <v>13.609059999999999</v>
      </c>
      <c r="J7" s="68"/>
      <c r="K7" s="74">
        <v>287.66399999999999</v>
      </c>
      <c r="L7" s="75">
        <v>1723</v>
      </c>
      <c r="M7" s="75">
        <v>274.37</v>
      </c>
      <c r="N7" s="75">
        <v>13.294029999999999</v>
      </c>
    </row>
    <row r="8" spans="1:14" ht="15" customHeight="1">
      <c r="D8" s="68"/>
      <c r="E8" s="74">
        <v>290.38060000000002</v>
      </c>
      <c r="F8" s="75">
        <v>2193</v>
      </c>
      <c r="G8" s="75">
        <v>276.44</v>
      </c>
      <c r="H8" s="75">
        <v>13.94056</v>
      </c>
      <c r="J8" s="68"/>
      <c r="K8" s="74">
        <v>287.37810000000002</v>
      </c>
      <c r="L8" s="75">
        <v>2198</v>
      </c>
      <c r="M8" s="75">
        <v>274.02</v>
      </c>
      <c r="N8" s="75">
        <v>13.35807</v>
      </c>
    </row>
    <row r="9" spans="1:14" ht="15" customHeight="1">
      <c r="D9" s="68"/>
      <c r="E9" s="74">
        <v>290.15410000000003</v>
      </c>
      <c r="F9" s="75">
        <v>2667</v>
      </c>
      <c r="G9" s="75">
        <v>276.72000000000003</v>
      </c>
      <c r="H9" s="75">
        <v>13.43407</v>
      </c>
      <c r="J9" s="68" t="s">
        <v>114</v>
      </c>
      <c r="K9" s="74">
        <v>287.40940000000001</v>
      </c>
      <c r="L9" s="75">
        <v>2670</v>
      </c>
      <c r="M9" s="75">
        <v>277.24</v>
      </c>
      <c r="N9" s="75">
        <v>10.169359999999999</v>
      </c>
    </row>
    <row r="10" spans="1:14" ht="15" customHeight="1">
      <c r="D10" s="68" t="s">
        <v>114</v>
      </c>
      <c r="E10" s="19">
        <v>290.815</v>
      </c>
      <c r="F10" s="20">
        <v>3142</v>
      </c>
      <c r="G10" s="20">
        <v>280.48</v>
      </c>
      <c r="H10" s="20">
        <v>10.334989999999999</v>
      </c>
      <c r="J10" s="68"/>
      <c r="K10" s="74">
        <v>287.36309999999997</v>
      </c>
      <c r="L10" s="75">
        <v>3144</v>
      </c>
      <c r="M10" s="75">
        <v>277.3</v>
      </c>
      <c r="N10" s="75">
        <v>10.06307</v>
      </c>
    </row>
    <row r="11" spans="1:14" ht="15" customHeight="1">
      <c r="D11" s="68"/>
      <c r="E11" s="74">
        <v>290.68700000000001</v>
      </c>
      <c r="F11" s="75">
        <v>3616</v>
      </c>
      <c r="G11" s="75">
        <v>281.23</v>
      </c>
      <c r="H11" s="75">
        <v>9.4570299999999996</v>
      </c>
      <c r="J11" s="68"/>
      <c r="K11" s="74">
        <v>287.2989</v>
      </c>
      <c r="L11" s="75">
        <v>3616</v>
      </c>
      <c r="M11" s="75">
        <v>277.18</v>
      </c>
      <c r="N11" s="75">
        <v>10.1189</v>
      </c>
    </row>
    <row r="12" spans="1:14" ht="15" customHeight="1">
      <c r="D12" s="68"/>
      <c r="E12" s="74">
        <v>290.3141</v>
      </c>
      <c r="F12" s="75">
        <v>4091</v>
      </c>
      <c r="G12" s="75">
        <v>281.32</v>
      </c>
      <c r="H12" s="75">
        <v>8.9940599999999993</v>
      </c>
      <c r="J12" s="68"/>
      <c r="K12" s="74">
        <v>287.45569999999998</v>
      </c>
      <c r="L12" s="75">
        <v>4090</v>
      </c>
      <c r="M12" s="75">
        <v>277.3</v>
      </c>
      <c r="N12" s="75">
        <v>10.15573</v>
      </c>
    </row>
    <row r="13" spans="1:14" ht="15" customHeight="1">
      <c r="D13" s="68"/>
      <c r="E13" s="74">
        <v>290.44220000000001</v>
      </c>
      <c r="F13" s="75">
        <v>4565</v>
      </c>
      <c r="G13" s="75">
        <v>280.94</v>
      </c>
      <c r="H13" s="75">
        <v>9.5022199999999994</v>
      </c>
      <c r="J13" s="68"/>
      <c r="K13" s="74">
        <v>287.65629999999999</v>
      </c>
      <c r="L13" s="75">
        <v>4565</v>
      </c>
      <c r="M13" s="75">
        <v>277.77999999999997</v>
      </c>
      <c r="N13" s="75">
        <v>9.8762899999999991</v>
      </c>
    </row>
    <row r="14" spans="1:14" ht="15" customHeight="1">
      <c r="D14" s="68"/>
      <c r="E14" s="74">
        <v>290.71850000000001</v>
      </c>
      <c r="F14" s="75">
        <v>5035</v>
      </c>
      <c r="G14" s="75">
        <v>281.55</v>
      </c>
      <c r="H14" s="75">
        <v>9.1685300000000005</v>
      </c>
      <c r="J14" s="68"/>
      <c r="K14" s="74">
        <v>287.72840000000002</v>
      </c>
      <c r="L14" s="75">
        <v>5036</v>
      </c>
      <c r="M14" s="75">
        <v>278.08</v>
      </c>
      <c r="N14" s="75">
        <v>9.6484000000000005</v>
      </c>
    </row>
    <row r="15" spans="1:14" ht="15" customHeight="1">
      <c r="D15" s="68"/>
      <c r="E15" s="74">
        <v>290.81259999999997</v>
      </c>
      <c r="F15" s="75">
        <v>5508</v>
      </c>
      <c r="G15" s="75">
        <v>281.55</v>
      </c>
      <c r="H15" s="75">
        <v>9.2625899999999994</v>
      </c>
      <c r="J15" s="68"/>
      <c r="K15" s="68"/>
      <c r="L15" s="68"/>
      <c r="M15" s="68"/>
      <c r="N15" s="68"/>
    </row>
    <row r="16" spans="1:14" ht="15" customHeight="1">
      <c r="D16" s="68"/>
      <c r="E16" s="74">
        <v>290.56950000000001</v>
      </c>
      <c r="F16" s="75">
        <v>5980</v>
      </c>
      <c r="G16" s="75">
        <v>281.04000000000002</v>
      </c>
      <c r="H16" s="75">
        <v>9.5295100000000001</v>
      </c>
      <c r="J16" s="68"/>
      <c r="K16" s="68"/>
      <c r="L16" s="68"/>
      <c r="M16" s="68"/>
      <c r="N16" s="68"/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216</v>
      </c>
      <c r="D1" s="68"/>
      <c r="E1" s="139" t="s">
        <v>217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143</v>
      </c>
      <c r="E4" s="74">
        <v>61.940710000000003</v>
      </c>
      <c r="F4" s="75">
        <v>301</v>
      </c>
      <c r="G4" s="75">
        <v>57.69</v>
      </c>
      <c r="H4" s="75">
        <v>4.2507099999999998</v>
      </c>
    </row>
    <row r="5" spans="1:8" ht="15" customHeight="1">
      <c r="D5" s="68"/>
      <c r="E5" s="74">
        <v>61.640180000000001</v>
      </c>
      <c r="F5" s="75">
        <v>773</v>
      </c>
      <c r="G5" s="75">
        <v>57.18</v>
      </c>
      <c r="H5" s="75">
        <v>4.4601800000000003</v>
      </c>
    </row>
    <row r="6" spans="1:8" ht="15" customHeight="1">
      <c r="D6" s="68"/>
      <c r="E6" s="74">
        <v>61.486609999999999</v>
      </c>
      <c r="F6" s="75">
        <v>1250</v>
      </c>
      <c r="G6" s="75">
        <v>57.29</v>
      </c>
      <c r="H6" s="75">
        <v>4.1966099999999997</v>
      </c>
    </row>
    <row r="7" spans="1:8" ht="15" customHeight="1">
      <c r="D7" s="68"/>
      <c r="E7" s="74">
        <v>61.47804</v>
      </c>
      <c r="F7" s="75">
        <v>1719</v>
      </c>
      <c r="G7" s="75">
        <v>57.45</v>
      </c>
      <c r="H7" s="75">
        <v>4.0280399999999998</v>
      </c>
    </row>
    <row r="8" spans="1:8" ht="15" customHeight="1">
      <c r="D8" s="68"/>
      <c r="E8" s="74">
        <v>61.308210000000003</v>
      </c>
      <c r="F8" s="75">
        <v>2190</v>
      </c>
      <c r="G8" s="75">
        <v>56.82</v>
      </c>
      <c r="H8" s="75">
        <v>4.4882099999999996</v>
      </c>
    </row>
    <row r="9" spans="1:8" ht="15" customHeight="1">
      <c r="D9" s="68"/>
      <c r="E9" s="74">
        <v>60.939030000000002</v>
      </c>
      <c r="F9" s="75">
        <v>2665</v>
      </c>
      <c r="G9" s="75">
        <v>56.7</v>
      </c>
      <c r="H9" s="75">
        <v>4.2390299999999996</v>
      </c>
    </row>
    <row r="10" spans="1:8" ht="15" customHeight="1">
      <c r="D10" s="68" t="s">
        <v>120</v>
      </c>
      <c r="E10" s="19">
        <v>60.792360000000002</v>
      </c>
      <c r="F10" s="20">
        <v>3147</v>
      </c>
      <c r="G10" s="20">
        <v>57.03</v>
      </c>
      <c r="H10" s="20">
        <v>3.7623600000000001</v>
      </c>
    </row>
    <row r="11" spans="1:8" ht="15" customHeight="1">
      <c r="D11" s="68"/>
      <c r="E11" s="74">
        <v>60.549309999999998</v>
      </c>
      <c r="F11" s="75">
        <v>3611</v>
      </c>
      <c r="G11" s="75">
        <v>57.37</v>
      </c>
      <c r="H11" s="75">
        <v>3.1793100000000001</v>
      </c>
    </row>
    <row r="12" spans="1:8" ht="15" customHeight="1">
      <c r="D12" s="68"/>
      <c r="E12" s="74">
        <v>60.397359999999999</v>
      </c>
      <c r="F12" s="75">
        <v>4087</v>
      </c>
      <c r="G12" s="75">
        <v>57.27</v>
      </c>
      <c r="H12" s="75">
        <v>3.1273599999999999</v>
      </c>
    </row>
    <row r="13" spans="1:8" ht="15" customHeight="1">
      <c r="D13" s="68"/>
      <c r="E13" s="74">
        <v>59.915140000000001</v>
      </c>
      <c r="F13" s="75">
        <v>4561</v>
      </c>
      <c r="G13" s="75">
        <v>56.42</v>
      </c>
      <c r="H13" s="75">
        <v>3.4951400000000001</v>
      </c>
    </row>
    <row r="14" spans="1:8" ht="15" customHeight="1">
      <c r="D14" s="68"/>
      <c r="E14" s="74">
        <v>59.661389999999997</v>
      </c>
      <c r="F14" s="75">
        <v>5038</v>
      </c>
      <c r="G14" s="75">
        <v>56.44</v>
      </c>
      <c r="H14" s="75">
        <v>3.22139</v>
      </c>
    </row>
    <row r="15" spans="1:8" ht="15" customHeight="1">
      <c r="D15" s="68"/>
      <c r="E15" s="74">
        <v>59.724310000000003</v>
      </c>
      <c r="F15" s="75">
        <v>5507</v>
      </c>
      <c r="G15" s="75">
        <v>56.38</v>
      </c>
      <c r="H15" s="75">
        <v>3.3443100000000001</v>
      </c>
    </row>
    <row r="16" spans="1:8" ht="15" customHeight="1">
      <c r="D16" s="68"/>
      <c r="E16" s="74">
        <v>59.75</v>
      </c>
      <c r="F16" s="75">
        <v>5983</v>
      </c>
      <c r="G16" s="75">
        <v>56.38</v>
      </c>
      <c r="H16" s="75">
        <v>3.37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N42"/>
  <sheetViews>
    <sheetView workbookViewId="0"/>
  </sheetViews>
  <sheetFormatPr defaultColWidth="11.19921875" defaultRowHeight="15" customHeight="1"/>
  <sheetData>
    <row r="1" spans="1:14" ht="15" customHeight="1">
      <c r="A1" s="81" t="s">
        <v>218</v>
      </c>
      <c r="D1" s="68"/>
      <c r="E1" s="139" t="s">
        <v>219</v>
      </c>
      <c r="F1" s="140"/>
      <c r="G1" s="140"/>
      <c r="H1" s="140"/>
      <c r="J1" s="68"/>
      <c r="K1" s="139" t="s">
        <v>220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113</v>
      </c>
      <c r="E4" s="74">
        <v>291.82459999999998</v>
      </c>
      <c r="F4" s="75">
        <v>302</v>
      </c>
      <c r="G4" s="75">
        <v>277.32</v>
      </c>
      <c r="H4" s="75">
        <v>14.504630000000001</v>
      </c>
      <c r="J4" s="68" t="s">
        <v>113</v>
      </c>
      <c r="K4" s="74">
        <v>293.80470000000003</v>
      </c>
      <c r="L4" s="75">
        <v>301</v>
      </c>
      <c r="M4" s="75">
        <v>277.7</v>
      </c>
      <c r="N4" s="75">
        <v>16.10472</v>
      </c>
    </row>
    <row r="5" spans="1:14" ht="15" customHeight="1">
      <c r="D5" s="68"/>
      <c r="E5" s="74">
        <v>291.76979999999998</v>
      </c>
      <c r="F5" s="75">
        <v>775</v>
      </c>
      <c r="G5" s="75">
        <v>277.43</v>
      </c>
      <c r="H5" s="75">
        <v>14.339829999999999</v>
      </c>
      <c r="J5" s="68"/>
      <c r="K5" s="74">
        <v>293.62299999999999</v>
      </c>
      <c r="L5" s="75">
        <v>774</v>
      </c>
      <c r="M5" s="75">
        <v>277.58999999999997</v>
      </c>
      <c r="N5" s="75">
        <v>16.03303</v>
      </c>
    </row>
    <row r="6" spans="1:14" ht="15" customHeight="1">
      <c r="D6" s="68"/>
      <c r="E6" s="74">
        <v>291.72500000000002</v>
      </c>
      <c r="F6" s="75">
        <v>1250</v>
      </c>
      <c r="G6" s="75">
        <v>277.01</v>
      </c>
      <c r="H6" s="75">
        <v>14.71499</v>
      </c>
      <c r="J6" s="68"/>
      <c r="K6" s="74">
        <v>293.56490000000002</v>
      </c>
      <c r="L6" s="75">
        <v>1249</v>
      </c>
      <c r="M6" s="75">
        <v>276.20999999999998</v>
      </c>
      <c r="N6" s="75">
        <v>17.35492</v>
      </c>
    </row>
    <row r="7" spans="1:14" ht="15" customHeight="1">
      <c r="D7" s="68"/>
      <c r="E7" s="74">
        <v>292.17700000000002</v>
      </c>
      <c r="F7" s="75">
        <v>1722</v>
      </c>
      <c r="G7" s="75">
        <v>277.52999999999997</v>
      </c>
      <c r="H7" s="75">
        <v>14.64697</v>
      </c>
      <c r="J7" s="68"/>
      <c r="K7" s="74">
        <v>293.38630000000001</v>
      </c>
      <c r="L7" s="75">
        <v>1722</v>
      </c>
      <c r="M7" s="75">
        <v>275.89999999999998</v>
      </c>
      <c r="N7" s="75">
        <v>17.486260000000001</v>
      </c>
    </row>
    <row r="8" spans="1:14" ht="15" customHeight="1">
      <c r="D8" s="68"/>
      <c r="E8" s="74">
        <v>292.77679999999998</v>
      </c>
      <c r="F8" s="75">
        <v>2196</v>
      </c>
      <c r="G8" s="75">
        <v>277.11</v>
      </c>
      <c r="H8" s="75">
        <v>15.666790000000001</v>
      </c>
      <c r="J8" s="68"/>
      <c r="K8" s="74">
        <v>293.47050000000002</v>
      </c>
      <c r="L8" s="75">
        <v>2194</v>
      </c>
      <c r="M8" s="75">
        <v>276.33999999999997</v>
      </c>
      <c r="N8" s="75">
        <v>17.13054</v>
      </c>
    </row>
    <row r="9" spans="1:14" ht="15" customHeight="1">
      <c r="D9" s="68"/>
      <c r="E9" s="74">
        <v>293.03550000000001</v>
      </c>
      <c r="F9" s="75">
        <v>2668</v>
      </c>
      <c r="G9" s="75">
        <v>277.97000000000003</v>
      </c>
      <c r="H9" s="75">
        <v>15.065530000000001</v>
      </c>
      <c r="J9" s="68"/>
      <c r="K9" s="74">
        <v>293.45069999999998</v>
      </c>
      <c r="L9" s="75">
        <v>2666</v>
      </c>
      <c r="M9" s="75">
        <v>276.13</v>
      </c>
      <c r="N9" s="75">
        <v>17.320730000000001</v>
      </c>
    </row>
    <row r="10" spans="1:14" ht="15" customHeight="1">
      <c r="D10" s="68" t="s">
        <v>120</v>
      </c>
      <c r="E10" s="19">
        <v>292.33789999999999</v>
      </c>
      <c r="F10" s="20">
        <v>3143</v>
      </c>
      <c r="G10" s="20">
        <v>279.39</v>
      </c>
      <c r="H10" s="20">
        <v>12.947839999999999</v>
      </c>
      <c r="J10" s="68"/>
      <c r="K10" s="74">
        <v>293.1764</v>
      </c>
      <c r="L10" s="75">
        <v>3141</v>
      </c>
      <c r="M10" s="75">
        <v>275.14999999999998</v>
      </c>
      <c r="N10" s="75">
        <v>18.026440000000001</v>
      </c>
    </row>
    <row r="11" spans="1:14" ht="15" customHeight="1">
      <c r="D11" s="68"/>
      <c r="E11" s="74">
        <v>292.66230000000002</v>
      </c>
      <c r="F11" s="75">
        <v>3617</v>
      </c>
      <c r="G11" s="75">
        <v>280.27</v>
      </c>
      <c r="H11" s="75">
        <v>12.392329999999999</v>
      </c>
      <c r="J11" s="68" t="s">
        <v>138</v>
      </c>
      <c r="K11" s="19">
        <v>292.94929999999999</v>
      </c>
      <c r="L11" s="20">
        <v>3621</v>
      </c>
      <c r="M11" s="20">
        <v>277.66000000000003</v>
      </c>
      <c r="N11" s="20">
        <v>15.28927</v>
      </c>
    </row>
    <row r="12" spans="1:14" ht="15" customHeight="1">
      <c r="D12" s="68"/>
      <c r="E12" s="74">
        <v>292.6979</v>
      </c>
      <c r="F12" s="75">
        <v>4089</v>
      </c>
      <c r="G12" s="75">
        <v>280.31</v>
      </c>
      <c r="H12" s="75">
        <v>12.38785</v>
      </c>
      <c r="J12" s="68"/>
      <c r="K12" s="19">
        <v>293.2593</v>
      </c>
      <c r="L12" s="20">
        <v>4093</v>
      </c>
      <c r="M12" s="20">
        <v>278.81</v>
      </c>
      <c r="N12" s="20">
        <v>14.44927</v>
      </c>
    </row>
    <row r="13" spans="1:14" ht="15" customHeight="1">
      <c r="D13" s="68"/>
      <c r="E13" s="74">
        <v>292.6755</v>
      </c>
      <c r="F13" s="75">
        <v>4563</v>
      </c>
      <c r="G13" s="75">
        <v>280.20999999999998</v>
      </c>
      <c r="H13" s="75">
        <v>12.465540000000001</v>
      </c>
      <c r="J13" s="68"/>
      <c r="K13" s="19">
        <v>293.09480000000002</v>
      </c>
      <c r="L13" s="20">
        <v>4565</v>
      </c>
      <c r="M13" s="20">
        <v>278.12</v>
      </c>
      <c r="N13" s="20">
        <v>14.974819999999999</v>
      </c>
    </row>
    <row r="14" spans="1:14" ht="15" customHeight="1">
      <c r="D14" s="68"/>
      <c r="E14" s="74">
        <v>292.8186</v>
      </c>
      <c r="F14" s="75">
        <v>5037</v>
      </c>
      <c r="G14" s="75">
        <v>280.38</v>
      </c>
      <c r="H14" s="75">
        <v>12.43857</v>
      </c>
      <c r="J14" s="68"/>
      <c r="K14" s="74">
        <v>292.78699999999998</v>
      </c>
      <c r="L14" s="75">
        <v>5040</v>
      </c>
      <c r="M14" s="75">
        <v>277.13</v>
      </c>
      <c r="N14" s="75">
        <v>15.65696</v>
      </c>
    </row>
    <row r="15" spans="1:14" ht="15" customHeight="1">
      <c r="D15" s="68"/>
      <c r="E15" s="74">
        <v>293.14179999999999</v>
      </c>
      <c r="F15" s="75">
        <v>5509</v>
      </c>
      <c r="G15" s="75">
        <v>280.17</v>
      </c>
      <c r="H15" s="75">
        <v>12.971780000000001</v>
      </c>
      <c r="J15" s="68"/>
      <c r="K15" s="74">
        <v>293.31450000000001</v>
      </c>
      <c r="L15" s="75">
        <v>5511</v>
      </c>
      <c r="M15" s="75">
        <v>278.05</v>
      </c>
      <c r="N15" s="75">
        <v>15.264469999999999</v>
      </c>
    </row>
    <row r="16" spans="1:14" ht="15" customHeight="1">
      <c r="D16" s="68"/>
      <c r="E16" s="74">
        <v>293.25729999999999</v>
      </c>
      <c r="F16" s="75">
        <v>5983</v>
      </c>
      <c r="G16" s="75">
        <v>280.86</v>
      </c>
      <c r="H16" s="75">
        <v>12.39733</v>
      </c>
      <c r="J16" s="68"/>
      <c r="K16" s="74">
        <v>293.53019999999998</v>
      </c>
      <c r="L16" s="75">
        <v>5986</v>
      </c>
      <c r="M16" s="75">
        <v>278.26</v>
      </c>
      <c r="N16" s="75">
        <v>15.27017</v>
      </c>
    </row>
    <row r="17" spans="4:14" ht="15" customHeight="1">
      <c r="D17" s="68"/>
      <c r="E17" s="68"/>
      <c r="F17" s="68"/>
      <c r="G17" s="68"/>
      <c r="H17" s="68"/>
      <c r="J17" s="68"/>
      <c r="K17" s="74">
        <v>293.64179999999999</v>
      </c>
      <c r="L17" s="75">
        <v>6458</v>
      </c>
      <c r="M17" s="75">
        <v>278.14</v>
      </c>
      <c r="N17" s="75">
        <v>15.50178</v>
      </c>
    </row>
    <row r="18" spans="4:14" ht="15" customHeight="1">
      <c r="D18" s="68"/>
      <c r="E18" s="68"/>
      <c r="F18" s="68"/>
      <c r="G18" s="68"/>
      <c r="H18" s="68"/>
      <c r="J18" s="68"/>
      <c r="K18" s="74">
        <v>293.71069999999997</v>
      </c>
      <c r="L18" s="75">
        <v>6934</v>
      </c>
      <c r="M18" s="75">
        <v>277.55</v>
      </c>
      <c r="N18" s="75">
        <v>16.160720000000001</v>
      </c>
    </row>
    <row r="19" spans="4:14" ht="15" customHeight="1">
      <c r="D19" s="68"/>
      <c r="E19" s="68"/>
      <c r="F19" s="68"/>
      <c r="G19" s="68"/>
      <c r="H19" s="68"/>
      <c r="J19" s="68"/>
      <c r="K19" s="74">
        <v>293.56880000000001</v>
      </c>
      <c r="L19" s="75">
        <v>7404</v>
      </c>
      <c r="M19" s="75">
        <v>277.43</v>
      </c>
      <c r="N19" s="75">
        <v>16.138760000000001</v>
      </c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  <row r="27" spans="4:14" ht="15" customHeight="1">
      <c r="J27" s="68"/>
      <c r="K27" s="68"/>
      <c r="L27" s="68"/>
      <c r="M27" s="68"/>
      <c r="N27" s="68"/>
    </row>
    <row r="28" spans="4:14" ht="15.6">
      <c r="J28" s="68"/>
      <c r="K28" s="68"/>
      <c r="L28" s="68"/>
      <c r="M28" s="68"/>
      <c r="N28" s="68"/>
    </row>
    <row r="29" spans="4:14" ht="15.6">
      <c r="J29" s="68"/>
      <c r="K29" s="68"/>
      <c r="L29" s="68"/>
      <c r="M29" s="68"/>
      <c r="N29" s="68"/>
    </row>
    <row r="30" spans="4:14" ht="15.6">
      <c r="J30" s="68"/>
      <c r="K30" s="68"/>
      <c r="L30" s="68"/>
      <c r="M30" s="68"/>
      <c r="N30" s="68"/>
    </row>
    <row r="31" spans="4:14" ht="15.6">
      <c r="J31" s="68"/>
      <c r="K31" s="68"/>
      <c r="L31" s="68"/>
      <c r="M31" s="68"/>
      <c r="N31" s="68"/>
    </row>
    <row r="32" spans="4:14" ht="15.6">
      <c r="J32" s="68"/>
      <c r="K32" s="68"/>
      <c r="L32" s="68"/>
      <c r="M32" s="68"/>
      <c r="N32" s="68"/>
    </row>
    <row r="33" spans="10:14" ht="15.6">
      <c r="J33" s="68"/>
      <c r="K33" s="68"/>
      <c r="L33" s="68"/>
      <c r="M33" s="68"/>
      <c r="N33" s="68"/>
    </row>
    <row r="34" spans="10:14" ht="15.6">
      <c r="J34" s="68"/>
      <c r="K34" s="68"/>
      <c r="L34" s="68"/>
      <c r="M34" s="68"/>
      <c r="N34" s="68"/>
    </row>
    <row r="35" spans="10:14" ht="15.6">
      <c r="J35" s="68"/>
      <c r="K35" s="68"/>
      <c r="L35" s="68"/>
      <c r="M35" s="68"/>
      <c r="N35" s="68"/>
    </row>
    <row r="36" spans="10:14" ht="15.6">
      <c r="J36" s="68"/>
      <c r="K36" s="68"/>
      <c r="L36" s="68"/>
      <c r="M36" s="68"/>
      <c r="N36" s="68"/>
    </row>
    <row r="37" spans="10:14" ht="15.6">
      <c r="J37" s="68"/>
      <c r="K37" s="68"/>
      <c r="L37" s="68"/>
      <c r="M37" s="68"/>
      <c r="N37" s="68"/>
    </row>
    <row r="38" spans="10:14" ht="15.6">
      <c r="J38" s="68"/>
      <c r="K38" s="68"/>
      <c r="L38" s="68"/>
      <c r="M38" s="68"/>
      <c r="N38" s="68"/>
    </row>
    <row r="39" spans="10:14" ht="15.6">
      <c r="J39" s="68"/>
      <c r="K39" s="68"/>
      <c r="L39" s="68"/>
      <c r="M39" s="68"/>
      <c r="N39" s="68"/>
    </row>
    <row r="40" spans="10:14" ht="15.6">
      <c r="J40" s="68"/>
      <c r="K40" s="68"/>
      <c r="L40" s="68"/>
      <c r="M40" s="68"/>
      <c r="N40" s="68"/>
    </row>
    <row r="41" spans="10:14" ht="15.6">
      <c r="J41" s="68"/>
      <c r="K41" s="68"/>
      <c r="L41" s="68"/>
      <c r="M41" s="68"/>
      <c r="N41" s="68"/>
    </row>
    <row r="42" spans="10:14" ht="15.6">
      <c r="J42" s="68"/>
      <c r="K42" s="68"/>
      <c r="L42" s="68"/>
      <c r="M42" s="68"/>
      <c r="N42" s="68"/>
    </row>
  </sheetData>
  <mergeCells count="2">
    <mergeCell ref="E1:H1"/>
    <mergeCell ref="K1:N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221</v>
      </c>
      <c r="D1" s="68"/>
      <c r="E1" s="139" t="s">
        <v>222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143</v>
      </c>
      <c r="E4" s="92">
        <v>60.571959999999997</v>
      </c>
      <c r="F4" s="117">
        <v>277</v>
      </c>
      <c r="G4" s="117">
        <v>55.86</v>
      </c>
      <c r="H4" s="117">
        <v>4.7119600000000004</v>
      </c>
    </row>
    <row r="5" spans="1:8" ht="15" customHeight="1">
      <c r="D5" s="68"/>
      <c r="E5" s="74">
        <v>60.377139999999997</v>
      </c>
      <c r="F5" s="75">
        <v>750</v>
      </c>
      <c r="G5" s="75">
        <v>55.65</v>
      </c>
      <c r="H5" s="75">
        <v>4.7271400000000003</v>
      </c>
    </row>
    <row r="6" spans="1:8" ht="15" customHeight="1">
      <c r="D6" s="68"/>
      <c r="E6" s="74">
        <v>60.081449999999997</v>
      </c>
      <c r="F6" s="75">
        <v>1224</v>
      </c>
      <c r="G6" s="75">
        <v>55.23</v>
      </c>
      <c r="H6" s="75">
        <v>4.8514499999999998</v>
      </c>
    </row>
    <row r="7" spans="1:8" ht="15" customHeight="1">
      <c r="D7" s="68"/>
      <c r="E7" s="74">
        <v>59.727319999999999</v>
      </c>
      <c r="F7" s="75">
        <v>1701</v>
      </c>
      <c r="G7" s="75">
        <v>54.78</v>
      </c>
      <c r="H7" s="75">
        <v>4.9473200000000004</v>
      </c>
    </row>
    <row r="8" spans="1:8" ht="15" customHeight="1">
      <c r="D8" s="68"/>
      <c r="E8" s="74">
        <v>59.393389999999997</v>
      </c>
      <c r="F8" s="75">
        <v>2169</v>
      </c>
      <c r="G8" s="75">
        <v>54.72</v>
      </c>
      <c r="H8" s="75">
        <v>4.6733900000000004</v>
      </c>
    </row>
    <row r="9" spans="1:8" ht="15" customHeight="1">
      <c r="D9" s="68"/>
      <c r="E9" s="74">
        <v>59.46161</v>
      </c>
      <c r="F9" s="75">
        <v>2646</v>
      </c>
      <c r="G9" s="75">
        <v>54.87</v>
      </c>
      <c r="H9" s="75">
        <v>4.5916100000000002</v>
      </c>
    </row>
    <row r="10" spans="1:8" ht="15" customHeight="1">
      <c r="D10" s="68" t="s">
        <v>120</v>
      </c>
      <c r="E10" s="74">
        <v>59.179290000000002</v>
      </c>
      <c r="F10" s="75">
        <v>3126</v>
      </c>
      <c r="G10" s="75">
        <v>55.5</v>
      </c>
      <c r="H10" s="75">
        <v>3.6792899999999999</v>
      </c>
    </row>
    <row r="11" spans="1:8" ht="15" customHeight="1">
      <c r="D11" s="68"/>
      <c r="E11" s="74">
        <v>58.894640000000003</v>
      </c>
      <c r="F11" s="75">
        <v>3595</v>
      </c>
      <c r="G11" s="75">
        <v>54.91</v>
      </c>
      <c r="H11" s="75">
        <v>3.9846400000000002</v>
      </c>
    </row>
    <row r="12" spans="1:8" ht="15" customHeight="1">
      <c r="D12" s="68"/>
      <c r="E12" s="74">
        <v>58.518210000000003</v>
      </c>
      <c r="F12" s="75">
        <v>4067</v>
      </c>
      <c r="G12" s="75">
        <v>54.95</v>
      </c>
      <c r="H12" s="75">
        <v>3.5682100000000001</v>
      </c>
    </row>
    <row r="13" spans="1:8" ht="15" customHeight="1">
      <c r="D13" s="68"/>
      <c r="E13" s="74">
        <v>58.279260000000001</v>
      </c>
      <c r="F13" s="75">
        <v>4538</v>
      </c>
      <c r="G13" s="75">
        <v>54.62</v>
      </c>
      <c r="H13" s="75">
        <v>3.6592600000000002</v>
      </c>
    </row>
    <row r="14" spans="1:8" ht="15" customHeight="1">
      <c r="D14" s="68"/>
      <c r="E14" s="74">
        <v>58.104410000000001</v>
      </c>
      <c r="F14" s="75">
        <v>5013</v>
      </c>
      <c r="G14" s="75">
        <v>54.28</v>
      </c>
      <c r="H14" s="75">
        <v>3.8244099999999999</v>
      </c>
    </row>
    <row r="15" spans="1:8" ht="15" customHeight="1">
      <c r="D15" s="68"/>
      <c r="E15" s="74">
        <v>58.062350000000002</v>
      </c>
      <c r="F15" s="75">
        <v>5487</v>
      </c>
      <c r="G15" s="75">
        <v>54.22</v>
      </c>
      <c r="H15" s="75">
        <v>3.8423500000000002</v>
      </c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</row>
    <row r="22" spans="4:8" ht="15" customHeight="1">
      <c r="D22" s="68"/>
    </row>
    <row r="23" spans="4:8" ht="15" customHeight="1">
      <c r="D23" s="68"/>
    </row>
    <row r="24" spans="4:8" ht="15" customHeight="1">
      <c r="D24" s="68"/>
    </row>
    <row r="25" spans="4:8" ht="15" customHeight="1">
      <c r="D25" s="68"/>
    </row>
    <row r="26" spans="4:8" ht="15" customHeight="1">
      <c r="D26" s="68"/>
    </row>
  </sheetData>
  <mergeCells count="1">
    <mergeCell ref="E1:H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223</v>
      </c>
      <c r="D1" s="68"/>
      <c r="E1" s="139" t="s">
        <v>224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296.13679999999999</v>
      </c>
      <c r="F4" s="75">
        <v>301</v>
      </c>
      <c r="G4" s="75">
        <v>277.95</v>
      </c>
      <c r="H4" s="75">
        <v>18.186769999999999</v>
      </c>
    </row>
    <row r="5" spans="1:8" ht="15" customHeight="1">
      <c r="D5" s="68"/>
      <c r="E5" s="74">
        <v>295.82510000000002</v>
      </c>
      <c r="F5" s="75">
        <v>774</v>
      </c>
      <c r="G5" s="75">
        <v>278.12</v>
      </c>
      <c r="H5" s="75">
        <v>17.705079999999999</v>
      </c>
    </row>
    <row r="6" spans="1:8" ht="15" customHeight="1">
      <c r="D6" s="68"/>
      <c r="E6" s="74">
        <v>295.73590000000002</v>
      </c>
      <c r="F6" s="75">
        <v>1249</v>
      </c>
      <c r="G6" s="75">
        <v>277.74</v>
      </c>
      <c r="H6" s="75">
        <v>17.995940000000001</v>
      </c>
    </row>
    <row r="7" spans="1:8" ht="15" customHeight="1">
      <c r="D7" s="68"/>
      <c r="E7" s="74">
        <v>295.4864</v>
      </c>
      <c r="F7" s="75">
        <v>1724</v>
      </c>
      <c r="G7" s="75">
        <v>276.88</v>
      </c>
      <c r="H7" s="75">
        <v>18.606439999999999</v>
      </c>
    </row>
    <row r="8" spans="1:8" ht="15" customHeight="1">
      <c r="D8" s="68"/>
      <c r="E8" s="74">
        <v>295.17070000000001</v>
      </c>
      <c r="F8" s="75">
        <v>2197</v>
      </c>
      <c r="G8" s="75">
        <v>277.26</v>
      </c>
      <c r="H8" s="75">
        <v>17.91067</v>
      </c>
    </row>
    <row r="9" spans="1:8" ht="15" customHeight="1">
      <c r="D9" s="68"/>
      <c r="E9" s="74">
        <v>295.12639999999999</v>
      </c>
      <c r="F9" s="75">
        <v>2670</v>
      </c>
      <c r="G9" s="75">
        <v>280.83999999999997</v>
      </c>
      <c r="H9" s="75">
        <v>14.286440000000001</v>
      </c>
    </row>
    <row r="10" spans="1:8" ht="15" customHeight="1">
      <c r="D10" s="68" t="s">
        <v>120</v>
      </c>
      <c r="E10" s="74">
        <v>294.87869999999998</v>
      </c>
      <c r="F10" s="75">
        <v>3142</v>
      </c>
      <c r="G10" s="75">
        <v>280.48</v>
      </c>
      <c r="H10" s="75">
        <v>14.39864</v>
      </c>
    </row>
    <row r="11" spans="1:8" ht="15" customHeight="1">
      <c r="D11" s="68"/>
      <c r="E11" s="74">
        <v>294.8485</v>
      </c>
      <c r="F11" s="75">
        <v>3614</v>
      </c>
      <c r="G11" s="75">
        <v>280.95999999999998</v>
      </c>
      <c r="H11" s="75">
        <v>13.888489999999999</v>
      </c>
    </row>
    <row r="12" spans="1:8" ht="15" customHeight="1">
      <c r="D12" s="68"/>
      <c r="E12" s="74">
        <v>294.57799999999997</v>
      </c>
      <c r="F12" s="75">
        <v>4092</v>
      </c>
      <c r="G12" s="75">
        <v>280.48</v>
      </c>
      <c r="H12" s="75">
        <v>14.09796</v>
      </c>
    </row>
    <row r="13" spans="1:8" ht="15" customHeight="1">
      <c r="D13" s="68"/>
      <c r="E13" s="74">
        <v>294.40480000000002</v>
      </c>
      <c r="F13" s="75">
        <v>4564</v>
      </c>
      <c r="G13" s="75">
        <v>280.27</v>
      </c>
      <c r="H13" s="75">
        <v>14.13476</v>
      </c>
    </row>
    <row r="14" spans="1:8" ht="15" customHeight="1">
      <c r="D14" s="68"/>
      <c r="E14" s="74">
        <v>294.31729999999999</v>
      </c>
      <c r="F14" s="75">
        <v>5038</v>
      </c>
      <c r="G14" s="75">
        <v>280.45999999999998</v>
      </c>
      <c r="H14" s="75">
        <v>13.8573</v>
      </c>
    </row>
    <row r="15" spans="1:8" ht="15" customHeight="1">
      <c r="D15" s="68"/>
      <c r="E15" s="68"/>
      <c r="F15" s="68"/>
      <c r="G15" s="68"/>
      <c r="H15" s="68"/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225</v>
      </c>
      <c r="D1" s="68"/>
      <c r="E1" s="139" t="s">
        <v>226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127</v>
      </c>
      <c r="D4" s="68" t="s">
        <v>113</v>
      </c>
      <c r="E4" s="74">
        <v>60.201360000000001</v>
      </c>
      <c r="F4" s="75">
        <v>301</v>
      </c>
      <c r="G4" s="75">
        <v>50.85</v>
      </c>
      <c r="H4" s="75">
        <v>9.3513599999999997</v>
      </c>
    </row>
    <row r="5" spans="1:8" ht="15" customHeight="1">
      <c r="D5" s="68"/>
      <c r="E5" s="74">
        <v>59.95102</v>
      </c>
      <c r="F5" s="75">
        <v>773</v>
      </c>
      <c r="G5" s="75">
        <v>50.41</v>
      </c>
      <c r="H5" s="75">
        <v>9.5410199999999996</v>
      </c>
    </row>
    <row r="6" spans="1:8" ht="15" customHeight="1">
      <c r="D6" s="68"/>
      <c r="E6" s="74">
        <v>59.757460000000002</v>
      </c>
      <c r="F6" s="75">
        <v>1248</v>
      </c>
      <c r="G6" s="75">
        <v>50.64</v>
      </c>
      <c r="H6" s="75">
        <v>9.1174599999999995</v>
      </c>
    </row>
    <row r="7" spans="1:8" ht="15" customHeight="1">
      <c r="D7" s="68"/>
      <c r="E7" s="74">
        <v>59.514409999999998</v>
      </c>
      <c r="F7" s="75">
        <v>1723</v>
      </c>
      <c r="G7" s="75">
        <v>50.24</v>
      </c>
      <c r="H7" s="75">
        <v>9.2744099999999996</v>
      </c>
    </row>
    <row r="8" spans="1:8" ht="15" customHeight="1">
      <c r="D8" s="68"/>
      <c r="E8" s="74">
        <v>59.225079999999998</v>
      </c>
      <c r="F8" s="75">
        <v>2195</v>
      </c>
      <c r="G8" s="75">
        <v>50.16</v>
      </c>
      <c r="H8" s="75">
        <v>9.06508</v>
      </c>
    </row>
    <row r="9" spans="1:8" ht="15" customHeight="1">
      <c r="D9" s="68"/>
      <c r="E9" s="74">
        <v>58.966099999999997</v>
      </c>
      <c r="F9" s="75">
        <v>2666</v>
      </c>
      <c r="G9" s="75">
        <v>49.95</v>
      </c>
      <c r="H9" s="75">
        <v>9.0160999999999998</v>
      </c>
    </row>
    <row r="10" spans="1:8" ht="15" customHeight="1">
      <c r="D10" s="68"/>
      <c r="E10" s="19">
        <v>58.586100000000002</v>
      </c>
      <c r="F10" s="20">
        <v>3137</v>
      </c>
      <c r="G10" s="20">
        <v>50.08</v>
      </c>
      <c r="H10" s="20">
        <v>8.5061</v>
      </c>
    </row>
    <row r="11" spans="1:8" ht="15" customHeight="1">
      <c r="D11" s="68"/>
      <c r="E11" s="19">
        <v>58.268140000000002</v>
      </c>
      <c r="F11" s="20">
        <v>3610</v>
      </c>
      <c r="G11" s="20">
        <v>49.55</v>
      </c>
      <c r="H11" s="20">
        <v>8.71814</v>
      </c>
    </row>
    <row r="12" spans="1:8" ht="15" customHeight="1">
      <c r="D12" s="68"/>
      <c r="E12" s="19">
        <v>59.017969999999998</v>
      </c>
      <c r="F12" s="20">
        <v>4083</v>
      </c>
      <c r="G12" s="20">
        <v>50.2</v>
      </c>
      <c r="H12" s="20">
        <v>8.8179700000000008</v>
      </c>
    </row>
    <row r="13" spans="1:8" ht="15" customHeight="1">
      <c r="D13" s="68" t="s">
        <v>120</v>
      </c>
      <c r="E13" s="19">
        <v>58.663730000000001</v>
      </c>
      <c r="F13" s="20">
        <v>4556</v>
      </c>
      <c r="G13" s="20">
        <v>51.69</v>
      </c>
      <c r="H13" s="20">
        <v>6.9737299999999998</v>
      </c>
    </row>
    <row r="14" spans="1:8" ht="15" customHeight="1">
      <c r="D14" s="68"/>
      <c r="E14" s="74">
        <v>58.394579999999998</v>
      </c>
      <c r="F14" s="75">
        <v>5035</v>
      </c>
      <c r="G14" s="75">
        <v>51.38</v>
      </c>
      <c r="H14" s="75">
        <v>7.0145799999999996</v>
      </c>
    </row>
    <row r="15" spans="1:8" ht="15" customHeight="1">
      <c r="D15" s="68"/>
      <c r="E15" s="74">
        <v>58.265079999999998</v>
      </c>
      <c r="F15" s="75">
        <v>5507</v>
      </c>
      <c r="G15" s="75">
        <v>51.49</v>
      </c>
      <c r="H15" s="75">
        <v>6.77508</v>
      </c>
    </row>
    <row r="16" spans="1:8" ht="15" customHeight="1">
      <c r="D16" s="68"/>
      <c r="E16" s="74">
        <v>58.10051</v>
      </c>
      <c r="F16" s="75">
        <v>5980</v>
      </c>
      <c r="G16" s="75">
        <v>51.09</v>
      </c>
      <c r="H16" s="75">
        <v>7.01051</v>
      </c>
    </row>
    <row r="17" spans="4:8" ht="15" customHeight="1">
      <c r="D17" s="68"/>
      <c r="E17" s="74">
        <v>58.033050000000003</v>
      </c>
      <c r="F17" s="75">
        <v>6451</v>
      </c>
      <c r="G17" s="75">
        <v>51.06</v>
      </c>
      <c r="H17" s="75">
        <v>6.9730499999999997</v>
      </c>
    </row>
    <row r="18" spans="4:8" ht="15" customHeight="1">
      <c r="D18" s="68"/>
      <c r="E18" s="74">
        <v>58.012709999999998</v>
      </c>
      <c r="F18" s="75">
        <v>6926</v>
      </c>
      <c r="G18" s="75">
        <v>51.21</v>
      </c>
      <c r="H18" s="75">
        <v>6.8027100000000003</v>
      </c>
    </row>
    <row r="19" spans="4:8" ht="15" customHeight="1">
      <c r="D19" s="68"/>
      <c r="E19" s="74">
        <v>57.842030000000001</v>
      </c>
      <c r="F19" s="75">
        <v>7403</v>
      </c>
      <c r="G19" s="75">
        <v>50.9</v>
      </c>
      <c r="H19" s="75">
        <v>6.9420299999999999</v>
      </c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227</v>
      </c>
      <c r="D1" s="68"/>
      <c r="E1" s="139" t="s">
        <v>228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112</v>
      </c>
      <c r="D4" s="68" t="s">
        <v>143</v>
      </c>
      <c r="E4" s="74">
        <v>291.3981</v>
      </c>
      <c r="F4" s="75">
        <v>301</v>
      </c>
      <c r="G4" s="75">
        <v>277.2</v>
      </c>
      <c r="H4" s="75">
        <v>14.198119999999999</v>
      </c>
    </row>
    <row r="5" spans="1:8" ht="15" customHeight="1">
      <c r="D5" s="68"/>
      <c r="E5" s="74">
        <v>291.4692</v>
      </c>
      <c r="F5" s="75">
        <v>775</v>
      </c>
      <c r="G5" s="75">
        <v>277.14999999999998</v>
      </c>
      <c r="H5" s="75">
        <v>14.319179999999999</v>
      </c>
    </row>
    <row r="6" spans="1:8" ht="15" customHeight="1">
      <c r="D6" s="68"/>
      <c r="E6" s="74">
        <v>291.48169999999999</v>
      </c>
      <c r="F6" s="75">
        <v>1247</v>
      </c>
      <c r="G6" s="75">
        <v>277.33999999999997</v>
      </c>
      <c r="H6" s="75">
        <v>14.14167</v>
      </c>
    </row>
    <row r="7" spans="1:8" ht="15" customHeight="1">
      <c r="D7" s="68"/>
      <c r="E7" s="74">
        <v>291.59309999999999</v>
      </c>
      <c r="F7" s="75">
        <v>1721</v>
      </c>
      <c r="G7" s="75">
        <v>277.05</v>
      </c>
      <c r="H7" s="75">
        <v>14.54313</v>
      </c>
    </row>
    <row r="8" spans="1:8" ht="15" customHeight="1">
      <c r="D8" s="68"/>
      <c r="E8" s="74">
        <v>291.43880000000001</v>
      </c>
      <c r="F8" s="75">
        <v>2194</v>
      </c>
      <c r="G8" s="75">
        <v>276.89999999999998</v>
      </c>
      <c r="H8" s="75">
        <v>14.53876</v>
      </c>
    </row>
    <row r="9" spans="1:8" ht="15" customHeight="1">
      <c r="D9" s="68"/>
      <c r="E9" s="19">
        <v>290.7285</v>
      </c>
      <c r="F9" s="20">
        <v>2666</v>
      </c>
      <c r="G9" s="20">
        <v>280</v>
      </c>
      <c r="H9" s="20">
        <v>10.728540000000001</v>
      </c>
    </row>
    <row r="10" spans="1:8" ht="15" customHeight="1">
      <c r="D10" s="68" t="s">
        <v>107</v>
      </c>
      <c r="E10" s="19">
        <v>290.94189999999998</v>
      </c>
      <c r="F10" s="20">
        <v>3140</v>
      </c>
      <c r="G10" s="20">
        <v>282.27999999999997</v>
      </c>
      <c r="H10" s="20">
        <v>8.66188</v>
      </c>
    </row>
    <row r="11" spans="1:8" ht="15" customHeight="1">
      <c r="D11" s="68"/>
      <c r="E11" s="74">
        <v>291.05959999999999</v>
      </c>
      <c r="F11" s="75">
        <v>3612</v>
      </c>
      <c r="G11" s="75">
        <v>283.3</v>
      </c>
      <c r="H11" s="75">
        <v>7.7595900000000002</v>
      </c>
    </row>
    <row r="12" spans="1:8" ht="15" customHeight="1">
      <c r="D12" s="68"/>
      <c r="E12" s="74">
        <v>290.99669999999998</v>
      </c>
      <c r="F12" s="75">
        <v>4089</v>
      </c>
      <c r="G12" s="75">
        <v>283.26</v>
      </c>
      <c r="H12" s="75">
        <v>7.7366599999999996</v>
      </c>
    </row>
    <row r="13" spans="1:8" ht="15" customHeight="1">
      <c r="D13" s="68"/>
      <c r="E13" s="74">
        <v>291.18239999999997</v>
      </c>
      <c r="F13" s="75">
        <v>4559</v>
      </c>
      <c r="G13" s="75">
        <v>283.66000000000003</v>
      </c>
      <c r="H13" s="75">
        <v>7.5223800000000001</v>
      </c>
    </row>
    <row r="14" spans="1:8" ht="15" customHeight="1">
      <c r="D14" s="68"/>
      <c r="E14" s="74">
        <v>291.23880000000003</v>
      </c>
      <c r="F14" s="75">
        <v>5034</v>
      </c>
      <c r="G14" s="75">
        <v>283.99</v>
      </c>
      <c r="H14" s="75">
        <v>7.24885</v>
      </c>
    </row>
    <row r="15" spans="1:8" ht="15" customHeight="1">
      <c r="D15" s="68"/>
      <c r="E15" s="74">
        <v>291.26100000000002</v>
      </c>
      <c r="F15" s="75">
        <v>5506</v>
      </c>
      <c r="G15" s="75">
        <v>283.51</v>
      </c>
      <c r="H15" s="75">
        <v>7.7509399999999999</v>
      </c>
    </row>
    <row r="16" spans="1:8" ht="15" customHeight="1">
      <c r="D16" s="68"/>
      <c r="E16" s="74">
        <v>291.55829999999997</v>
      </c>
      <c r="F16" s="75">
        <v>5979</v>
      </c>
      <c r="G16" s="75">
        <v>283.74</v>
      </c>
      <c r="H16" s="75">
        <v>7.8183400000000001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229</v>
      </c>
      <c r="D1" s="68"/>
      <c r="E1" s="139" t="s">
        <v>230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127</v>
      </c>
      <c r="D4" s="68" t="s">
        <v>119</v>
      </c>
      <c r="E4" s="74">
        <v>319.11880000000002</v>
      </c>
      <c r="F4" s="75">
        <v>301</v>
      </c>
      <c r="G4" s="75">
        <v>292.10000000000002</v>
      </c>
      <c r="H4" s="75">
        <v>27.018740000000001</v>
      </c>
    </row>
    <row r="5" spans="1:8" ht="15" customHeight="1">
      <c r="D5" s="68"/>
      <c r="E5" s="74">
        <v>319.2792</v>
      </c>
      <c r="F5" s="75">
        <v>776</v>
      </c>
      <c r="G5" s="75">
        <v>292.89999999999998</v>
      </c>
      <c r="H5" s="75">
        <v>26.379159999999999</v>
      </c>
    </row>
    <row r="6" spans="1:8" ht="15" customHeight="1">
      <c r="D6" s="68"/>
      <c r="E6" s="74">
        <v>318.81670000000003</v>
      </c>
      <c r="F6" s="75">
        <v>1248</v>
      </c>
      <c r="G6" s="75">
        <v>291.7</v>
      </c>
      <c r="H6" s="75">
        <v>27.11666</v>
      </c>
    </row>
    <row r="7" spans="1:8" ht="15" customHeight="1">
      <c r="D7" s="68"/>
      <c r="E7" s="74">
        <v>318.37079999999997</v>
      </c>
      <c r="F7" s="75">
        <v>1722</v>
      </c>
      <c r="G7" s="75">
        <v>290.39999999999998</v>
      </c>
      <c r="H7" s="75">
        <v>27.970829999999999</v>
      </c>
    </row>
    <row r="8" spans="1:8" ht="15" customHeight="1">
      <c r="D8" s="68"/>
      <c r="E8" s="74">
        <v>316.98329999999999</v>
      </c>
      <c r="F8" s="75">
        <v>2196</v>
      </c>
      <c r="G8" s="75">
        <v>289.3</v>
      </c>
      <c r="H8" s="75">
        <v>27.683340000000001</v>
      </c>
    </row>
    <row r="9" spans="1:8" ht="15" customHeight="1">
      <c r="D9" s="68"/>
      <c r="E9" s="74">
        <v>317.0729</v>
      </c>
      <c r="F9" s="75">
        <v>2670</v>
      </c>
      <c r="G9" s="75">
        <v>289.2</v>
      </c>
      <c r="H9" s="75">
        <v>27.872910000000001</v>
      </c>
    </row>
    <row r="10" spans="1:8" ht="15" customHeight="1">
      <c r="D10" s="68" t="s">
        <v>138</v>
      </c>
      <c r="E10" s="19">
        <v>319.43130000000002</v>
      </c>
      <c r="F10" s="20">
        <v>3143</v>
      </c>
      <c r="G10" s="20">
        <v>291.3</v>
      </c>
      <c r="H10" s="20">
        <v>28.131250000000001</v>
      </c>
    </row>
    <row r="11" spans="1:8" ht="15" customHeight="1">
      <c r="D11" s="68"/>
      <c r="E11" s="74">
        <v>318.0958</v>
      </c>
      <c r="F11" s="75">
        <v>3618</v>
      </c>
      <c r="G11" s="75">
        <v>291</v>
      </c>
      <c r="H11" s="75">
        <v>27.09582</v>
      </c>
    </row>
    <row r="12" spans="1:8" ht="15" customHeight="1">
      <c r="D12" s="68"/>
      <c r="E12" s="74">
        <v>317.21249999999998</v>
      </c>
      <c r="F12" s="75">
        <v>4089</v>
      </c>
      <c r="G12" s="75">
        <v>291.39999999999998</v>
      </c>
      <c r="H12" s="75">
        <v>25.81251</v>
      </c>
    </row>
    <row r="13" spans="1:8" ht="15" customHeight="1">
      <c r="D13" s="68"/>
      <c r="E13" s="74">
        <v>317.38749999999999</v>
      </c>
      <c r="F13" s="75">
        <v>4561</v>
      </c>
      <c r="G13" s="75">
        <v>290.89999999999998</v>
      </c>
      <c r="H13" s="75">
        <v>26.48751</v>
      </c>
    </row>
    <row r="14" spans="1:8" ht="15" customHeight="1">
      <c r="D14" s="68"/>
      <c r="E14" s="74">
        <v>316.43329999999997</v>
      </c>
      <c r="F14" s="75">
        <v>5036</v>
      </c>
      <c r="G14" s="75">
        <v>289.60000000000002</v>
      </c>
      <c r="H14" s="75">
        <v>26.833320000000001</v>
      </c>
    </row>
    <row r="15" spans="1:8" ht="15" customHeight="1">
      <c r="D15" s="68"/>
      <c r="E15" s="74">
        <v>315.68130000000002</v>
      </c>
      <c r="F15" s="75">
        <v>5509</v>
      </c>
      <c r="G15" s="75">
        <v>289.89999999999998</v>
      </c>
      <c r="H15" s="75">
        <v>25.78125</v>
      </c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231</v>
      </c>
      <c r="D1" s="68"/>
      <c r="E1" s="139" t="s">
        <v>232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112</v>
      </c>
      <c r="D4" s="68" t="s">
        <v>143</v>
      </c>
      <c r="E4" s="74">
        <v>286.19170000000003</v>
      </c>
      <c r="F4" s="75">
        <v>301</v>
      </c>
      <c r="G4" s="75">
        <v>273.93</v>
      </c>
      <c r="H4" s="75">
        <v>12.261670000000001</v>
      </c>
    </row>
    <row r="5" spans="1:8" ht="15" customHeight="1">
      <c r="D5" s="68"/>
      <c r="E5" s="74">
        <v>286.0838</v>
      </c>
      <c r="F5" s="75">
        <v>778</v>
      </c>
      <c r="G5" s="75">
        <v>274.08</v>
      </c>
      <c r="H5" s="75">
        <v>12.003819999999999</v>
      </c>
    </row>
    <row r="6" spans="1:8" ht="15" customHeight="1">
      <c r="D6" s="68"/>
      <c r="E6" s="74">
        <v>286.20240000000001</v>
      </c>
      <c r="F6" s="75">
        <v>1250</v>
      </c>
      <c r="G6" s="75">
        <v>273.47000000000003</v>
      </c>
      <c r="H6" s="75">
        <v>12.732379999999999</v>
      </c>
    </row>
    <row r="7" spans="1:8" ht="15" customHeight="1">
      <c r="D7" s="68"/>
      <c r="E7" s="74">
        <v>286.06950000000001</v>
      </c>
      <c r="F7" s="75">
        <v>1726</v>
      </c>
      <c r="G7" s="75">
        <v>273.66000000000003</v>
      </c>
      <c r="H7" s="75">
        <v>12.409520000000001</v>
      </c>
    </row>
    <row r="8" spans="1:8" ht="15" customHeight="1">
      <c r="D8" s="68"/>
      <c r="E8" s="74">
        <v>286.05020000000002</v>
      </c>
      <c r="F8" s="75">
        <v>2198</v>
      </c>
      <c r="G8" s="75">
        <v>273.47000000000003</v>
      </c>
      <c r="H8" s="75">
        <v>12.58024</v>
      </c>
    </row>
    <row r="9" spans="1:8" ht="15" customHeight="1">
      <c r="D9" s="68" t="s">
        <v>107</v>
      </c>
      <c r="E9" s="19">
        <v>285.79500000000002</v>
      </c>
      <c r="F9" s="20">
        <v>2674</v>
      </c>
      <c r="G9" s="20">
        <v>275.11</v>
      </c>
      <c r="H9" s="20">
        <v>10.68501</v>
      </c>
    </row>
    <row r="10" spans="1:8" ht="15" customHeight="1">
      <c r="D10" s="68"/>
      <c r="E10" s="74">
        <v>285.73759999999999</v>
      </c>
      <c r="F10" s="75">
        <v>3147</v>
      </c>
      <c r="G10" s="75">
        <v>276.32</v>
      </c>
      <c r="H10" s="75">
        <v>9.4176099999999998</v>
      </c>
    </row>
    <row r="11" spans="1:8" ht="15" customHeight="1">
      <c r="D11" s="68"/>
      <c r="E11" s="74">
        <v>285.59620000000001</v>
      </c>
      <c r="F11" s="75">
        <v>3618</v>
      </c>
      <c r="G11" s="75">
        <v>276.44</v>
      </c>
      <c r="H11" s="75">
        <v>9.1561900000000005</v>
      </c>
    </row>
    <row r="12" spans="1:8" ht="15" customHeight="1">
      <c r="D12" s="68"/>
      <c r="E12" s="74">
        <v>286.00740000000002</v>
      </c>
      <c r="F12" s="91">
        <v>4091</v>
      </c>
      <c r="G12" s="74">
        <v>277.07</v>
      </c>
      <c r="H12" s="75">
        <v>8.9373699999999996</v>
      </c>
    </row>
    <row r="13" spans="1:8" ht="15" customHeight="1">
      <c r="D13" s="68"/>
      <c r="E13" s="74">
        <v>285.80290000000002</v>
      </c>
      <c r="F13" s="117">
        <v>4565</v>
      </c>
      <c r="G13" s="75">
        <v>276.8</v>
      </c>
      <c r="H13" s="75">
        <v>9.0028699999999997</v>
      </c>
    </row>
    <row r="14" spans="1:8" ht="15" customHeight="1">
      <c r="D14" s="68"/>
      <c r="E14" s="74">
        <v>286.09410000000003</v>
      </c>
      <c r="F14" s="75">
        <v>5038</v>
      </c>
      <c r="G14" s="75">
        <v>277.13</v>
      </c>
      <c r="H14" s="75">
        <v>8.9640500000000003</v>
      </c>
    </row>
    <row r="15" spans="1:8" ht="15" customHeight="1">
      <c r="D15" s="68"/>
      <c r="E15" s="68"/>
      <c r="F15" s="68"/>
      <c r="G15" s="68"/>
      <c r="H15" s="68"/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233</v>
      </c>
      <c r="D1" s="68"/>
      <c r="E1" s="139" t="s">
        <v>234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119</v>
      </c>
      <c r="E4" s="92">
        <v>289.20909999999998</v>
      </c>
      <c r="F4" s="117">
        <v>301</v>
      </c>
      <c r="G4" s="117">
        <v>276.07</v>
      </c>
      <c r="H4" s="117">
        <v>13.13908</v>
      </c>
    </row>
    <row r="5" spans="1:8" ht="15" customHeight="1">
      <c r="D5" s="68"/>
      <c r="E5" s="74">
        <v>288.22890000000001</v>
      </c>
      <c r="F5" s="75">
        <v>780</v>
      </c>
      <c r="G5" s="75">
        <v>275.77</v>
      </c>
      <c r="H5" s="75">
        <v>12.458869999999999</v>
      </c>
    </row>
    <row r="6" spans="1:8" ht="15" customHeight="1">
      <c r="D6" s="68"/>
      <c r="E6" s="74">
        <v>288.233</v>
      </c>
      <c r="F6" s="75">
        <v>1254</v>
      </c>
      <c r="G6" s="75">
        <v>274.95999999999998</v>
      </c>
      <c r="H6" s="75">
        <v>13.272959999999999</v>
      </c>
    </row>
    <row r="7" spans="1:8" ht="15" customHeight="1">
      <c r="D7" s="68"/>
      <c r="E7" s="74">
        <v>288.29739999999998</v>
      </c>
      <c r="F7" s="75">
        <v>1724</v>
      </c>
      <c r="G7" s="75">
        <v>275</v>
      </c>
      <c r="H7" s="75">
        <v>13.29744</v>
      </c>
    </row>
    <row r="8" spans="1:8" ht="15" customHeight="1">
      <c r="D8" s="68"/>
      <c r="E8" s="74">
        <v>288.36270000000002</v>
      </c>
      <c r="F8" s="75">
        <v>2198</v>
      </c>
      <c r="G8" s="75">
        <v>274.70999999999998</v>
      </c>
      <c r="H8" s="75">
        <v>13.65274</v>
      </c>
    </row>
    <row r="9" spans="1:8" ht="15" customHeight="1">
      <c r="D9" s="68"/>
      <c r="E9" s="74">
        <v>288.44959999999998</v>
      </c>
      <c r="F9" s="75">
        <v>2670</v>
      </c>
      <c r="G9" s="75">
        <v>274.52</v>
      </c>
      <c r="H9" s="75">
        <v>13.92956</v>
      </c>
    </row>
    <row r="10" spans="1:8" ht="15" customHeight="1">
      <c r="D10" s="68" t="s">
        <v>114</v>
      </c>
      <c r="E10" s="19">
        <v>288.98360000000002</v>
      </c>
      <c r="F10" s="20">
        <v>3148</v>
      </c>
      <c r="G10" s="20">
        <v>276.27999999999997</v>
      </c>
      <c r="H10" s="20">
        <v>12.70364</v>
      </c>
    </row>
    <row r="11" spans="1:8" ht="15" customHeight="1">
      <c r="D11" s="68"/>
      <c r="E11" s="74">
        <v>288.8279</v>
      </c>
      <c r="F11" s="75">
        <v>3616</v>
      </c>
      <c r="G11" s="75">
        <v>278.68</v>
      </c>
      <c r="H11" s="75">
        <v>10.147919999999999</v>
      </c>
    </row>
    <row r="12" spans="1:8" ht="15" customHeight="1">
      <c r="D12" s="68"/>
      <c r="E12" s="74">
        <v>289.14580000000001</v>
      </c>
      <c r="F12" s="75">
        <v>4091</v>
      </c>
      <c r="G12" s="75">
        <v>279.29000000000002</v>
      </c>
      <c r="H12" s="75">
        <v>9.85581</v>
      </c>
    </row>
    <row r="13" spans="1:8" ht="15" customHeight="1">
      <c r="D13" s="68"/>
      <c r="E13" s="74">
        <v>288.83949999999999</v>
      </c>
      <c r="F13" s="75">
        <v>4565</v>
      </c>
      <c r="G13" s="75">
        <v>278.64</v>
      </c>
      <c r="H13" s="75">
        <v>10.199529999999999</v>
      </c>
    </row>
    <row r="14" spans="1:8" ht="15" customHeight="1">
      <c r="D14" s="68"/>
      <c r="E14" s="74">
        <v>288.5573</v>
      </c>
      <c r="F14" s="75">
        <v>5038</v>
      </c>
      <c r="G14" s="75">
        <v>278.43</v>
      </c>
      <c r="H14" s="75">
        <v>10.12735</v>
      </c>
    </row>
    <row r="15" spans="1:8" ht="15" customHeight="1">
      <c r="D15" s="68"/>
      <c r="E15" s="74">
        <v>288.40859999999998</v>
      </c>
      <c r="F15" s="75">
        <v>5513</v>
      </c>
      <c r="G15" s="75">
        <v>278.33</v>
      </c>
      <c r="H15" s="75">
        <v>10.0786</v>
      </c>
    </row>
    <row r="16" spans="1:8" ht="15" customHeight="1">
      <c r="D16" s="68"/>
      <c r="E16" s="74">
        <v>288.28559999999999</v>
      </c>
      <c r="F16" s="75">
        <v>5984</v>
      </c>
      <c r="G16" s="75">
        <v>278.60000000000002</v>
      </c>
      <c r="H16" s="75">
        <v>9.6856100000000005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235</v>
      </c>
      <c r="D1" s="68"/>
      <c r="E1" s="139" t="s">
        <v>236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119</v>
      </c>
      <c r="E4" s="74">
        <v>289.5419</v>
      </c>
      <c r="F4" s="75">
        <v>301</v>
      </c>
      <c r="G4" s="75">
        <v>274.67</v>
      </c>
      <c r="H4" s="75">
        <v>14.8719</v>
      </c>
    </row>
    <row r="5" spans="1:8" ht="15" customHeight="1">
      <c r="D5" s="68"/>
      <c r="E5" s="74">
        <v>289.72070000000002</v>
      </c>
      <c r="F5" s="75">
        <v>773</v>
      </c>
      <c r="G5" s="75">
        <v>274.48</v>
      </c>
      <c r="H5" s="75">
        <v>15.24071</v>
      </c>
    </row>
    <row r="6" spans="1:8" ht="15" customHeight="1">
      <c r="D6" s="68"/>
      <c r="E6" s="74">
        <v>289.57119999999998</v>
      </c>
      <c r="F6" s="75">
        <v>1248</v>
      </c>
      <c r="G6" s="75">
        <v>274.39</v>
      </c>
      <c r="H6" s="75">
        <v>15.181179999999999</v>
      </c>
    </row>
    <row r="7" spans="1:8" ht="15" customHeight="1">
      <c r="D7" s="68"/>
      <c r="E7" s="74">
        <v>289.4255</v>
      </c>
      <c r="F7" s="75">
        <v>1722</v>
      </c>
      <c r="G7" s="75">
        <v>273.52</v>
      </c>
      <c r="H7" s="75">
        <v>15.90549</v>
      </c>
    </row>
    <row r="8" spans="1:8" ht="15" customHeight="1">
      <c r="D8" s="68"/>
      <c r="E8" s="74">
        <v>289.17570000000001</v>
      </c>
      <c r="F8" s="75">
        <v>2194</v>
      </c>
      <c r="G8" s="75">
        <v>273.58</v>
      </c>
      <c r="H8" s="75">
        <v>15.59573</v>
      </c>
    </row>
    <row r="9" spans="1:8" ht="15" customHeight="1">
      <c r="D9" s="68"/>
      <c r="E9" s="19">
        <v>289.78410000000002</v>
      </c>
      <c r="F9" s="20">
        <v>2663</v>
      </c>
      <c r="G9" s="20">
        <v>277.89</v>
      </c>
      <c r="H9" s="20">
        <v>11.89404</v>
      </c>
    </row>
    <row r="10" spans="1:8" ht="15" customHeight="1">
      <c r="D10" s="68" t="s">
        <v>114</v>
      </c>
      <c r="E10" s="19">
        <v>289.87049999999999</v>
      </c>
      <c r="F10" s="20">
        <v>3138</v>
      </c>
      <c r="G10" s="20">
        <v>279.41000000000003</v>
      </c>
      <c r="H10" s="20">
        <v>10.460470000000001</v>
      </c>
    </row>
    <row r="11" spans="1:8" ht="15" customHeight="1">
      <c r="D11" s="68"/>
      <c r="E11" s="74">
        <v>289.9855</v>
      </c>
      <c r="F11" s="75">
        <v>3614</v>
      </c>
      <c r="G11" s="75">
        <v>278.64</v>
      </c>
      <c r="H11" s="75">
        <v>11.34552</v>
      </c>
    </row>
    <row r="12" spans="1:8" ht="15" customHeight="1">
      <c r="D12" s="68"/>
      <c r="E12" s="74">
        <v>290.34899999999999</v>
      </c>
      <c r="F12" s="75">
        <v>4082</v>
      </c>
      <c r="G12" s="75">
        <v>279.73</v>
      </c>
      <c r="H12" s="75">
        <v>10.61894</v>
      </c>
    </row>
    <row r="13" spans="1:8" ht="15" customHeight="1">
      <c r="D13" s="68"/>
      <c r="E13" s="74">
        <v>290.65550000000002</v>
      </c>
      <c r="F13" s="75">
        <v>4557</v>
      </c>
      <c r="G13" s="75">
        <v>279.66000000000003</v>
      </c>
      <c r="H13" s="75">
        <v>10.99553</v>
      </c>
    </row>
    <row r="14" spans="1:8" ht="15" customHeight="1">
      <c r="D14" s="68"/>
      <c r="E14" s="74">
        <v>290.53840000000002</v>
      </c>
      <c r="F14" s="75">
        <v>5030</v>
      </c>
      <c r="G14" s="75">
        <v>279.62</v>
      </c>
      <c r="H14" s="75">
        <v>10.918419999999999</v>
      </c>
    </row>
    <row r="15" spans="1:8" ht="15" customHeight="1">
      <c r="D15" s="68"/>
      <c r="E15" s="74">
        <v>290.38330000000002</v>
      </c>
      <c r="F15" s="75">
        <v>5503</v>
      </c>
      <c r="G15" s="75">
        <v>279.08</v>
      </c>
      <c r="H15" s="75">
        <v>11.3033</v>
      </c>
    </row>
    <row r="16" spans="1:8" ht="15" customHeight="1">
      <c r="D16" s="68"/>
      <c r="E16" s="74">
        <v>290.42360000000002</v>
      </c>
      <c r="F16" s="75">
        <v>5976</v>
      </c>
      <c r="G16" s="75">
        <v>279.60000000000002</v>
      </c>
      <c r="H16" s="75">
        <v>10.823539999999999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237</v>
      </c>
      <c r="D1" s="68"/>
      <c r="E1" s="139" t="s">
        <v>238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119</v>
      </c>
      <c r="E4" s="74">
        <v>290.31130000000002</v>
      </c>
      <c r="F4" s="75">
        <v>301</v>
      </c>
      <c r="G4" s="75">
        <v>282.93</v>
      </c>
      <c r="H4" s="75">
        <v>7.3813300000000002</v>
      </c>
    </row>
    <row r="5" spans="1:8" ht="15" customHeight="1">
      <c r="D5" s="68"/>
      <c r="E5" s="74">
        <v>290.09620000000001</v>
      </c>
      <c r="F5" s="75">
        <v>774</v>
      </c>
      <c r="G5" s="75">
        <v>282.97000000000003</v>
      </c>
      <c r="H5" s="75">
        <v>7.1262299999999996</v>
      </c>
    </row>
    <row r="6" spans="1:8" ht="15" customHeight="1">
      <c r="D6" s="68"/>
      <c r="E6" s="74">
        <v>289.803</v>
      </c>
      <c r="F6" s="75">
        <v>1247</v>
      </c>
      <c r="G6" s="75">
        <v>282.74</v>
      </c>
      <c r="H6" s="75">
        <v>7.0629799999999996</v>
      </c>
    </row>
    <row r="7" spans="1:8" ht="15" customHeight="1">
      <c r="D7" s="68"/>
      <c r="E7" s="74">
        <v>289.35309999999998</v>
      </c>
      <c r="F7" s="75">
        <v>1722</v>
      </c>
      <c r="G7" s="75">
        <v>282.13</v>
      </c>
      <c r="H7" s="75">
        <v>7.2231300000000003</v>
      </c>
    </row>
    <row r="8" spans="1:8" ht="15" customHeight="1">
      <c r="D8" s="68"/>
      <c r="E8" s="74">
        <v>288.9735</v>
      </c>
      <c r="F8" s="75">
        <v>2195</v>
      </c>
      <c r="G8" s="75">
        <v>281.48</v>
      </c>
      <c r="H8" s="75">
        <v>7.4935400000000003</v>
      </c>
    </row>
    <row r="9" spans="1:8" ht="15" customHeight="1">
      <c r="D9" s="68"/>
      <c r="E9" s="74">
        <v>289.11450000000002</v>
      </c>
      <c r="F9" s="75">
        <v>2666</v>
      </c>
      <c r="G9" s="75">
        <v>281.14999999999998</v>
      </c>
      <c r="H9" s="75">
        <v>7.9644700000000004</v>
      </c>
    </row>
    <row r="10" spans="1:8" ht="15" customHeight="1">
      <c r="D10" s="68" t="s">
        <v>120</v>
      </c>
      <c r="E10" s="19">
        <v>289.07229999999998</v>
      </c>
      <c r="F10" s="20">
        <v>3140</v>
      </c>
      <c r="G10" s="20">
        <v>281.02</v>
      </c>
      <c r="H10" s="20">
        <v>8.0523399999999992</v>
      </c>
    </row>
    <row r="11" spans="1:8" ht="15" customHeight="1">
      <c r="D11" s="68"/>
      <c r="E11" s="19">
        <v>289.43209999999999</v>
      </c>
      <c r="F11" s="20">
        <v>3613</v>
      </c>
      <c r="G11" s="20">
        <v>282.58999999999997</v>
      </c>
      <c r="H11" s="20">
        <v>6.84213</v>
      </c>
    </row>
    <row r="12" spans="1:8" ht="15" customHeight="1">
      <c r="D12" s="68"/>
      <c r="E12" s="74">
        <v>288.27420000000001</v>
      </c>
      <c r="F12" s="75">
        <v>4092</v>
      </c>
      <c r="G12" s="75">
        <v>282.02999999999997</v>
      </c>
      <c r="H12" s="75">
        <v>6.2442000000000002</v>
      </c>
    </row>
    <row r="13" spans="1:8" ht="15" customHeight="1">
      <c r="D13" s="68"/>
      <c r="E13" s="74">
        <v>288.7081</v>
      </c>
      <c r="F13" s="75">
        <v>4571</v>
      </c>
      <c r="G13" s="75">
        <v>282.99</v>
      </c>
      <c r="H13" s="75">
        <v>5.71814</v>
      </c>
    </row>
    <row r="14" spans="1:8" ht="15" customHeight="1">
      <c r="D14" s="68"/>
      <c r="E14" s="74">
        <v>288.6053</v>
      </c>
      <c r="F14" s="75">
        <v>5043</v>
      </c>
      <c r="G14" s="75">
        <v>282.77999999999997</v>
      </c>
      <c r="H14" s="75">
        <v>5.82531</v>
      </c>
    </row>
    <row r="15" spans="1:8" ht="15" customHeight="1">
      <c r="D15" s="68"/>
      <c r="E15" s="74">
        <v>288.70760000000001</v>
      </c>
      <c r="F15" s="75">
        <v>5517</v>
      </c>
      <c r="G15" s="75">
        <v>282.91000000000003</v>
      </c>
      <c r="H15" s="75">
        <v>5.7976099999999997</v>
      </c>
    </row>
    <row r="16" spans="1:8" ht="15" customHeight="1">
      <c r="D16" s="68"/>
      <c r="E16" s="74">
        <v>288.9348</v>
      </c>
      <c r="F16" s="75">
        <v>5991</v>
      </c>
      <c r="G16" s="75">
        <v>283.05</v>
      </c>
      <c r="H16" s="75">
        <v>5.8847899999999997</v>
      </c>
    </row>
    <row r="17" spans="4:8" ht="15" customHeight="1">
      <c r="D17" s="68"/>
      <c r="E17" s="74">
        <v>288.87389999999999</v>
      </c>
      <c r="F17" s="75">
        <v>6472</v>
      </c>
      <c r="G17" s="75">
        <v>282.89</v>
      </c>
      <c r="H17" s="75">
        <v>5.98393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239</v>
      </c>
      <c r="D1" s="68"/>
      <c r="E1" s="139" t="s">
        <v>240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143</v>
      </c>
      <c r="E4" s="74">
        <v>321.91250000000002</v>
      </c>
      <c r="F4" s="75">
        <v>303</v>
      </c>
      <c r="G4" s="75">
        <v>297.39999999999998</v>
      </c>
      <c r="H4" s="75">
        <v>24.512499999999999</v>
      </c>
    </row>
    <row r="5" spans="1:8" ht="15" customHeight="1">
      <c r="D5" s="68"/>
      <c r="E5" s="74">
        <v>321.2396</v>
      </c>
      <c r="F5" s="75">
        <v>776</v>
      </c>
      <c r="G5" s="75">
        <v>296.7</v>
      </c>
      <c r="H5" s="75">
        <v>24.53959</v>
      </c>
    </row>
    <row r="6" spans="1:8" ht="15" customHeight="1">
      <c r="D6" s="68"/>
      <c r="E6" s="74">
        <v>320.71319999999997</v>
      </c>
      <c r="F6" s="75">
        <v>1250</v>
      </c>
      <c r="G6" s="75">
        <v>295.89999999999998</v>
      </c>
      <c r="H6" s="75">
        <v>24.81324</v>
      </c>
    </row>
    <row r="7" spans="1:8" ht="15" customHeight="1">
      <c r="D7" s="68"/>
      <c r="E7" s="74">
        <v>320.34410000000003</v>
      </c>
      <c r="F7" s="75">
        <v>1722</v>
      </c>
      <c r="G7" s="75">
        <v>295.39999999999998</v>
      </c>
      <c r="H7" s="75">
        <v>24.944130000000001</v>
      </c>
    </row>
    <row r="8" spans="1:8" ht="15" customHeight="1">
      <c r="D8" s="68"/>
      <c r="E8" s="74">
        <v>320.2706</v>
      </c>
      <c r="F8" s="75">
        <v>2194</v>
      </c>
      <c r="G8" s="75">
        <v>295.5</v>
      </c>
      <c r="H8" s="75">
        <v>24.770579999999999</v>
      </c>
    </row>
    <row r="9" spans="1:8" ht="15" customHeight="1">
      <c r="D9" s="68"/>
      <c r="E9" s="74">
        <v>322.24059999999997</v>
      </c>
      <c r="F9" s="75">
        <v>2673</v>
      </c>
      <c r="G9" s="75">
        <v>300.10000000000002</v>
      </c>
      <c r="H9" s="75">
        <v>22.14058</v>
      </c>
    </row>
    <row r="10" spans="1:8" ht="15" customHeight="1">
      <c r="D10" s="68"/>
      <c r="E10" s="74">
        <v>323.25</v>
      </c>
      <c r="F10" s="75">
        <v>3147</v>
      </c>
      <c r="G10" s="75">
        <v>304.2</v>
      </c>
      <c r="H10" s="75">
        <v>19.05001</v>
      </c>
    </row>
    <row r="11" spans="1:8" ht="15" customHeight="1">
      <c r="D11" s="68" t="s">
        <v>107</v>
      </c>
      <c r="E11" s="74">
        <v>322.93040000000002</v>
      </c>
      <c r="F11" s="75">
        <v>3620</v>
      </c>
      <c r="G11" s="75">
        <v>304.8</v>
      </c>
      <c r="H11" s="75">
        <v>18.13043</v>
      </c>
    </row>
    <row r="12" spans="1:8" ht="15" customHeight="1">
      <c r="D12" s="68"/>
      <c r="E12" s="74">
        <v>323.27789999999999</v>
      </c>
      <c r="F12" s="75">
        <v>4094</v>
      </c>
      <c r="G12" s="75">
        <v>305.5</v>
      </c>
      <c r="H12" s="75">
        <v>17.777940000000001</v>
      </c>
    </row>
    <row r="13" spans="1:8" ht="15" customHeight="1">
      <c r="D13" s="68"/>
      <c r="E13" s="74">
        <v>322.44850000000002</v>
      </c>
      <c r="F13" s="75">
        <v>4567</v>
      </c>
      <c r="G13" s="75">
        <v>303.5</v>
      </c>
      <c r="H13" s="75">
        <v>18.948530000000002</v>
      </c>
    </row>
    <row r="14" spans="1:8" ht="15" customHeight="1">
      <c r="D14" s="68"/>
      <c r="E14" s="74">
        <v>323.08969999999999</v>
      </c>
      <c r="F14" s="75">
        <v>5038</v>
      </c>
      <c r="G14" s="75">
        <v>304.39999999999998</v>
      </c>
      <c r="H14" s="75">
        <v>18.689699999999998</v>
      </c>
    </row>
    <row r="15" spans="1:8" ht="15" customHeight="1">
      <c r="D15" s="68"/>
      <c r="E15" s="68"/>
      <c r="F15" s="68"/>
      <c r="G15" s="68"/>
      <c r="H15" s="68"/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241</v>
      </c>
      <c r="D1" s="68"/>
      <c r="E1" s="139" t="s">
        <v>242</v>
      </c>
      <c r="F1" s="140"/>
      <c r="G1" s="140"/>
      <c r="H1" s="140"/>
      <c r="J1" s="68"/>
      <c r="K1" s="139" t="s">
        <v>243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112</v>
      </c>
      <c r="D4" s="68" t="s">
        <v>119</v>
      </c>
      <c r="E4" s="74">
        <v>296.60480000000001</v>
      </c>
      <c r="F4" s="75">
        <v>301</v>
      </c>
      <c r="G4" s="75">
        <v>289.68</v>
      </c>
      <c r="H4" s="75">
        <v>6.9248399999999997</v>
      </c>
      <c r="J4" s="68" t="s">
        <v>143</v>
      </c>
      <c r="K4" s="74">
        <v>293.6465</v>
      </c>
      <c r="L4" s="75">
        <v>301</v>
      </c>
      <c r="M4" s="75">
        <v>283.51</v>
      </c>
      <c r="N4" s="75">
        <v>10.13649</v>
      </c>
    </row>
    <row r="5" spans="1:14" ht="15" customHeight="1">
      <c r="D5" s="68"/>
      <c r="E5" s="74">
        <v>296.78710000000001</v>
      </c>
      <c r="F5" s="75">
        <v>775</v>
      </c>
      <c r="G5" s="75">
        <v>289.87</v>
      </c>
      <c r="H5" s="75">
        <v>6.9170699999999998</v>
      </c>
      <c r="J5" s="68"/>
      <c r="K5" s="74">
        <v>293.5763</v>
      </c>
      <c r="L5" s="75">
        <v>770</v>
      </c>
      <c r="M5" s="75">
        <v>282.97000000000003</v>
      </c>
      <c r="N5" s="75">
        <v>10.606339999999999</v>
      </c>
    </row>
    <row r="6" spans="1:14" ht="15" customHeight="1">
      <c r="D6" s="68"/>
      <c r="E6" s="74">
        <v>297.01240000000001</v>
      </c>
      <c r="F6" s="75">
        <v>1247</v>
      </c>
      <c r="G6" s="75">
        <v>289.97000000000003</v>
      </c>
      <c r="H6" s="75">
        <v>7.0424100000000003</v>
      </c>
      <c r="J6" s="68"/>
      <c r="K6" s="74">
        <v>293.94779999999997</v>
      </c>
      <c r="L6" s="75">
        <v>1243</v>
      </c>
      <c r="M6" s="75">
        <v>283.24</v>
      </c>
      <c r="N6" s="75">
        <v>10.70781</v>
      </c>
    </row>
    <row r="7" spans="1:14" ht="15" customHeight="1">
      <c r="D7" s="68"/>
      <c r="E7" s="74">
        <v>297.27100000000002</v>
      </c>
      <c r="F7" s="75">
        <v>1724</v>
      </c>
      <c r="G7" s="75">
        <v>289.87</v>
      </c>
      <c r="H7" s="75">
        <v>7.4009499999999999</v>
      </c>
      <c r="J7" s="68"/>
      <c r="K7" s="74">
        <v>294.07</v>
      </c>
      <c r="L7" s="75">
        <v>1716</v>
      </c>
      <c r="M7" s="75">
        <v>283.89</v>
      </c>
      <c r="N7" s="75">
        <v>10.17999</v>
      </c>
    </row>
    <row r="8" spans="1:14" ht="15" customHeight="1">
      <c r="D8" s="68"/>
      <c r="E8" s="74">
        <v>296.93740000000003</v>
      </c>
      <c r="F8" s="75">
        <v>2197</v>
      </c>
      <c r="G8" s="75">
        <v>289.54000000000002</v>
      </c>
      <c r="H8" s="75">
        <v>7.3974299999999999</v>
      </c>
      <c r="J8" s="68"/>
      <c r="K8" s="74">
        <v>294.0643</v>
      </c>
      <c r="L8" s="75">
        <v>2190</v>
      </c>
      <c r="M8" s="75">
        <v>283.77999999999997</v>
      </c>
      <c r="N8" s="75">
        <v>10.28425</v>
      </c>
    </row>
    <row r="9" spans="1:14" ht="15" customHeight="1">
      <c r="D9" s="68"/>
      <c r="E9" s="74">
        <v>297.36360000000002</v>
      </c>
      <c r="F9" s="75">
        <v>2667</v>
      </c>
      <c r="G9" s="75">
        <v>289.62</v>
      </c>
      <c r="H9" s="75">
        <v>7.7435700000000001</v>
      </c>
      <c r="J9" s="68"/>
      <c r="K9" s="74">
        <v>293.7176</v>
      </c>
      <c r="L9" s="75">
        <v>2662</v>
      </c>
      <c r="M9" s="75">
        <v>285.52</v>
      </c>
      <c r="N9" s="75">
        <v>8.1975700000000007</v>
      </c>
    </row>
    <row r="10" spans="1:14" ht="15" customHeight="1">
      <c r="D10" s="68" t="s">
        <v>138</v>
      </c>
      <c r="E10" s="19">
        <v>297.44619999999998</v>
      </c>
      <c r="F10" s="20">
        <v>3143</v>
      </c>
      <c r="G10" s="20">
        <v>289.18</v>
      </c>
      <c r="H10" s="20">
        <v>8.2661999999999995</v>
      </c>
      <c r="J10" s="68" t="s">
        <v>107</v>
      </c>
      <c r="K10" s="74">
        <v>294.14729999999997</v>
      </c>
      <c r="L10" s="75">
        <v>3136</v>
      </c>
      <c r="M10" s="75">
        <v>286.86</v>
      </c>
      <c r="N10" s="75">
        <v>7.2873299999999999</v>
      </c>
    </row>
    <row r="11" spans="1:14" ht="15" customHeight="1">
      <c r="D11" s="68"/>
      <c r="E11" s="19">
        <v>296.79140000000001</v>
      </c>
      <c r="F11" s="20">
        <v>3614</v>
      </c>
      <c r="G11" s="20">
        <v>289.56</v>
      </c>
      <c r="H11" s="20">
        <v>7.2313999999999998</v>
      </c>
      <c r="J11" s="68"/>
      <c r="K11" s="74">
        <v>294.5872</v>
      </c>
      <c r="L11" s="75">
        <v>3607</v>
      </c>
      <c r="M11" s="75">
        <v>287.8</v>
      </c>
      <c r="N11" s="75">
        <v>6.78721</v>
      </c>
    </row>
    <row r="12" spans="1:14" ht="15" customHeight="1">
      <c r="D12" s="68"/>
      <c r="E12" s="19">
        <v>296.70740000000001</v>
      </c>
      <c r="F12" s="20">
        <v>4084</v>
      </c>
      <c r="G12" s="20">
        <v>290.62</v>
      </c>
      <c r="H12" s="20">
        <v>6.0873799999999996</v>
      </c>
      <c r="J12" s="68"/>
      <c r="K12" s="74">
        <v>295.07600000000002</v>
      </c>
      <c r="L12" s="75">
        <v>4081</v>
      </c>
      <c r="M12" s="75">
        <v>288.24</v>
      </c>
      <c r="N12" s="75">
        <v>6.8360099999999999</v>
      </c>
    </row>
    <row r="13" spans="1:14" ht="15" customHeight="1">
      <c r="D13" s="68"/>
      <c r="E13" s="19">
        <v>296.58449999999999</v>
      </c>
      <c r="F13" s="20">
        <v>4562</v>
      </c>
      <c r="G13" s="20">
        <v>290.79000000000002</v>
      </c>
      <c r="H13" s="20">
        <v>5.7945099999999998</v>
      </c>
      <c r="J13" s="68"/>
      <c r="K13" s="74">
        <v>295.48480000000001</v>
      </c>
      <c r="L13" s="75">
        <v>4555</v>
      </c>
      <c r="M13" s="75">
        <v>288.27999999999997</v>
      </c>
      <c r="N13" s="75">
        <v>7.2047999999999996</v>
      </c>
    </row>
    <row r="14" spans="1:14" ht="15" customHeight="1">
      <c r="D14" s="68"/>
      <c r="E14" s="19">
        <v>296.56689999999998</v>
      </c>
      <c r="F14" s="20">
        <v>5033</v>
      </c>
      <c r="G14" s="20">
        <v>290.79000000000002</v>
      </c>
      <c r="H14" s="20">
        <v>5.7768899999999999</v>
      </c>
      <c r="J14" s="68"/>
      <c r="K14" s="74">
        <v>296.2824</v>
      </c>
      <c r="L14" s="75">
        <v>5028</v>
      </c>
      <c r="M14" s="75">
        <v>288.82</v>
      </c>
      <c r="N14" s="75">
        <v>7.4623799999999996</v>
      </c>
    </row>
    <row r="15" spans="1:14" ht="15" customHeight="1">
      <c r="D15" s="68"/>
      <c r="E15" s="74">
        <v>296.55840000000001</v>
      </c>
      <c r="F15" s="75">
        <v>5505</v>
      </c>
      <c r="G15" s="75">
        <v>290.43</v>
      </c>
      <c r="H15" s="75">
        <v>6.1283799999999999</v>
      </c>
      <c r="J15" s="68"/>
      <c r="K15" s="68"/>
      <c r="L15" s="68"/>
      <c r="M15" s="68"/>
      <c r="N15" s="68"/>
    </row>
    <row r="16" spans="1:14" ht="15" customHeight="1">
      <c r="D16" s="68"/>
      <c r="E16" s="74">
        <v>296.745</v>
      </c>
      <c r="F16" s="75">
        <v>5983</v>
      </c>
      <c r="G16" s="75">
        <v>290.27</v>
      </c>
      <c r="H16" s="75">
        <v>6.4750100000000002</v>
      </c>
      <c r="J16" s="68"/>
      <c r="K16" s="68"/>
      <c r="L16" s="68"/>
      <c r="M16" s="68"/>
      <c r="N16" s="68"/>
    </row>
    <row r="17" spans="4:14" ht="15" customHeight="1">
      <c r="D17" s="68"/>
      <c r="E17" s="74">
        <v>295.99669999999998</v>
      </c>
      <c r="F17" s="75">
        <v>6454</v>
      </c>
      <c r="G17" s="75">
        <v>289.85000000000002</v>
      </c>
      <c r="H17" s="75">
        <v>6.1467299999999998</v>
      </c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J24" s="68"/>
      <c r="K24" s="68"/>
      <c r="L24" s="68"/>
      <c r="M24" s="68"/>
      <c r="N24" s="68"/>
    </row>
    <row r="25" spans="4:14" ht="15" customHeight="1">
      <c r="D25" s="68"/>
      <c r="J25" s="68"/>
      <c r="K25" s="68"/>
      <c r="L25" s="68"/>
      <c r="M25" s="68"/>
      <c r="N25" s="68"/>
    </row>
    <row r="26" spans="4:14" ht="15" customHeight="1">
      <c r="D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N1000"/>
  <sheetViews>
    <sheetView workbookViewId="0"/>
  </sheetViews>
  <sheetFormatPr defaultColWidth="11.19921875" defaultRowHeight="15" customHeight="1"/>
  <sheetData>
    <row r="1" spans="1:14" ht="15" customHeight="1">
      <c r="A1" s="81" t="s">
        <v>244</v>
      </c>
      <c r="D1" s="84"/>
      <c r="E1" s="141" t="s">
        <v>245</v>
      </c>
      <c r="F1" s="140"/>
      <c r="G1" s="140"/>
      <c r="H1" s="140"/>
      <c r="I1" s="84"/>
      <c r="J1" s="84"/>
      <c r="K1" s="141" t="s">
        <v>246</v>
      </c>
      <c r="L1" s="140"/>
      <c r="M1" s="140"/>
      <c r="N1" s="140"/>
    </row>
    <row r="2" spans="1:14" ht="15" customHeight="1">
      <c r="A2" s="81" t="s">
        <v>90</v>
      </c>
      <c r="D2" s="84"/>
      <c r="E2" s="118"/>
      <c r="F2" s="118"/>
      <c r="G2" s="118"/>
      <c r="H2" s="118"/>
      <c r="I2" s="84"/>
      <c r="J2" s="84"/>
      <c r="K2" s="118"/>
      <c r="L2" s="118"/>
      <c r="M2" s="118"/>
      <c r="N2" s="118"/>
    </row>
    <row r="3" spans="1:14" ht="15" customHeight="1">
      <c r="A3" s="82" t="s">
        <v>111</v>
      </c>
      <c r="D3" s="86"/>
      <c r="E3" s="50" t="s">
        <v>10</v>
      </c>
      <c r="F3" s="50" t="s">
        <v>11</v>
      </c>
      <c r="G3" s="50" t="s">
        <v>12</v>
      </c>
      <c r="H3" s="87" t="s">
        <v>85</v>
      </c>
      <c r="I3" s="84"/>
      <c r="J3" s="86"/>
      <c r="K3" s="50" t="s">
        <v>10</v>
      </c>
      <c r="L3" s="50" t="s">
        <v>11</v>
      </c>
      <c r="M3" s="50" t="s">
        <v>12</v>
      </c>
      <c r="N3" s="87" t="s">
        <v>85</v>
      </c>
    </row>
    <row r="4" spans="1:14" ht="15" customHeight="1">
      <c r="A4" s="82" t="s">
        <v>112</v>
      </c>
      <c r="D4" s="52" t="s">
        <v>143</v>
      </c>
      <c r="E4" s="88">
        <v>296.81630000000001</v>
      </c>
      <c r="F4" s="88">
        <v>301</v>
      </c>
      <c r="G4" s="88">
        <v>284.04000000000002</v>
      </c>
      <c r="H4" s="88">
        <v>12.77633</v>
      </c>
      <c r="I4" s="84"/>
      <c r="J4" s="52" t="s">
        <v>113</v>
      </c>
      <c r="K4" s="88">
        <v>293.4246</v>
      </c>
      <c r="L4" s="88">
        <v>301</v>
      </c>
      <c r="M4" s="88">
        <v>280.02</v>
      </c>
      <c r="N4" s="88">
        <v>13.404590000000001</v>
      </c>
    </row>
    <row r="5" spans="1:14" ht="15" customHeight="1">
      <c r="D5" s="86"/>
      <c r="E5" s="88">
        <v>296.851</v>
      </c>
      <c r="F5" s="88">
        <v>776</v>
      </c>
      <c r="G5" s="88">
        <v>284.14</v>
      </c>
      <c r="H5" s="88">
        <v>12.71095</v>
      </c>
      <c r="I5" s="84"/>
      <c r="J5" s="86"/>
      <c r="K5" s="88">
        <v>293.36410000000001</v>
      </c>
      <c r="L5" s="88">
        <v>775</v>
      </c>
      <c r="M5" s="88">
        <v>280.08</v>
      </c>
      <c r="N5" s="88">
        <v>13.284079999999999</v>
      </c>
    </row>
    <row r="6" spans="1:14" ht="15" customHeight="1">
      <c r="D6" s="86"/>
      <c r="E6" s="88">
        <v>296.48849999999999</v>
      </c>
      <c r="F6" s="88">
        <v>1248</v>
      </c>
      <c r="G6" s="88">
        <v>283.26</v>
      </c>
      <c r="H6" s="88">
        <v>13.228479999999999</v>
      </c>
      <c r="I6" s="84"/>
      <c r="J6" s="86"/>
      <c r="K6" s="88">
        <v>293.4554</v>
      </c>
      <c r="L6" s="88">
        <v>1247</v>
      </c>
      <c r="M6" s="88">
        <v>280.04000000000002</v>
      </c>
      <c r="N6" s="88">
        <v>13.41541</v>
      </c>
    </row>
    <row r="7" spans="1:14" ht="15" customHeight="1">
      <c r="D7" s="86"/>
      <c r="E7" s="88">
        <v>296.2894</v>
      </c>
      <c r="F7" s="88">
        <v>1722</v>
      </c>
      <c r="G7" s="88">
        <v>283.22000000000003</v>
      </c>
      <c r="H7" s="88">
        <v>13.069430000000001</v>
      </c>
      <c r="I7" s="84"/>
      <c r="J7" s="86"/>
      <c r="K7" s="88">
        <v>293.51029999999997</v>
      </c>
      <c r="L7" s="88">
        <v>1720</v>
      </c>
      <c r="M7" s="88">
        <v>279.73</v>
      </c>
      <c r="N7" s="88">
        <v>13.780329999999999</v>
      </c>
    </row>
    <row r="8" spans="1:14" ht="15" customHeight="1">
      <c r="D8" s="86"/>
      <c r="E8" s="88">
        <v>296.02719999999999</v>
      </c>
      <c r="F8" s="88">
        <v>2197</v>
      </c>
      <c r="G8" s="88">
        <v>282.89</v>
      </c>
      <c r="H8" s="88">
        <v>13.13716</v>
      </c>
      <c r="I8" s="84"/>
      <c r="J8" s="86"/>
      <c r="K8" s="88">
        <v>293.39980000000003</v>
      </c>
      <c r="L8" s="88">
        <v>2194</v>
      </c>
      <c r="M8" s="88">
        <v>279.52</v>
      </c>
      <c r="N8" s="88">
        <v>13.87984</v>
      </c>
    </row>
    <row r="9" spans="1:14" ht="15" customHeight="1">
      <c r="D9" s="86"/>
      <c r="E9" s="88">
        <v>296.55</v>
      </c>
      <c r="F9" s="88">
        <v>2676</v>
      </c>
      <c r="G9" s="88">
        <v>284.56</v>
      </c>
      <c r="H9" s="88">
        <v>11.99</v>
      </c>
      <c r="I9" s="84"/>
      <c r="J9" s="86"/>
      <c r="K9" s="88">
        <v>293.67880000000002</v>
      </c>
      <c r="L9" s="88">
        <v>2667</v>
      </c>
      <c r="M9" s="88">
        <v>280.25</v>
      </c>
      <c r="N9" s="88">
        <v>13.428789999999999</v>
      </c>
    </row>
    <row r="10" spans="1:14" ht="15" customHeight="1">
      <c r="D10" s="52" t="s">
        <v>120</v>
      </c>
      <c r="E10" s="88">
        <v>296.57330000000002</v>
      </c>
      <c r="F10" s="88">
        <v>3148</v>
      </c>
      <c r="G10" s="88">
        <v>285</v>
      </c>
      <c r="H10" s="88">
        <v>11.573270000000001</v>
      </c>
      <c r="I10" s="84"/>
      <c r="J10" s="52" t="s">
        <v>107</v>
      </c>
      <c r="K10" s="89">
        <v>293.38409999999999</v>
      </c>
      <c r="L10" s="89">
        <v>3142</v>
      </c>
      <c r="M10" s="89">
        <v>281.04000000000002</v>
      </c>
      <c r="N10" s="89">
        <v>12.34413</v>
      </c>
    </row>
    <row r="11" spans="1:14" ht="15" customHeight="1">
      <c r="D11" s="86"/>
      <c r="E11" s="88">
        <v>296.31360000000001</v>
      </c>
      <c r="F11" s="88">
        <v>3622</v>
      </c>
      <c r="G11" s="88">
        <v>285.02</v>
      </c>
      <c r="H11" s="88">
        <v>11.2936</v>
      </c>
      <c r="I11" s="84"/>
      <c r="J11" s="86"/>
      <c r="K11" s="89">
        <v>293.02260000000001</v>
      </c>
      <c r="L11" s="89">
        <v>3617</v>
      </c>
      <c r="M11" s="89">
        <v>284.12</v>
      </c>
      <c r="N11" s="89">
        <v>8.90259</v>
      </c>
    </row>
    <row r="12" spans="1:14" ht="15" customHeight="1">
      <c r="D12" s="86"/>
      <c r="E12" s="88">
        <v>296.12169999999998</v>
      </c>
      <c r="F12" s="88">
        <v>4097</v>
      </c>
      <c r="G12" s="88">
        <v>284.47000000000003</v>
      </c>
      <c r="H12" s="88">
        <v>11.6517</v>
      </c>
      <c r="I12" s="84"/>
      <c r="J12" s="86"/>
      <c r="K12" s="89">
        <v>293.30459999999999</v>
      </c>
      <c r="L12" s="89">
        <v>4088</v>
      </c>
      <c r="M12" s="89">
        <v>285.10000000000002</v>
      </c>
      <c r="N12" s="89">
        <v>8.2045600000000007</v>
      </c>
    </row>
    <row r="13" spans="1:14" ht="15" customHeight="1">
      <c r="D13" s="86"/>
      <c r="E13" s="88">
        <v>295.87079999999997</v>
      </c>
      <c r="F13" s="88">
        <v>4569</v>
      </c>
      <c r="G13" s="88">
        <v>284.35000000000002</v>
      </c>
      <c r="H13" s="88">
        <v>11.520759999999999</v>
      </c>
      <c r="I13" s="84"/>
      <c r="J13" s="86"/>
      <c r="K13" s="88">
        <v>293.54090000000002</v>
      </c>
      <c r="L13" s="88">
        <v>4562</v>
      </c>
      <c r="M13" s="88">
        <v>285.77</v>
      </c>
      <c r="N13" s="88">
        <v>7.7708700000000004</v>
      </c>
    </row>
    <row r="14" spans="1:14" ht="15" customHeight="1">
      <c r="D14" s="86"/>
      <c r="E14" s="88">
        <v>295.87419999999997</v>
      </c>
      <c r="F14" s="88">
        <v>5042</v>
      </c>
      <c r="G14" s="88">
        <v>284.04000000000002</v>
      </c>
      <c r="H14" s="88">
        <v>11.83422</v>
      </c>
      <c r="I14" s="84"/>
      <c r="J14" s="86"/>
      <c r="K14" s="88">
        <v>293.55849999999998</v>
      </c>
      <c r="L14" s="88">
        <v>5036</v>
      </c>
      <c r="M14" s="88">
        <v>285.94</v>
      </c>
      <c r="N14" s="88">
        <v>7.6184700000000003</v>
      </c>
    </row>
    <row r="15" spans="1:14" ht="15" customHeight="1">
      <c r="D15" s="84"/>
      <c r="E15" s="84"/>
      <c r="F15" s="84"/>
      <c r="G15" s="84"/>
      <c r="H15" s="84"/>
      <c r="I15" s="84"/>
      <c r="J15" s="86"/>
      <c r="K15" s="88">
        <v>293.81639999999999</v>
      </c>
      <c r="L15" s="88">
        <v>5508</v>
      </c>
      <c r="M15" s="88">
        <v>286.23</v>
      </c>
      <c r="N15" s="88">
        <v>7.58643</v>
      </c>
    </row>
    <row r="16" spans="1:14" ht="15" customHeight="1">
      <c r="D16" s="84"/>
      <c r="E16" s="84"/>
      <c r="F16" s="84"/>
      <c r="G16" s="84"/>
      <c r="H16" s="84"/>
      <c r="I16" s="84"/>
      <c r="J16" s="86"/>
      <c r="K16" s="88">
        <v>293.89389999999997</v>
      </c>
      <c r="L16" s="88">
        <v>5983</v>
      </c>
      <c r="M16" s="88">
        <v>286.54000000000002</v>
      </c>
      <c r="N16" s="88">
        <v>7.3538899999999998</v>
      </c>
    </row>
    <row r="17" spans="4:14" ht="15" customHeight="1">
      <c r="D17" s="84"/>
      <c r="E17" s="84"/>
      <c r="F17" s="84"/>
      <c r="G17" s="84"/>
      <c r="H17" s="84"/>
      <c r="I17" s="84"/>
      <c r="J17" s="86"/>
      <c r="K17" s="88">
        <v>293.87169999999998</v>
      </c>
      <c r="L17" s="88">
        <v>6455</v>
      </c>
      <c r="M17" s="88">
        <v>286.27</v>
      </c>
      <c r="N17" s="88">
        <v>7.6017099999999997</v>
      </c>
    </row>
    <row r="18" spans="4:14" ht="15" customHeight="1"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</row>
    <row r="19" spans="4:14" ht="15" customHeight="1"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</row>
    <row r="20" spans="4:14" ht="15" customHeight="1"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</row>
    <row r="21" spans="4:14" ht="15" customHeight="1"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</row>
    <row r="22" spans="4:14" ht="15" customHeight="1"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</row>
    <row r="23" spans="4:14" ht="15" customHeight="1"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</row>
    <row r="24" spans="4:14" ht="15" customHeight="1"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</row>
    <row r="25" spans="4:14" ht="15" customHeight="1"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</row>
    <row r="26" spans="4:14" ht="15" customHeight="1"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</row>
    <row r="27" spans="4:14" ht="15" customHeight="1"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</row>
    <row r="28" spans="4:14" ht="15.6"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</row>
    <row r="29" spans="4:14" ht="15.6"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</row>
    <row r="30" spans="4:14" ht="15.6"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</row>
    <row r="31" spans="4:14" ht="15.6"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</row>
    <row r="32" spans="4:14" ht="15.6"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</row>
    <row r="33" spans="4:14" ht="15.6"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</row>
    <row r="34" spans="4:14" ht="15.6"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</row>
    <row r="35" spans="4:14" ht="15.6"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</row>
    <row r="36" spans="4:14" ht="15.6"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</row>
    <row r="37" spans="4:14" ht="15.6"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</row>
    <row r="38" spans="4:14" ht="15.6"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</row>
    <row r="39" spans="4:14" ht="15.6"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</row>
    <row r="40" spans="4:14" ht="15.6"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</row>
    <row r="41" spans="4:14" ht="15.6"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</row>
    <row r="42" spans="4:14" ht="15.6"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</row>
    <row r="43" spans="4:14" ht="15.6"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</row>
    <row r="44" spans="4:14" ht="15.6"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</row>
    <row r="45" spans="4:14" ht="15.6"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</row>
    <row r="46" spans="4:14" ht="15.6"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</row>
    <row r="47" spans="4:14" ht="15.6"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</row>
    <row r="48" spans="4:14" ht="15.6"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</row>
    <row r="49" spans="4:14" ht="15.6"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</row>
    <row r="50" spans="4:14" ht="15.6"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</row>
    <row r="51" spans="4:14" ht="15.6"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</row>
    <row r="52" spans="4:14" ht="15.6"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</row>
    <row r="53" spans="4:14" ht="15.6"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</row>
    <row r="54" spans="4:14" ht="15.6"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</row>
    <row r="55" spans="4:14" ht="15.6"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</row>
    <row r="56" spans="4:14" ht="15.6"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</row>
    <row r="57" spans="4:14" ht="15.6"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</row>
    <row r="58" spans="4:14" ht="15.6"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</row>
    <row r="59" spans="4:14" ht="15.6"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</row>
    <row r="60" spans="4:14" ht="15.6"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</row>
    <row r="61" spans="4:14" ht="15.6"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</row>
    <row r="62" spans="4:14" ht="15.6"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</row>
    <row r="63" spans="4:14" ht="15.6"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</row>
    <row r="64" spans="4:14" ht="15.6"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</row>
    <row r="65" spans="4:14" ht="15.6"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</row>
    <row r="66" spans="4:14" ht="15.6"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</row>
    <row r="67" spans="4:14" ht="15.6"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</row>
    <row r="68" spans="4:14" ht="15.6"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</row>
    <row r="69" spans="4:14" ht="15.6"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</row>
    <row r="70" spans="4:14" ht="15.6"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</row>
    <row r="71" spans="4:14" ht="15.6"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</row>
    <row r="72" spans="4:14" ht="15.6"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</row>
    <row r="73" spans="4:14" ht="15.6"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</row>
    <row r="74" spans="4:14" ht="15.6"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</row>
    <row r="75" spans="4:14" ht="15.6"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</row>
    <row r="76" spans="4:14" ht="15.6"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</row>
    <row r="77" spans="4:14" ht="15.6"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</row>
    <row r="78" spans="4:14" ht="15.6"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</row>
    <row r="79" spans="4:14" ht="15.6"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</row>
    <row r="80" spans="4:14" ht="15.6"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</row>
    <row r="81" spans="4:14" ht="15.6"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</row>
    <row r="82" spans="4:14" ht="15.6"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</row>
    <row r="83" spans="4:14" ht="15.6"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</row>
    <row r="84" spans="4:14" ht="15.6"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</row>
    <row r="85" spans="4:14" ht="15.6"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</row>
    <row r="86" spans="4:14" ht="15.6"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</row>
    <row r="87" spans="4:14" ht="15.6"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</row>
    <row r="88" spans="4:14" ht="15.6"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</row>
    <row r="89" spans="4:14" ht="15.6"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</row>
    <row r="90" spans="4:14" ht="15.6"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</row>
    <row r="91" spans="4:14" ht="15.6"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</row>
    <row r="92" spans="4:14" ht="15.6"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</row>
    <row r="93" spans="4:14" ht="15.6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</row>
    <row r="94" spans="4:14" ht="15.6"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</row>
    <row r="95" spans="4:14" ht="15.6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</row>
    <row r="96" spans="4:14" ht="15.6"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</row>
    <row r="97" spans="4:14" ht="15.6"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</row>
    <row r="98" spans="4:14" ht="15.6"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</row>
    <row r="99" spans="4:14" ht="15.6"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</row>
    <row r="100" spans="4:14" ht="15.6"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</row>
    <row r="101" spans="4:14" ht="15.6"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</row>
    <row r="102" spans="4:14" ht="15.6"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</row>
    <row r="103" spans="4:14" ht="15.6"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</row>
    <row r="104" spans="4:14" ht="15.6"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</row>
    <row r="105" spans="4:14" ht="15.6"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</row>
    <row r="106" spans="4:14" ht="15.6"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</row>
    <row r="107" spans="4:14" ht="15.6"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</row>
    <row r="108" spans="4:14" ht="15.6"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</row>
    <row r="109" spans="4:14" ht="15.6"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</row>
    <row r="110" spans="4:14" ht="15.6"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</row>
    <row r="111" spans="4:14" ht="15.6"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</row>
    <row r="112" spans="4:14" ht="15.6"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</row>
    <row r="113" spans="4:14" ht="15.6"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</row>
    <row r="114" spans="4:14" ht="15.6"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</row>
    <row r="115" spans="4:14" ht="15.6"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</row>
    <row r="116" spans="4:14" ht="15.6"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</row>
    <row r="117" spans="4:14" ht="15.6"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</row>
    <row r="118" spans="4:14" ht="15.6"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</row>
    <row r="119" spans="4:14" ht="15.6"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</row>
    <row r="120" spans="4:14" ht="15.6"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</row>
    <row r="121" spans="4:14" ht="15.6"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</row>
    <row r="122" spans="4:14" ht="15.6"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</row>
    <row r="123" spans="4:14" ht="15.6"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</row>
    <row r="124" spans="4:14" ht="15.6"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</row>
    <row r="125" spans="4:14" ht="15.6"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</row>
    <row r="126" spans="4:14" ht="15.6"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</row>
    <row r="127" spans="4:14" ht="15.6"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</row>
    <row r="128" spans="4:14" ht="15.6"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</row>
    <row r="129" spans="4:14" ht="15.6"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</row>
    <row r="130" spans="4:14" ht="15.6"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</row>
    <row r="131" spans="4:14" ht="15.6"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</row>
    <row r="132" spans="4:14" ht="15.6"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</row>
    <row r="133" spans="4:14" ht="15.6"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</row>
    <row r="134" spans="4:14" ht="15.6"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</row>
    <row r="135" spans="4:14" ht="15.6"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</row>
    <row r="136" spans="4:14" ht="15.6"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</row>
    <row r="137" spans="4:14" ht="15.6"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</row>
    <row r="138" spans="4:14" ht="15.6"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</row>
    <row r="139" spans="4:14" ht="15.6"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</row>
    <row r="140" spans="4:14" ht="15.6"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</row>
    <row r="141" spans="4:14" ht="15.6"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</row>
    <row r="142" spans="4:14" ht="15.6"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</row>
    <row r="143" spans="4:14" ht="15.6"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</row>
    <row r="144" spans="4:14" ht="15.6"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</row>
    <row r="145" spans="4:14" ht="15.6"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</row>
    <row r="146" spans="4:14" ht="15.6"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</row>
    <row r="147" spans="4:14" ht="15.6"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</row>
    <row r="148" spans="4:14" ht="15.6"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</row>
    <row r="149" spans="4:14" ht="15.6"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</row>
    <row r="150" spans="4:14" ht="15.6"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</row>
    <row r="151" spans="4:14" ht="15.6"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</row>
    <row r="152" spans="4:14" ht="15.6"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</row>
    <row r="153" spans="4:14" ht="15.6"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</row>
    <row r="154" spans="4:14" ht="15.6"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</row>
    <row r="155" spans="4:14" ht="15.6"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</row>
    <row r="156" spans="4:14" ht="15.6"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</row>
    <row r="157" spans="4:14" ht="15.6"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</row>
    <row r="158" spans="4:14" ht="15.6"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</row>
    <row r="159" spans="4:14" ht="15.6"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</row>
    <row r="160" spans="4:14" ht="15.6"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</row>
    <row r="161" spans="4:14" ht="15.6"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</row>
    <row r="162" spans="4:14" ht="15.6"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</row>
    <row r="163" spans="4:14" ht="15.6"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</row>
    <row r="164" spans="4:14" ht="15.6"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</row>
    <row r="165" spans="4:14" ht="15.6"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</row>
    <row r="166" spans="4:14" ht="15.6"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</row>
    <row r="167" spans="4:14" ht="15.6"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</row>
    <row r="168" spans="4:14" ht="15.6"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</row>
    <row r="169" spans="4:14" ht="15.6"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</row>
    <row r="170" spans="4:14" ht="15.6"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</row>
    <row r="171" spans="4:14" ht="15.6"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</row>
    <row r="172" spans="4:14" ht="15.6"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</row>
    <row r="173" spans="4:14" ht="15.6"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</row>
    <row r="174" spans="4:14" ht="15.6"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</row>
    <row r="175" spans="4:14" ht="15.6"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</row>
    <row r="176" spans="4:14" ht="15.6"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</row>
    <row r="177" spans="4:14" ht="15.6"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</row>
    <row r="178" spans="4:14" ht="15.6"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</row>
    <row r="179" spans="4:14" ht="15.6"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</row>
    <row r="180" spans="4:14" ht="15.6"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</row>
    <row r="181" spans="4:14" ht="15.6"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</row>
    <row r="182" spans="4:14" ht="15.6"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</row>
    <row r="183" spans="4:14" ht="15.6"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</row>
    <row r="184" spans="4:14" ht="15.6"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</row>
    <row r="185" spans="4:14" ht="15.6"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</row>
    <row r="186" spans="4:14" ht="15.6"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</row>
    <row r="187" spans="4:14" ht="15.6"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</row>
    <row r="188" spans="4:14" ht="15.6"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</row>
    <row r="189" spans="4:14" ht="15.6"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</row>
    <row r="190" spans="4:14" ht="15.6"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</row>
    <row r="191" spans="4:14" ht="15.6"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</row>
    <row r="192" spans="4:14" ht="15.6"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</row>
    <row r="193" spans="4:14" ht="15.6"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</row>
    <row r="194" spans="4:14" ht="15.6"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</row>
    <row r="195" spans="4:14" ht="15.6"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</row>
    <row r="196" spans="4:14" ht="15.6"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</row>
    <row r="197" spans="4:14" ht="15.6"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</row>
    <row r="198" spans="4:14" ht="15.6"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</row>
    <row r="199" spans="4:14" ht="15.6"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</row>
    <row r="200" spans="4:14" ht="15.6"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</row>
    <row r="201" spans="4:14" ht="15.6"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</row>
    <row r="202" spans="4:14" ht="15.6"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</row>
    <row r="203" spans="4:14" ht="15.6"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</row>
    <row r="204" spans="4:14" ht="15.6"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</row>
    <row r="205" spans="4:14" ht="15.6"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</row>
    <row r="206" spans="4:14" ht="15.6"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</row>
    <row r="207" spans="4:14" ht="15.6"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</row>
    <row r="208" spans="4:14" ht="15.6"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</row>
    <row r="209" spans="4:14" ht="15.6"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</row>
    <row r="210" spans="4:14" ht="15.6"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</row>
    <row r="211" spans="4:14" ht="15.6"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</row>
    <row r="212" spans="4:14" ht="15.6"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</row>
    <row r="213" spans="4:14" ht="15.6"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</row>
    <row r="214" spans="4:14" ht="15.6"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</row>
    <row r="215" spans="4:14" ht="15.6"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</row>
    <row r="216" spans="4:14" ht="15.6"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</row>
    <row r="217" spans="4:14" ht="15.6"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</row>
    <row r="218" spans="4:14" ht="15.6"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</row>
    <row r="219" spans="4:14" ht="15.6"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</row>
    <row r="220" spans="4:14" ht="15.6"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</row>
    <row r="221" spans="4:14" ht="15.6"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</row>
    <row r="222" spans="4:14" ht="15.6"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</row>
    <row r="223" spans="4:14" ht="15.6"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</row>
    <row r="224" spans="4:14" ht="15.6"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</row>
    <row r="225" spans="4:14" ht="15.6"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</row>
    <row r="226" spans="4:14" ht="15.6"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</row>
    <row r="227" spans="4:14" ht="15.6"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</row>
    <row r="228" spans="4:14" ht="15.6"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</row>
    <row r="229" spans="4:14" ht="15.6"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</row>
    <row r="230" spans="4:14" ht="15.6"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</row>
    <row r="231" spans="4:14" ht="15.6"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</row>
    <row r="232" spans="4:14" ht="15.6"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</row>
    <row r="233" spans="4:14" ht="15.6"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</row>
    <row r="234" spans="4:14" ht="15.6"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</row>
    <row r="235" spans="4:14" ht="15.6"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</row>
    <row r="236" spans="4:14" ht="15.6"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</row>
    <row r="237" spans="4:14" ht="15.6"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</row>
    <row r="238" spans="4:14" ht="15.6"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</row>
    <row r="239" spans="4:14" ht="15.6"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</row>
    <row r="240" spans="4:14" ht="15.6"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</row>
    <row r="241" spans="4:14" ht="15.6"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</row>
    <row r="242" spans="4:14" ht="15.6"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</row>
    <row r="243" spans="4:14" ht="15.6"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</row>
    <row r="244" spans="4:14" ht="15.6"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</row>
    <row r="245" spans="4:14" ht="15.6"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</row>
    <row r="246" spans="4:14" ht="15.6"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</row>
    <row r="247" spans="4:14" ht="15.6"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</row>
    <row r="248" spans="4:14" ht="15.6"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</row>
    <row r="249" spans="4:14" ht="15.6"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</row>
    <row r="250" spans="4:14" ht="15.6"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</row>
    <row r="251" spans="4:14" ht="15.6"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</row>
    <row r="252" spans="4:14" ht="15.6"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</row>
    <row r="253" spans="4:14" ht="15.6"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</row>
    <row r="254" spans="4:14" ht="15.6"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</row>
    <row r="255" spans="4:14" ht="15.6"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</row>
    <row r="256" spans="4:14" ht="15.6"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</row>
    <row r="257" spans="4:14" ht="15.6"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</row>
    <row r="258" spans="4:14" ht="15.6"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</row>
    <row r="259" spans="4:14" ht="15.6"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</row>
    <row r="260" spans="4:14" ht="15.6"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</row>
    <row r="261" spans="4:14" ht="15.6"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</row>
    <row r="262" spans="4:14" ht="15.6"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</row>
    <row r="263" spans="4:14" ht="15.6"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</row>
    <row r="264" spans="4:14" ht="15.6"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</row>
    <row r="265" spans="4:14" ht="15.6"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</row>
    <row r="266" spans="4:14" ht="15.6"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</row>
    <row r="267" spans="4:14" ht="15.6"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</row>
    <row r="268" spans="4:14" ht="15.6"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</row>
    <row r="269" spans="4:14" ht="15.6"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</row>
    <row r="270" spans="4:14" ht="15.6"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</row>
    <row r="271" spans="4:14" ht="15.6"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</row>
    <row r="272" spans="4:14" ht="15.6"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</row>
    <row r="273" spans="4:14" ht="15.6"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</row>
    <row r="274" spans="4:14" ht="15.6"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</row>
    <row r="275" spans="4:14" ht="15.6"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</row>
    <row r="276" spans="4:14" ht="15.6"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</row>
    <row r="277" spans="4:14" ht="15.6"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</row>
    <row r="278" spans="4:14" ht="15.6"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</row>
    <row r="279" spans="4:14" ht="15.6"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</row>
    <row r="280" spans="4:14" ht="15.6"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</row>
    <row r="281" spans="4:14" ht="15.6"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</row>
    <row r="282" spans="4:14" ht="15.6"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</row>
    <row r="283" spans="4:14" ht="15.6"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</row>
    <row r="284" spans="4:14" ht="15.6"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</row>
    <row r="285" spans="4:14" ht="15.6"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</row>
    <row r="286" spans="4:14" ht="15.6"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</row>
    <row r="287" spans="4:14" ht="15.6"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</row>
    <row r="288" spans="4:14" ht="15.6"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</row>
    <row r="289" spans="4:14" ht="15.6"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</row>
    <row r="290" spans="4:14" ht="15.6"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</row>
    <row r="291" spans="4:14" ht="15.6"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</row>
    <row r="292" spans="4:14" ht="15.6"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</row>
    <row r="293" spans="4:14" ht="15.6"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</row>
    <row r="294" spans="4:14" ht="15.6"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</row>
    <row r="295" spans="4:14" ht="15.6"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</row>
    <row r="296" spans="4:14" ht="15.6"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</row>
    <row r="297" spans="4:14" ht="15.6"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</row>
    <row r="298" spans="4:14" ht="15.6"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</row>
    <row r="299" spans="4:14" ht="15.6"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</row>
    <row r="300" spans="4:14" ht="15.6"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</row>
    <row r="301" spans="4:14" ht="15.6"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</row>
    <row r="302" spans="4:14" ht="15.6"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</row>
    <row r="303" spans="4:14" ht="15.6"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</row>
    <row r="304" spans="4:14" ht="15.6"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</row>
    <row r="305" spans="4:14" ht="15.6"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</row>
    <row r="306" spans="4:14" ht="15.6"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</row>
    <row r="307" spans="4:14" ht="15.6"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</row>
    <row r="308" spans="4:14" ht="15.6"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</row>
    <row r="309" spans="4:14" ht="15.6"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</row>
    <row r="310" spans="4:14" ht="15.6"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</row>
    <row r="311" spans="4:14" ht="15.6"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</row>
    <row r="312" spans="4:14" ht="15.6"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</row>
    <row r="313" spans="4:14" ht="15.6"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</row>
    <row r="314" spans="4:14" ht="15.6"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</row>
    <row r="315" spans="4:14" ht="15.6"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</row>
    <row r="316" spans="4:14" ht="15.6"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</row>
    <row r="317" spans="4:14" ht="15.6"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</row>
    <row r="318" spans="4:14" ht="15.6"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</row>
    <row r="319" spans="4:14" ht="15.6"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</row>
    <row r="320" spans="4:14" ht="15.6"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</row>
    <row r="321" spans="4:14" ht="15.6"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</row>
    <row r="322" spans="4:14" ht="15.6"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</row>
    <row r="323" spans="4:14" ht="15.6"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</row>
    <row r="324" spans="4:14" ht="15.6"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</row>
    <row r="325" spans="4:14" ht="15.6"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</row>
    <row r="326" spans="4:14" ht="15.6"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</row>
    <row r="327" spans="4:14" ht="15.6"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</row>
    <row r="328" spans="4:14" ht="15.6"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</row>
    <row r="329" spans="4:14" ht="15.6"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</row>
    <row r="330" spans="4:14" ht="15.6"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</row>
    <row r="331" spans="4:14" ht="15.6"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</row>
    <row r="332" spans="4:14" ht="15.6"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</row>
    <row r="333" spans="4:14" ht="15.6"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</row>
    <row r="334" spans="4:14" ht="15.6"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</row>
    <row r="335" spans="4:14" ht="15.6"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</row>
    <row r="336" spans="4:14" ht="15.6"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</row>
    <row r="337" spans="4:14" ht="15.6"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</row>
    <row r="338" spans="4:14" ht="15.6"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</row>
    <row r="339" spans="4:14" ht="15.6"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</row>
    <row r="340" spans="4:14" ht="15.6"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</row>
    <row r="341" spans="4:14" ht="15.6"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</row>
    <row r="342" spans="4:14" ht="15.6"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</row>
    <row r="343" spans="4:14" ht="15.6"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</row>
    <row r="344" spans="4:14" ht="15.6"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</row>
    <row r="345" spans="4:14" ht="15.6"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</row>
    <row r="346" spans="4:14" ht="15.6"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</row>
    <row r="347" spans="4:14" ht="15.6"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</row>
    <row r="348" spans="4:14" ht="15.6"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</row>
    <row r="349" spans="4:14" ht="15.6"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</row>
    <row r="350" spans="4:14" ht="15.6"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</row>
    <row r="351" spans="4:14" ht="15.6"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</row>
    <row r="352" spans="4:14" ht="15.6"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</row>
    <row r="353" spans="4:14" ht="15.6"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</row>
    <row r="354" spans="4:14" ht="15.6"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</row>
    <row r="355" spans="4:14" ht="15.6"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</row>
    <row r="356" spans="4:14" ht="15.6"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</row>
    <row r="357" spans="4:14" ht="15.6"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</row>
    <row r="358" spans="4:14" ht="15.6"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</row>
    <row r="359" spans="4:14" ht="15.6"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</row>
    <row r="360" spans="4:14" ht="15.6"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</row>
    <row r="361" spans="4:14" ht="15.6"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</row>
    <row r="362" spans="4:14" ht="15.6"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</row>
    <row r="363" spans="4:14" ht="15.6"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</row>
    <row r="364" spans="4:14" ht="15.6"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</row>
    <row r="365" spans="4:14" ht="15.6"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</row>
    <row r="366" spans="4:14" ht="15.6"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</row>
    <row r="367" spans="4:14" ht="15.6"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</row>
    <row r="368" spans="4:14" ht="15.6"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</row>
    <row r="369" spans="4:14" ht="15.6"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</row>
    <row r="370" spans="4:14" ht="15.6"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</row>
    <row r="371" spans="4:14" ht="15.6"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</row>
    <row r="372" spans="4:14" ht="15.6"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</row>
    <row r="373" spans="4:14" ht="15.6"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</row>
    <row r="374" spans="4:14" ht="15.6"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</row>
    <row r="375" spans="4:14" ht="15.6"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</row>
    <row r="376" spans="4:14" ht="15.6"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</row>
    <row r="377" spans="4:14" ht="15.6"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</row>
    <row r="378" spans="4:14" ht="15.6"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</row>
    <row r="379" spans="4:14" ht="15.6"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</row>
    <row r="380" spans="4:14" ht="15.6"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</row>
    <row r="381" spans="4:14" ht="15.6"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</row>
    <row r="382" spans="4:14" ht="15.6"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</row>
    <row r="383" spans="4:14" ht="15.6"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</row>
    <row r="384" spans="4:14" ht="15.6"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</row>
    <row r="385" spans="4:14" ht="15.6"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</row>
    <row r="386" spans="4:14" ht="15.6"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</row>
    <row r="387" spans="4:14" ht="15.6"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</row>
    <row r="388" spans="4:14" ht="15.6"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</row>
    <row r="389" spans="4:14" ht="15.6"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</row>
    <row r="390" spans="4:14" ht="15.6"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</row>
    <row r="391" spans="4:14" ht="15.6"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</row>
    <row r="392" spans="4:14" ht="15.6"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</row>
    <row r="393" spans="4:14" ht="15.6"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</row>
    <row r="394" spans="4:14" ht="15.6"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</row>
    <row r="395" spans="4:14" ht="15.6"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</row>
    <row r="396" spans="4:14" ht="15.6"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</row>
    <row r="397" spans="4:14" ht="15.6"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</row>
    <row r="398" spans="4:14" ht="15.6"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</row>
    <row r="399" spans="4:14" ht="15.6"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</row>
    <row r="400" spans="4:14" ht="15.6"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</row>
    <row r="401" spans="4:14" ht="15.6"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</row>
    <row r="402" spans="4:14" ht="15.6"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</row>
    <row r="403" spans="4:14" ht="15.6"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</row>
    <row r="404" spans="4:14" ht="15.6"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</row>
    <row r="405" spans="4:14" ht="15.6"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</row>
    <row r="406" spans="4:14" ht="15.6"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</row>
    <row r="407" spans="4:14" ht="15.6"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</row>
    <row r="408" spans="4:14" ht="15.6"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</row>
    <row r="409" spans="4:14" ht="15.6"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</row>
    <row r="410" spans="4:14" ht="15.6"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</row>
    <row r="411" spans="4:14" ht="15.6"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</row>
    <row r="412" spans="4:14" ht="15.6"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</row>
    <row r="413" spans="4:14" ht="15.6"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</row>
    <row r="414" spans="4:14" ht="15.6"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</row>
    <row r="415" spans="4:14" ht="15.6"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</row>
    <row r="416" spans="4:14" ht="15.6"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</row>
    <row r="417" spans="4:14" ht="15.6"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</row>
    <row r="418" spans="4:14" ht="15.6"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</row>
    <row r="419" spans="4:14" ht="15.6"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</row>
    <row r="420" spans="4:14" ht="15.6"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</row>
    <row r="421" spans="4:14" ht="15.6"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</row>
    <row r="422" spans="4:14" ht="15.6"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</row>
    <row r="423" spans="4:14" ht="15.6"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</row>
    <row r="424" spans="4:14" ht="15.6"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</row>
    <row r="425" spans="4:14" ht="15.6"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</row>
    <row r="426" spans="4:14" ht="15.6"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</row>
    <row r="427" spans="4:14" ht="15.6"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</row>
    <row r="428" spans="4:14" ht="15.6"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</row>
    <row r="429" spans="4:14" ht="15.6"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</row>
    <row r="430" spans="4:14" ht="15.6"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</row>
    <row r="431" spans="4:14" ht="15.6"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</row>
    <row r="432" spans="4:14" ht="15.6"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</row>
    <row r="433" spans="4:14" ht="15.6"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</row>
    <row r="434" spans="4:14" ht="15.6"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</row>
    <row r="435" spans="4:14" ht="15.6"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</row>
    <row r="436" spans="4:14" ht="15.6"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</row>
    <row r="437" spans="4:14" ht="15.6"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</row>
    <row r="438" spans="4:14" ht="15.6"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</row>
    <row r="439" spans="4:14" ht="15.6"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</row>
    <row r="440" spans="4:14" ht="15.6"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</row>
    <row r="441" spans="4:14" ht="15.6"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</row>
    <row r="442" spans="4:14" ht="15.6"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</row>
    <row r="443" spans="4:14" ht="15.6"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</row>
    <row r="444" spans="4:14" ht="15.6"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</row>
    <row r="445" spans="4:14" ht="15.6"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</row>
    <row r="446" spans="4:14" ht="15.6"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</row>
    <row r="447" spans="4:14" ht="15.6"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</row>
    <row r="448" spans="4:14" ht="15.6"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</row>
    <row r="449" spans="4:14" ht="15.6"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</row>
    <row r="450" spans="4:14" ht="15.6"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</row>
    <row r="451" spans="4:14" ht="15.6"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</row>
    <row r="452" spans="4:14" ht="15.6"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</row>
    <row r="453" spans="4:14" ht="15.6"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</row>
    <row r="454" spans="4:14" ht="15.6"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</row>
    <row r="455" spans="4:14" ht="15.6"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</row>
    <row r="456" spans="4:14" ht="15.6"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</row>
    <row r="457" spans="4:14" ht="15.6"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</row>
    <row r="458" spans="4:14" ht="15.6"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</row>
    <row r="459" spans="4:14" ht="15.6"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</row>
    <row r="460" spans="4:14" ht="15.6"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</row>
    <row r="461" spans="4:14" ht="15.6"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</row>
    <row r="462" spans="4:14" ht="15.6"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</row>
    <row r="463" spans="4:14" ht="15.6"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</row>
    <row r="464" spans="4:14" ht="15.6"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</row>
    <row r="465" spans="4:14" ht="15.6"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</row>
    <row r="466" spans="4:14" ht="15.6"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</row>
    <row r="467" spans="4:14" ht="15.6"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</row>
    <row r="468" spans="4:14" ht="15.6"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</row>
    <row r="469" spans="4:14" ht="15.6"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</row>
    <row r="470" spans="4:14" ht="15.6"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</row>
    <row r="471" spans="4:14" ht="15.6"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</row>
    <row r="472" spans="4:14" ht="15.6"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</row>
    <row r="473" spans="4:14" ht="15.6"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</row>
    <row r="474" spans="4:14" ht="15.6"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</row>
    <row r="475" spans="4:14" ht="15.6"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</row>
    <row r="476" spans="4:14" ht="15.6"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</row>
    <row r="477" spans="4:14" ht="15.6"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</row>
    <row r="478" spans="4:14" ht="15.6"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</row>
    <row r="479" spans="4:14" ht="15.6"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</row>
    <row r="480" spans="4:14" ht="15.6"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</row>
    <row r="481" spans="4:14" ht="15.6"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</row>
    <row r="482" spans="4:14" ht="15.6"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</row>
    <row r="483" spans="4:14" ht="15.6"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</row>
    <row r="484" spans="4:14" ht="15.6"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</row>
    <row r="485" spans="4:14" ht="15.6"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</row>
    <row r="486" spans="4:14" ht="15.6"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</row>
    <row r="487" spans="4:14" ht="15.6"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</row>
    <row r="488" spans="4:14" ht="15.6"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</row>
    <row r="489" spans="4:14" ht="15.6"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</row>
    <row r="490" spans="4:14" ht="15.6"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</row>
    <row r="491" spans="4:14" ht="15.6"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</row>
    <row r="492" spans="4:14" ht="15.6"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</row>
    <row r="493" spans="4:14" ht="15.6"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</row>
    <row r="494" spans="4:14" ht="15.6"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</row>
    <row r="495" spans="4:14" ht="15.6"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</row>
    <row r="496" spans="4:14" ht="15.6"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</row>
    <row r="497" spans="4:14" ht="15.6"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</row>
    <row r="498" spans="4:14" ht="15.6"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</row>
    <row r="499" spans="4:14" ht="15.6"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</row>
    <row r="500" spans="4:14" ht="15.6"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</row>
    <row r="501" spans="4:14" ht="15.6"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</row>
    <row r="502" spans="4:14" ht="15.6"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</row>
    <row r="503" spans="4:14" ht="15.6"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</row>
    <row r="504" spans="4:14" ht="15.6"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</row>
    <row r="505" spans="4:14" ht="15.6"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</row>
    <row r="506" spans="4:14" ht="15.6"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</row>
    <row r="507" spans="4:14" ht="15.6"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</row>
    <row r="508" spans="4:14" ht="15.6"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</row>
    <row r="509" spans="4:14" ht="15.6"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</row>
    <row r="510" spans="4:14" ht="15.6"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</row>
    <row r="511" spans="4:14" ht="15.6"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</row>
    <row r="512" spans="4:14" ht="15.6"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</row>
    <row r="513" spans="4:14" ht="15.6"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</row>
    <row r="514" spans="4:14" ht="15.6"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</row>
    <row r="515" spans="4:14" ht="15.6"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</row>
    <row r="516" spans="4:14" ht="15.6"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</row>
    <row r="517" spans="4:14" ht="15.6"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</row>
    <row r="518" spans="4:14" ht="15.6"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</row>
    <row r="519" spans="4:14" ht="15.6"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</row>
    <row r="520" spans="4:14" ht="15.6"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</row>
    <row r="521" spans="4:14" ht="15.6"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</row>
    <row r="522" spans="4:14" ht="15.6"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</row>
    <row r="523" spans="4:14" ht="15.6"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</row>
    <row r="524" spans="4:14" ht="15.6"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</row>
    <row r="525" spans="4:14" ht="15.6"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</row>
    <row r="526" spans="4:14" ht="15.6"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</row>
    <row r="527" spans="4:14" ht="15.6"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</row>
    <row r="528" spans="4:14" ht="15.6"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</row>
    <row r="529" spans="4:14" ht="15.6"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</row>
    <row r="530" spans="4:14" ht="15.6"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</row>
    <row r="531" spans="4:14" ht="15.6"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</row>
    <row r="532" spans="4:14" ht="15.6"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</row>
    <row r="533" spans="4:14" ht="15.6"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</row>
    <row r="534" spans="4:14" ht="15.6"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</row>
    <row r="535" spans="4:14" ht="15.6"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</row>
    <row r="536" spans="4:14" ht="15.6"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</row>
    <row r="537" spans="4:14" ht="15.6"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</row>
    <row r="538" spans="4:14" ht="15.6"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</row>
    <row r="539" spans="4:14" ht="15.6"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</row>
    <row r="540" spans="4:14" ht="15.6"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</row>
    <row r="541" spans="4:14" ht="15.6"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</row>
    <row r="542" spans="4:14" ht="15.6"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</row>
    <row r="543" spans="4:14" ht="15.6"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</row>
    <row r="544" spans="4:14" ht="15.6"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</row>
    <row r="545" spans="4:14" ht="15.6"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</row>
    <row r="546" spans="4:14" ht="15.6"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</row>
    <row r="547" spans="4:14" ht="15.6"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</row>
    <row r="548" spans="4:14" ht="15.6"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</row>
    <row r="549" spans="4:14" ht="15.6"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</row>
    <row r="550" spans="4:14" ht="15.6"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</row>
    <row r="551" spans="4:14" ht="15.6"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</row>
    <row r="552" spans="4:14" ht="15.6"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</row>
    <row r="553" spans="4:14" ht="15.6"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</row>
    <row r="554" spans="4:14" ht="15.6"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</row>
    <row r="555" spans="4:14" ht="15.6"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</row>
    <row r="556" spans="4:14" ht="15.6"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</row>
    <row r="557" spans="4:14" ht="15.6"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</row>
    <row r="558" spans="4:14" ht="15.6"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</row>
    <row r="559" spans="4:14" ht="15.6"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</row>
    <row r="560" spans="4:14" ht="15.6"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</row>
    <row r="561" spans="4:14" ht="15.6"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</row>
    <row r="562" spans="4:14" ht="15.6"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</row>
    <row r="563" spans="4:14" ht="15.6"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</row>
    <row r="564" spans="4:14" ht="15.6"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</row>
    <row r="565" spans="4:14" ht="15.6"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</row>
    <row r="566" spans="4:14" ht="15.6"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</row>
    <row r="567" spans="4:14" ht="15.6"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</row>
    <row r="568" spans="4:14" ht="15.6"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</row>
    <row r="569" spans="4:14" ht="15.6"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</row>
    <row r="570" spans="4:14" ht="15.6"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</row>
    <row r="571" spans="4:14" ht="15.6"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</row>
    <row r="572" spans="4:14" ht="15.6"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</row>
    <row r="573" spans="4:14" ht="15.6"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</row>
    <row r="574" spans="4:14" ht="15.6"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</row>
    <row r="575" spans="4:14" ht="15.6"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</row>
    <row r="576" spans="4:14" ht="15.6"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</row>
    <row r="577" spans="4:14" ht="15.6"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</row>
    <row r="578" spans="4:14" ht="15.6"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</row>
    <row r="579" spans="4:14" ht="15.6"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</row>
    <row r="580" spans="4:14" ht="15.6"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</row>
    <row r="581" spans="4:14" ht="15.6"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</row>
    <row r="582" spans="4:14" ht="15.6"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</row>
    <row r="583" spans="4:14" ht="15.6"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</row>
    <row r="584" spans="4:14" ht="15.6"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</row>
    <row r="585" spans="4:14" ht="15.6"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</row>
    <row r="586" spans="4:14" ht="15.6"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</row>
    <row r="587" spans="4:14" ht="15.6"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</row>
    <row r="588" spans="4:14" ht="15.6"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</row>
    <row r="589" spans="4:14" ht="15.6"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</row>
    <row r="590" spans="4:14" ht="15.6"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</row>
    <row r="591" spans="4:14" ht="15.6"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</row>
    <row r="592" spans="4:14" ht="15.6"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</row>
    <row r="593" spans="4:14" ht="15.6"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</row>
    <row r="594" spans="4:14" ht="15.6"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</row>
    <row r="595" spans="4:14" ht="15.6"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</row>
    <row r="596" spans="4:14" ht="15.6"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</row>
    <row r="597" spans="4:14" ht="15.6"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</row>
    <row r="598" spans="4:14" ht="15.6"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</row>
    <row r="599" spans="4:14" ht="15.6"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</row>
    <row r="600" spans="4:14" ht="15.6"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</row>
    <row r="601" spans="4:14" ht="15.6"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</row>
    <row r="602" spans="4:14" ht="15.6"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</row>
    <row r="603" spans="4:14" ht="15.6"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</row>
    <row r="604" spans="4:14" ht="15.6"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</row>
    <row r="605" spans="4:14" ht="15.6"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</row>
    <row r="606" spans="4:14" ht="15.6"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</row>
    <row r="607" spans="4:14" ht="15.6"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</row>
    <row r="608" spans="4:14" ht="15.6"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</row>
    <row r="609" spans="4:14" ht="15.6"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</row>
    <row r="610" spans="4:14" ht="15.6"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</row>
    <row r="611" spans="4:14" ht="15.6"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</row>
    <row r="612" spans="4:14" ht="15.6"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</row>
    <row r="613" spans="4:14" ht="15.6"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</row>
    <row r="614" spans="4:14" ht="15.6"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</row>
    <row r="615" spans="4:14" ht="15.6"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</row>
    <row r="616" spans="4:14" ht="15.6"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</row>
    <row r="617" spans="4:14" ht="15.6"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</row>
    <row r="618" spans="4:14" ht="15.6"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</row>
    <row r="619" spans="4:14" ht="15.6"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</row>
    <row r="620" spans="4:14" ht="15.6"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</row>
    <row r="621" spans="4:14" ht="15.6"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</row>
    <row r="622" spans="4:14" ht="15.6"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</row>
    <row r="623" spans="4:14" ht="15.6"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</row>
    <row r="624" spans="4:14" ht="15.6"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</row>
    <row r="625" spans="4:14" ht="15.6"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</row>
    <row r="626" spans="4:14" ht="15.6"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</row>
    <row r="627" spans="4:14" ht="15.6"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</row>
    <row r="628" spans="4:14" ht="15.6"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</row>
    <row r="629" spans="4:14" ht="15.6"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</row>
    <row r="630" spans="4:14" ht="15.6"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</row>
    <row r="631" spans="4:14" ht="15.6"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</row>
    <row r="632" spans="4:14" ht="15.6"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</row>
    <row r="633" spans="4:14" ht="15.6"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</row>
    <row r="634" spans="4:14" ht="15.6"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</row>
    <row r="635" spans="4:14" ht="15.6"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</row>
    <row r="636" spans="4:14" ht="15.6"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</row>
    <row r="637" spans="4:14" ht="15.6"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</row>
    <row r="638" spans="4:14" ht="15.6"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</row>
    <row r="639" spans="4:14" ht="15.6"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</row>
    <row r="640" spans="4:14" ht="15.6"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</row>
    <row r="641" spans="4:14" ht="15.6"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</row>
    <row r="642" spans="4:14" ht="15.6"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</row>
    <row r="643" spans="4:14" ht="15.6"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</row>
    <row r="644" spans="4:14" ht="15.6"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</row>
    <row r="645" spans="4:14" ht="15.6"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</row>
    <row r="646" spans="4:14" ht="15.6"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</row>
    <row r="647" spans="4:14" ht="15.6"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</row>
    <row r="648" spans="4:14" ht="15.6"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</row>
    <row r="649" spans="4:14" ht="15.6"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</row>
    <row r="650" spans="4:14" ht="15.6"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</row>
    <row r="651" spans="4:14" ht="15.6"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</row>
    <row r="652" spans="4:14" ht="15.6"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</row>
    <row r="653" spans="4:14" ht="15.6"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</row>
    <row r="654" spans="4:14" ht="15.6"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</row>
    <row r="655" spans="4:14" ht="15.6"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</row>
    <row r="656" spans="4:14" ht="15.6"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</row>
    <row r="657" spans="4:14" ht="15.6"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</row>
    <row r="658" spans="4:14" ht="15.6"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</row>
    <row r="659" spans="4:14" ht="15.6"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</row>
    <row r="660" spans="4:14" ht="15.6"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</row>
    <row r="661" spans="4:14" ht="15.6"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</row>
    <row r="662" spans="4:14" ht="15.6"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</row>
    <row r="663" spans="4:14" ht="15.6"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</row>
    <row r="664" spans="4:14" ht="15.6"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</row>
    <row r="665" spans="4:14" ht="15.6"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</row>
    <row r="666" spans="4:14" ht="15.6"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</row>
    <row r="667" spans="4:14" ht="15.6"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</row>
    <row r="668" spans="4:14" ht="15.6"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</row>
    <row r="669" spans="4:14" ht="15.6"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</row>
    <row r="670" spans="4:14" ht="15.6"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</row>
    <row r="671" spans="4:14" ht="15.6"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</row>
    <row r="672" spans="4:14" ht="15.6"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</row>
    <row r="673" spans="4:14" ht="15.6"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</row>
    <row r="674" spans="4:14" ht="15.6"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</row>
    <row r="675" spans="4:14" ht="15.6"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</row>
    <row r="676" spans="4:14" ht="15.6"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</row>
    <row r="677" spans="4:14" ht="15.6"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</row>
    <row r="678" spans="4:14" ht="15.6"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</row>
    <row r="679" spans="4:14" ht="15.6"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</row>
    <row r="680" spans="4:14" ht="15.6"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</row>
    <row r="681" spans="4:14" ht="15.6"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</row>
    <row r="682" spans="4:14" ht="15.6"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</row>
    <row r="683" spans="4:14" ht="15.6"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</row>
    <row r="684" spans="4:14" ht="15.6"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</row>
    <row r="685" spans="4:14" ht="15.6"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</row>
    <row r="686" spans="4:14" ht="15.6"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</row>
    <row r="687" spans="4:14" ht="15.6"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</row>
    <row r="688" spans="4:14" ht="15.6"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</row>
    <row r="689" spans="4:14" ht="15.6"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</row>
    <row r="690" spans="4:14" ht="15.6"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</row>
    <row r="691" spans="4:14" ht="15.6"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</row>
    <row r="692" spans="4:14" ht="15.6"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</row>
    <row r="693" spans="4:14" ht="15.6"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</row>
    <row r="694" spans="4:14" ht="15.6"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</row>
    <row r="695" spans="4:14" ht="15.6"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</row>
    <row r="696" spans="4:14" ht="15.6"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</row>
    <row r="697" spans="4:14" ht="15.6"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</row>
    <row r="698" spans="4:14" ht="15.6"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</row>
    <row r="699" spans="4:14" ht="15.6"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</row>
    <row r="700" spans="4:14" ht="15.6"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</row>
    <row r="701" spans="4:14" ht="15.6"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</row>
    <row r="702" spans="4:14" ht="15.6"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</row>
    <row r="703" spans="4:14" ht="15.6"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</row>
    <row r="704" spans="4:14" ht="15.6"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</row>
    <row r="705" spans="4:14" ht="15.6"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</row>
    <row r="706" spans="4:14" ht="15.6"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</row>
    <row r="707" spans="4:14" ht="15.6"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</row>
    <row r="708" spans="4:14" ht="15.6"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</row>
    <row r="709" spans="4:14" ht="15.6"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</row>
    <row r="710" spans="4:14" ht="15.6"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</row>
    <row r="711" spans="4:14" ht="15.6"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</row>
    <row r="712" spans="4:14" ht="15.6"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</row>
    <row r="713" spans="4:14" ht="15.6"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</row>
    <row r="714" spans="4:14" ht="15.6"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</row>
    <row r="715" spans="4:14" ht="15.6"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</row>
    <row r="716" spans="4:14" ht="15.6"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</row>
    <row r="717" spans="4:14" ht="15.6"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</row>
    <row r="718" spans="4:14" ht="15.6"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</row>
    <row r="719" spans="4:14" ht="15.6"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</row>
    <row r="720" spans="4:14" ht="15.6"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</row>
    <row r="721" spans="4:14" ht="15.6"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</row>
    <row r="722" spans="4:14" ht="15.6"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</row>
    <row r="723" spans="4:14" ht="15.6"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</row>
    <row r="724" spans="4:14" ht="15.6"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</row>
    <row r="725" spans="4:14" ht="15.6"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</row>
    <row r="726" spans="4:14" ht="15.6"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</row>
    <row r="727" spans="4:14" ht="15.6"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</row>
    <row r="728" spans="4:14" ht="15.6"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</row>
    <row r="729" spans="4:14" ht="15.6"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</row>
    <row r="730" spans="4:14" ht="15.6"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</row>
    <row r="731" spans="4:14" ht="15.6"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</row>
    <row r="732" spans="4:14" ht="15.6"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</row>
    <row r="733" spans="4:14" ht="15.6"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</row>
    <row r="734" spans="4:14" ht="15.6"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</row>
    <row r="735" spans="4:14" ht="15.6"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</row>
    <row r="736" spans="4:14" ht="15.6"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</row>
    <row r="737" spans="4:14" ht="15.6"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</row>
    <row r="738" spans="4:14" ht="15.6"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</row>
    <row r="739" spans="4:14" ht="15.6"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</row>
    <row r="740" spans="4:14" ht="15.6"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</row>
    <row r="741" spans="4:14" ht="15.6"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</row>
    <row r="742" spans="4:14" ht="15.6"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</row>
    <row r="743" spans="4:14" ht="15.6"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</row>
    <row r="744" spans="4:14" ht="15.6"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</row>
    <row r="745" spans="4:14" ht="15.6"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</row>
    <row r="746" spans="4:14" ht="15.6"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</row>
    <row r="747" spans="4:14" ht="15.6"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</row>
    <row r="748" spans="4:14" ht="15.6"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</row>
    <row r="749" spans="4:14" ht="15.6"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</row>
    <row r="750" spans="4:14" ht="15.6"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</row>
    <row r="751" spans="4:14" ht="15.6"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</row>
    <row r="752" spans="4:14" ht="15.6"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</row>
    <row r="753" spans="4:14" ht="15.6"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</row>
    <row r="754" spans="4:14" ht="15.6"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</row>
    <row r="755" spans="4:14" ht="15.6"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</row>
    <row r="756" spans="4:14" ht="15.6"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</row>
    <row r="757" spans="4:14" ht="15.6"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</row>
    <row r="758" spans="4:14" ht="15.6"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</row>
    <row r="759" spans="4:14" ht="15.6"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</row>
    <row r="760" spans="4:14" ht="15.6"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</row>
    <row r="761" spans="4:14" ht="15.6"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</row>
    <row r="762" spans="4:14" ht="15.6"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</row>
    <row r="763" spans="4:14" ht="15.6"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</row>
    <row r="764" spans="4:14" ht="15.6"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</row>
    <row r="765" spans="4:14" ht="15.6"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</row>
    <row r="766" spans="4:14" ht="15.6"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</row>
    <row r="767" spans="4:14" ht="15.6"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</row>
    <row r="768" spans="4:14" ht="15.6"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</row>
    <row r="769" spans="4:14" ht="15.6"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</row>
    <row r="770" spans="4:14" ht="15.6"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</row>
    <row r="771" spans="4:14" ht="15.6"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</row>
    <row r="772" spans="4:14" ht="15.6"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</row>
    <row r="773" spans="4:14" ht="15.6"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</row>
    <row r="774" spans="4:14" ht="15.6"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</row>
    <row r="775" spans="4:14" ht="15.6"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</row>
    <row r="776" spans="4:14" ht="15.6"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</row>
    <row r="777" spans="4:14" ht="15.6"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</row>
    <row r="778" spans="4:14" ht="15.6"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</row>
    <row r="779" spans="4:14" ht="15.6"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</row>
    <row r="780" spans="4:14" ht="15.6"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</row>
    <row r="781" spans="4:14" ht="15.6"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</row>
    <row r="782" spans="4:14" ht="15.6"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</row>
    <row r="783" spans="4:14" ht="15.6"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</row>
    <row r="784" spans="4:14" ht="15.6"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</row>
    <row r="785" spans="4:14" ht="15.6"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</row>
    <row r="786" spans="4:14" ht="15.6"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</row>
    <row r="787" spans="4:14" ht="15.6"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</row>
    <row r="788" spans="4:14" ht="15.6"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</row>
    <row r="789" spans="4:14" ht="15.6"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</row>
    <row r="790" spans="4:14" ht="15.6"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</row>
    <row r="791" spans="4:14" ht="15.6"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</row>
    <row r="792" spans="4:14" ht="15.6"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</row>
    <row r="793" spans="4:14" ht="15.6"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</row>
    <row r="794" spans="4:14" ht="15.6"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</row>
    <row r="795" spans="4:14" ht="15.6"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</row>
    <row r="796" spans="4:14" ht="15.6"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</row>
    <row r="797" spans="4:14" ht="15.6"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</row>
    <row r="798" spans="4:14" ht="15.6"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</row>
    <row r="799" spans="4:14" ht="15.6"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</row>
    <row r="800" spans="4:14" ht="15.6"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</row>
    <row r="801" spans="4:14" ht="15.6"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</row>
    <row r="802" spans="4:14" ht="15.6"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</row>
    <row r="803" spans="4:14" ht="15.6"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</row>
    <row r="804" spans="4:14" ht="15.6"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</row>
    <row r="805" spans="4:14" ht="15.6"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</row>
    <row r="806" spans="4:14" ht="15.6"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</row>
    <row r="807" spans="4:14" ht="15.6"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</row>
    <row r="808" spans="4:14" ht="15.6"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</row>
    <row r="809" spans="4:14" ht="15.6"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</row>
    <row r="810" spans="4:14" ht="15.6"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</row>
    <row r="811" spans="4:14" ht="15.6"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</row>
    <row r="812" spans="4:14" ht="15.6"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</row>
    <row r="813" spans="4:14" ht="15.6"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</row>
    <row r="814" spans="4:14" ht="15.6"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</row>
    <row r="815" spans="4:14" ht="15.6"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</row>
    <row r="816" spans="4:14" ht="15.6"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</row>
    <row r="817" spans="4:14" ht="15.6"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</row>
    <row r="818" spans="4:14" ht="15.6"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</row>
    <row r="819" spans="4:14" ht="15.6"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</row>
    <row r="820" spans="4:14" ht="15.6"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</row>
    <row r="821" spans="4:14" ht="15.6"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</row>
    <row r="822" spans="4:14" ht="15.6"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</row>
    <row r="823" spans="4:14" ht="15.6"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</row>
    <row r="824" spans="4:14" ht="15.6"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</row>
    <row r="825" spans="4:14" ht="15.6"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</row>
    <row r="826" spans="4:14" ht="15.6"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</row>
    <row r="827" spans="4:14" ht="15.6"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</row>
    <row r="828" spans="4:14" ht="15.6"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</row>
    <row r="829" spans="4:14" ht="15.6"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</row>
    <row r="830" spans="4:14" ht="15.6"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</row>
    <row r="831" spans="4:14" ht="15.6"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</row>
    <row r="832" spans="4:14" ht="15.6"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</row>
    <row r="833" spans="4:14" ht="15.6"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</row>
    <row r="834" spans="4:14" ht="15.6"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</row>
    <row r="835" spans="4:14" ht="15.6"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</row>
    <row r="836" spans="4:14" ht="15.6"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</row>
    <row r="837" spans="4:14" ht="15.6"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</row>
    <row r="838" spans="4:14" ht="15.6"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</row>
    <row r="839" spans="4:14" ht="15.6"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</row>
    <row r="840" spans="4:14" ht="15.6"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</row>
    <row r="841" spans="4:14" ht="15.6"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</row>
    <row r="842" spans="4:14" ht="15.6"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</row>
    <row r="843" spans="4:14" ht="15.6"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</row>
    <row r="844" spans="4:14" ht="15.6"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</row>
    <row r="845" spans="4:14" ht="15.6"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</row>
    <row r="846" spans="4:14" ht="15.6"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</row>
    <row r="847" spans="4:14" ht="15.6"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</row>
    <row r="848" spans="4:14" ht="15.6"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</row>
    <row r="849" spans="4:14" ht="15.6"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</row>
    <row r="850" spans="4:14" ht="15.6"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</row>
    <row r="851" spans="4:14" ht="15.6"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</row>
    <row r="852" spans="4:14" ht="15.6"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</row>
    <row r="853" spans="4:14" ht="15.6"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</row>
    <row r="854" spans="4:14" ht="15.6"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</row>
    <row r="855" spans="4:14" ht="15.6"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</row>
    <row r="856" spans="4:14" ht="15.6"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</row>
    <row r="857" spans="4:14" ht="15.6"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</row>
    <row r="858" spans="4:14" ht="15.6"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</row>
    <row r="859" spans="4:14" ht="15.6"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</row>
    <row r="860" spans="4:14" ht="15.6"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</row>
    <row r="861" spans="4:14" ht="15.6"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</row>
    <row r="862" spans="4:14" ht="15.6"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</row>
    <row r="863" spans="4:14" ht="15.6"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</row>
    <row r="864" spans="4:14" ht="15.6"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</row>
    <row r="865" spans="4:14" ht="15.6"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</row>
    <row r="866" spans="4:14" ht="15.6"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</row>
    <row r="867" spans="4:14" ht="15.6"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</row>
    <row r="868" spans="4:14" ht="15.6"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</row>
    <row r="869" spans="4:14" ht="15.6"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</row>
    <row r="870" spans="4:14" ht="15.6"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</row>
    <row r="871" spans="4:14" ht="15.6"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</row>
    <row r="872" spans="4:14" ht="15.6"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</row>
    <row r="873" spans="4:14" ht="15.6"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</row>
    <row r="874" spans="4:14" ht="15.6"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</row>
    <row r="875" spans="4:14" ht="15.6"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</row>
    <row r="876" spans="4:14" ht="15.6"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</row>
    <row r="877" spans="4:14" ht="15.6"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</row>
    <row r="878" spans="4:14" ht="15.6"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</row>
    <row r="879" spans="4:14" ht="15.6"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</row>
    <row r="880" spans="4:14" ht="15.6"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</row>
    <row r="881" spans="4:14" ht="15.6"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</row>
    <row r="882" spans="4:14" ht="15.6"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</row>
    <row r="883" spans="4:14" ht="15.6"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</row>
    <row r="884" spans="4:14" ht="15.6"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</row>
    <row r="885" spans="4:14" ht="15.6"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</row>
    <row r="886" spans="4:14" ht="15.6"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</row>
    <row r="887" spans="4:14" ht="15.6"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</row>
    <row r="888" spans="4:14" ht="15.6"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</row>
    <row r="889" spans="4:14" ht="15.6"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</row>
    <row r="890" spans="4:14" ht="15.6"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</row>
    <row r="891" spans="4:14" ht="15.6"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</row>
    <row r="892" spans="4:14" ht="15.6"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</row>
    <row r="893" spans="4:14" ht="15.6"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</row>
    <row r="894" spans="4:14" ht="15.6"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</row>
    <row r="895" spans="4:14" ht="15.6"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</row>
    <row r="896" spans="4:14" ht="15.6"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</row>
    <row r="897" spans="4:14" ht="15.6"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</row>
    <row r="898" spans="4:14" ht="15.6"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</row>
    <row r="899" spans="4:14" ht="15.6"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</row>
    <row r="900" spans="4:14" ht="15.6"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</row>
    <row r="901" spans="4:14" ht="15.6"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</row>
    <row r="902" spans="4:14" ht="15.6"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</row>
    <row r="903" spans="4:14" ht="15.6"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</row>
    <row r="904" spans="4:14" ht="15.6"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</row>
    <row r="905" spans="4:14" ht="15.6"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</row>
    <row r="906" spans="4:14" ht="15.6"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</row>
    <row r="907" spans="4:14" ht="15.6"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</row>
    <row r="908" spans="4:14" ht="15.6"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</row>
    <row r="909" spans="4:14" ht="15.6"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</row>
    <row r="910" spans="4:14" ht="15.6"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</row>
    <row r="911" spans="4:14" ht="15.6"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</row>
    <row r="912" spans="4:14" ht="15.6"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</row>
    <row r="913" spans="4:14" ht="15.6"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</row>
    <row r="914" spans="4:14" ht="15.6"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</row>
    <row r="915" spans="4:14" ht="15.6"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</row>
    <row r="916" spans="4:14" ht="15.6"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</row>
    <row r="917" spans="4:14" ht="15.6"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</row>
    <row r="918" spans="4:14" ht="15.6"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</row>
    <row r="919" spans="4:14" ht="15.6"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</row>
    <row r="920" spans="4:14" ht="15.6"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</row>
    <row r="921" spans="4:14" ht="15.6"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</row>
    <row r="922" spans="4:14" ht="15.6"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</row>
    <row r="923" spans="4:14" ht="15.6"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</row>
    <row r="924" spans="4:14" ht="15.6"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</row>
    <row r="925" spans="4:14" ht="15.6"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</row>
    <row r="926" spans="4:14" ht="15.6"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</row>
    <row r="927" spans="4:14" ht="15.6"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</row>
    <row r="928" spans="4:14" ht="15.6"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</row>
    <row r="929" spans="4:14" ht="15.6"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</row>
    <row r="930" spans="4:14" ht="15.6"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</row>
    <row r="931" spans="4:14" ht="15.6"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</row>
    <row r="932" spans="4:14" ht="15.6"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</row>
    <row r="933" spans="4:14" ht="15.6"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</row>
    <row r="934" spans="4:14" ht="15.6"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</row>
    <row r="935" spans="4:14" ht="15.6"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</row>
    <row r="936" spans="4:14" ht="15.6"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</row>
    <row r="937" spans="4:14" ht="15.6"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</row>
    <row r="938" spans="4:14" ht="15.6"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</row>
    <row r="939" spans="4:14" ht="15.6"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</row>
    <row r="940" spans="4:14" ht="15.6"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</row>
    <row r="941" spans="4:14" ht="15.6"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</row>
    <row r="942" spans="4:14" ht="15.6"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</row>
    <row r="943" spans="4:14" ht="15.6"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</row>
    <row r="944" spans="4:14" ht="15.6"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</row>
    <row r="945" spans="4:14" ht="15.6"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</row>
    <row r="946" spans="4:14" ht="15.6"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</row>
    <row r="947" spans="4:14" ht="15.6"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</row>
    <row r="948" spans="4:14" ht="15.6"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</row>
    <row r="949" spans="4:14" ht="15.6"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</row>
    <row r="950" spans="4:14" ht="15.6"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</row>
    <row r="951" spans="4:14" ht="15.6"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</row>
    <row r="952" spans="4:14" ht="15.6"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</row>
    <row r="953" spans="4:14" ht="15.6"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</row>
    <row r="954" spans="4:14" ht="15.6"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</row>
    <row r="955" spans="4:14" ht="15.6"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</row>
    <row r="956" spans="4:14" ht="15.6"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</row>
    <row r="957" spans="4:14" ht="15.6"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</row>
    <row r="958" spans="4:14" ht="15.6"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</row>
    <row r="959" spans="4:14" ht="15.6"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</row>
    <row r="960" spans="4:14" ht="15.6"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</row>
    <row r="961" spans="4:14" ht="15.6"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</row>
    <row r="962" spans="4:14" ht="15.6"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</row>
    <row r="963" spans="4:14" ht="15.6"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</row>
    <row r="964" spans="4:14" ht="15.6"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</row>
    <row r="965" spans="4:14" ht="15.6"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</row>
    <row r="966" spans="4:14" ht="15.6"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</row>
    <row r="967" spans="4:14" ht="15.6"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</row>
    <row r="968" spans="4:14" ht="15.6"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</row>
    <row r="969" spans="4:14" ht="15.6"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</row>
    <row r="970" spans="4:14" ht="15.6"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</row>
    <row r="971" spans="4:14" ht="15.6"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</row>
    <row r="972" spans="4:14" ht="15.6"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</row>
    <row r="973" spans="4:14" ht="15.6"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</row>
    <row r="974" spans="4:14" ht="15.6"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</row>
    <row r="975" spans="4:14" ht="15.6"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</row>
    <row r="976" spans="4:14" ht="15.6"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</row>
    <row r="977" spans="4:14" ht="15.6"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</row>
    <row r="978" spans="4:14" ht="15.6"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</row>
    <row r="979" spans="4:14" ht="15.6"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</row>
    <row r="980" spans="4:14" ht="15.6"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</row>
    <row r="981" spans="4:14" ht="15.6"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</row>
    <row r="982" spans="4:14" ht="15.6"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</row>
    <row r="983" spans="4:14" ht="15.6"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</row>
    <row r="984" spans="4:14" ht="15.6"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</row>
    <row r="985" spans="4:14" ht="15.6"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</row>
    <row r="986" spans="4:14" ht="15.6"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</row>
    <row r="987" spans="4:14" ht="15.6"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</row>
    <row r="988" spans="4:14" ht="15.6"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</row>
    <row r="989" spans="4:14" ht="15.6"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</row>
    <row r="990" spans="4:14" ht="15.6"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</row>
    <row r="991" spans="4:14" ht="15.6"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</row>
    <row r="992" spans="4:14" ht="15.6"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</row>
    <row r="993" spans="4:14" ht="15.6"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</row>
    <row r="994" spans="4:14" ht="15.6"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</row>
    <row r="995" spans="4:14" ht="15.6"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</row>
    <row r="996" spans="4:14" ht="15.6"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</row>
    <row r="997" spans="4:14" ht="15.6"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</row>
    <row r="998" spans="4:14" ht="15.6"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</row>
    <row r="999" spans="4:14" ht="15.6"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</row>
    <row r="1000" spans="4:14" ht="15.6"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</row>
  </sheetData>
  <mergeCells count="2">
    <mergeCell ref="E1:H1"/>
    <mergeCell ref="K1:N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247</v>
      </c>
      <c r="D1" s="68"/>
      <c r="E1" s="139" t="s">
        <v>248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295.3553</v>
      </c>
      <c r="F4" s="75">
        <v>301</v>
      </c>
      <c r="G4" s="75">
        <v>285.81</v>
      </c>
      <c r="H4" s="75">
        <v>9.5453399999999995</v>
      </c>
    </row>
    <row r="5" spans="1:8" ht="15" customHeight="1">
      <c r="D5" s="68"/>
      <c r="E5" s="74">
        <v>295.07690000000002</v>
      </c>
      <c r="F5" s="75">
        <v>775</v>
      </c>
      <c r="G5" s="75">
        <v>285.48</v>
      </c>
      <c r="H5" s="75">
        <v>9.5968900000000001</v>
      </c>
    </row>
    <row r="6" spans="1:8" ht="15" customHeight="1">
      <c r="D6" s="68"/>
      <c r="E6" s="74">
        <v>295.67779999999999</v>
      </c>
      <c r="F6" s="75">
        <v>1247</v>
      </c>
      <c r="G6" s="75">
        <v>285.58</v>
      </c>
      <c r="H6" s="75">
        <v>10.097770000000001</v>
      </c>
    </row>
    <row r="7" spans="1:8" ht="15" customHeight="1">
      <c r="D7" s="68"/>
      <c r="E7" s="74">
        <v>295.59809999999999</v>
      </c>
      <c r="F7" s="75">
        <v>1722</v>
      </c>
      <c r="G7" s="75">
        <v>285.48</v>
      </c>
      <c r="H7" s="75">
        <v>10.1181</v>
      </c>
    </row>
    <row r="8" spans="1:8" ht="15" customHeight="1">
      <c r="D8" s="68"/>
      <c r="E8" s="74">
        <v>295.49930000000001</v>
      </c>
      <c r="F8" s="75">
        <v>2194</v>
      </c>
      <c r="G8" s="75">
        <v>285.39</v>
      </c>
      <c r="H8" s="75">
        <v>10.109299999999999</v>
      </c>
    </row>
    <row r="9" spans="1:8" ht="15" customHeight="1">
      <c r="D9" s="68"/>
      <c r="E9" s="74">
        <v>295.05290000000002</v>
      </c>
      <c r="F9" s="75">
        <v>2669</v>
      </c>
      <c r="G9" s="75">
        <v>285.33</v>
      </c>
      <c r="H9" s="75">
        <v>9.7229399999999995</v>
      </c>
    </row>
    <row r="10" spans="1:8" ht="15" customHeight="1">
      <c r="D10" s="68" t="s">
        <v>114</v>
      </c>
      <c r="E10" s="19">
        <v>294.67590000000001</v>
      </c>
      <c r="F10" s="20">
        <v>3143</v>
      </c>
      <c r="G10" s="20">
        <v>287.44</v>
      </c>
      <c r="H10" s="20">
        <v>7.2358599999999997</v>
      </c>
    </row>
    <row r="11" spans="1:8" ht="15" customHeight="1">
      <c r="D11" s="68"/>
      <c r="E11" s="74">
        <v>294.23289999999997</v>
      </c>
      <c r="F11" s="75">
        <v>3617</v>
      </c>
      <c r="G11" s="75">
        <v>288.57</v>
      </c>
      <c r="H11" s="75">
        <v>5.6629199999999997</v>
      </c>
    </row>
    <row r="12" spans="1:8" ht="15" customHeight="1">
      <c r="D12" s="68"/>
      <c r="E12" s="74">
        <v>294.16210000000001</v>
      </c>
      <c r="F12" s="75">
        <v>4089</v>
      </c>
      <c r="G12" s="75">
        <v>288.72000000000003</v>
      </c>
      <c r="H12" s="75">
        <v>5.4420700000000002</v>
      </c>
    </row>
    <row r="13" spans="1:8" ht="15" customHeight="1">
      <c r="D13" s="68"/>
      <c r="E13" s="74">
        <v>293.83580000000001</v>
      </c>
      <c r="F13" s="75">
        <v>4563</v>
      </c>
      <c r="G13" s="75">
        <v>288.43</v>
      </c>
      <c r="H13" s="75">
        <v>5.4058000000000002</v>
      </c>
    </row>
    <row r="14" spans="1:8" ht="15" customHeight="1">
      <c r="D14" s="68"/>
      <c r="E14" s="74">
        <v>293.67930000000001</v>
      </c>
      <c r="F14" s="75">
        <v>5036</v>
      </c>
      <c r="G14" s="75">
        <v>288.43</v>
      </c>
      <c r="H14" s="75">
        <v>5.24932</v>
      </c>
    </row>
    <row r="15" spans="1:8" ht="15" customHeight="1">
      <c r="D15" s="68"/>
      <c r="E15" s="74">
        <v>293.65429999999998</v>
      </c>
      <c r="F15" s="75">
        <v>5510</v>
      </c>
      <c r="G15" s="75">
        <v>288.68</v>
      </c>
      <c r="H15" s="75">
        <v>4.9743199999999996</v>
      </c>
    </row>
    <row r="16" spans="1:8" ht="15" customHeight="1">
      <c r="D16" s="68"/>
      <c r="E16" s="74">
        <v>293.35980000000001</v>
      </c>
      <c r="F16" s="75">
        <v>5984</v>
      </c>
      <c r="G16" s="75">
        <v>288.49</v>
      </c>
      <c r="H16" s="75">
        <v>4.8698399999999999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N1000"/>
  <sheetViews>
    <sheetView workbookViewId="0"/>
  </sheetViews>
  <sheetFormatPr defaultColWidth="11.19921875" defaultRowHeight="15" customHeight="1"/>
  <sheetData>
    <row r="1" spans="1:14" ht="15" customHeight="1">
      <c r="A1" s="81" t="s">
        <v>249</v>
      </c>
      <c r="B1" s="84"/>
      <c r="C1" s="84"/>
      <c r="D1" s="84"/>
      <c r="E1" s="141" t="s">
        <v>250</v>
      </c>
      <c r="F1" s="140"/>
      <c r="G1" s="140"/>
      <c r="H1" s="140"/>
      <c r="J1" s="68"/>
      <c r="K1" s="139" t="s">
        <v>251</v>
      </c>
      <c r="L1" s="140"/>
      <c r="M1" s="140"/>
      <c r="N1" s="140"/>
    </row>
    <row r="2" spans="1:14" ht="15" customHeight="1">
      <c r="A2" s="81" t="s">
        <v>90</v>
      </c>
      <c r="B2" s="84"/>
      <c r="C2" s="84"/>
      <c r="D2" s="84"/>
      <c r="E2" s="118"/>
      <c r="F2" s="118"/>
      <c r="G2" s="118"/>
      <c r="H2" s="118"/>
      <c r="J2" s="68"/>
      <c r="K2" s="68"/>
      <c r="L2" s="68"/>
      <c r="M2" s="68"/>
      <c r="N2" s="68"/>
    </row>
    <row r="3" spans="1:14" ht="15" customHeight="1">
      <c r="A3" s="82" t="s">
        <v>111</v>
      </c>
      <c r="B3" s="84"/>
      <c r="C3" s="84"/>
      <c r="D3" s="86"/>
      <c r="E3" s="50" t="s">
        <v>10</v>
      </c>
      <c r="F3" s="50" t="s">
        <v>11</v>
      </c>
      <c r="G3" s="50" t="s">
        <v>12</v>
      </c>
      <c r="H3" s="87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B4" s="84"/>
      <c r="C4" s="84"/>
      <c r="D4" s="52" t="s">
        <v>95</v>
      </c>
      <c r="E4" s="88">
        <v>287.99369999999999</v>
      </c>
      <c r="F4" s="88">
        <v>301</v>
      </c>
      <c r="G4" s="88">
        <v>278.87</v>
      </c>
      <c r="H4" s="88">
        <v>9.1236999999999995</v>
      </c>
      <c r="J4" s="68" t="s">
        <v>113</v>
      </c>
      <c r="K4" s="74">
        <v>285.10399999999998</v>
      </c>
      <c r="L4" s="75">
        <v>301</v>
      </c>
      <c r="M4" s="75">
        <v>276.69</v>
      </c>
      <c r="N4" s="75">
        <v>8.41404</v>
      </c>
    </row>
    <row r="5" spans="1:14" ht="15" customHeight="1">
      <c r="D5" s="86"/>
      <c r="E5" s="88">
        <v>287.9778</v>
      </c>
      <c r="F5" s="88">
        <v>776</v>
      </c>
      <c r="G5" s="88">
        <v>279.10000000000002</v>
      </c>
      <c r="H5" s="88">
        <v>8.8778100000000002</v>
      </c>
      <c r="J5" s="68"/>
      <c r="K5" s="74">
        <v>285.0779</v>
      </c>
      <c r="L5" s="75">
        <v>773</v>
      </c>
      <c r="M5" s="75">
        <v>276.51</v>
      </c>
      <c r="N5" s="75">
        <v>8.5679099999999995</v>
      </c>
    </row>
    <row r="6" spans="1:14" ht="15" customHeight="1">
      <c r="D6" s="86"/>
      <c r="E6" s="88">
        <v>287.5138</v>
      </c>
      <c r="F6" s="88">
        <v>1245</v>
      </c>
      <c r="G6" s="88">
        <v>278.79000000000002</v>
      </c>
      <c r="H6" s="88">
        <v>8.72377</v>
      </c>
      <c r="J6" s="68"/>
      <c r="K6" s="74">
        <v>284.68299999999999</v>
      </c>
      <c r="L6" s="75">
        <v>1247</v>
      </c>
      <c r="M6" s="75">
        <v>276.02999999999997</v>
      </c>
      <c r="N6" s="75">
        <v>8.6530199999999997</v>
      </c>
    </row>
    <row r="7" spans="1:14" ht="15" customHeight="1">
      <c r="D7" s="86"/>
      <c r="E7" s="88">
        <v>287.18040000000002</v>
      </c>
      <c r="F7" s="88">
        <v>1720</v>
      </c>
      <c r="G7" s="88">
        <v>277.99</v>
      </c>
      <c r="H7" s="88">
        <v>9.1904400000000006</v>
      </c>
      <c r="J7" s="68"/>
      <c r="K7" s="74">
        <v>285.024</v>
      </c>
      <c r="L7" s="75">
        <v>1720</v>
      </c>
      <c r="M7" s="75">
        <v>275.98</v>
      </c>
      <c r="N7" s="75">
        <v>8.9539500000000007</v>
      </c>
    </row>
    <row r="8" spans="1:14" ht="15" customHeight="1">
      <c r="D8" s="86"/>
      <c r="E8" s="88">
        <v>287.07310000000001</v>
      </c>
      <c r="F8" s="88">
        <v>2192</v>
      </c>
      <c r="G8" s="88">
        <v>278.26</v>
      </c>
      <c r="H8" s="88">
        <v>8.8131000000000004</v>
      </c>
      <c r="J8" s="68"/>
      <c r="K8" s="74">
        <v>285.01580000000001</v>
      </c>
      <c r="L8" s="75">
        <v>2195</v>
      </c>
      <c r="M8" s="75">
        <v>275.95999999999998</v>
      </c>
      <c r="N8" s="75">
        <v>9.0557800000000004</v>
      </c>
    </row>
    <row r="9" spans="1:14" ht="15" customHeight="1">
      <c r="D9" s="86"/>
      <c r="E9" s="88">
        <v>287.03199999999998</v>
      </c>
      <c r="F9" s="88">
        <v>2666</v>
      </c>
      <c r="G9" s="88">
        <v>277.82</v>
      </c>
      <c r="H9" s="88">
        <v>9.2119499999999999</v>
      </c>
      <c r="J9" s="68"/>
      <c r="K9" s="19">
        <v>285.22019999999998</v>
      </c>
      <c r="L9" s="20">
        <v>2669</v>
      </c>
      <c r="M9" s="20">
        <v>276.51</v>
      </c>
      <c r="N9" s="20">
        <v>8.7101400000000009</v>
      </c>
    </row>
    <row r="10" spans="1:14" ht="15" customHeight="1">
      <c r="D10" s="52" t="s">
        <v>143</v>
      </c>
      <c r="E10" s="119">
        <v>287.41109999999998</v>
      </c>
      <c r="F10" s="119">
        <v>3137</v>
      </c>
      <c r="G10" s="119">
        <v>278.02999999999997</v>
      </c>
      <c r="H10" s="119">
        <v>9.3810900000000004</v>
      </c>
      <c r="J10" s="68" t="s">
        <v>107</v>
      </c>
      <c r="K10" s="74">
        <v>285.0727</v>
      </c>
      <c r="L10" s="75">
        <v>3142</v>
      </c>
      <c r="M10" s="75">
        <v>278.14</v>
      </c>
      <c r="N10" s="75">
        <v>6.9327199999999998</v>
      </c>
    </row>
    <row r="11" spans="1:14" ht="15" customHeight="1">
      <c r="D11" s="86"/>
      <c r="E11" s="88">
        <v>287.32299999999998</v>
      </c>
      <c r="F11" s="88">
        <v>3610</v>
      </c>
      <c r="G11" s="88">
        <v>278.91000000000003</v>
      </c>
      <c r="H11" s="88">
        <v>8.4130400000000005</v>
      </c>
      <c r="J11" s="68"/>
      <c r="K11" s="74">
        <v>285.48419999999999</v>
      </c>
      <c r="L11" s="75">
        <v>3617</v>
      </c>
      <c r="M11" s="75">
        <v>279.41000000000003</v>
      </c>
      <c r="N11" s="75">
        <v>6.0742399999999996</v>
      </c>
    </row>
    <row r="12" spans="1:14" ht="15" customHeight="1">
      <c r="D12" s="86"/>
      <c r="E12" s="88">
        <v>286.98630000000003</v>
      </c>
      <c r="F12" s="88">
        <v>4085</v>
      </c>
      <c r="G12" s="88">
        <v>278.41000000000003</v>
      </c>
      <c r="H12" s="88">
        <v>8.5763099999999994</v>
      </c>
      <c r="J12" s="68"/>
      <c r="K12" s="74">
        <v>285.52460000000002</v>
      </c>
      <c r="L12" s="75">
        <v>4094</v>
      </c>
      <c r="M12" s="75">
        <v>279.64</v>
      </c>
      <c r="N12" s="75">
        <v>5.8845400000000003</v>
      </c>
    </row>
    <row r="13" spans="1:14" ht="15" customHeight="1">
      <c r="D13" s="86"/>
      <c r="E13" s="88">
        <v>287.27359999999999</v>
      </c>
      <c r="F13" s="88">
        <v>4560</v>
      </c>
      <c r="G13" s="88">
        <v>278.74</v>
      </c>
      <c r="H13" s="88">
        <v>8.5335699999999992</v>
      </c>
      <c r="J13" s="68"/>
      <c r="K13" s="74">
        <v>285.8732</v>
      </c>
      <c r="L13" s="75">
        <v>4565</v>
      </c>
      <c r="M13" s="75">
        <v>279.83</v>
      </c>
      <c r="N13" s="75">
        <v>6.0431900000000001</v>
      </c>
    </row>
    <row r="14" spans="1:14" ht="15" customHeight="1">
      <c r="D14" s="86"/>
      <c r="E14" s="88">
        <v>286.83069999999998</v>
      </c>
      <c r="F14" s="88">
        <v>5039</v>
      </c>
      <c r="G14" s="88">
        <v>278.58</v>
      </c>
      <c r="H14" s="88">
        <v>8.2506599999999999</v>
      </c>
      <c r="J14" s="68"/>
      <c r="K14" s="74">
        <v>285.61989999999997</v>
      </c>
      <c r="L14" s="75">
        <v>5040</v>
      </c>
      <c r="M14" s="75">
        <v>279.45999999999998</v>
      </c>
      <c r="N14" s="75">
        <v>6.1598600000000001</v>
      </c>
    </row>
    <row r="15" spans="1:14" ht="15" customHeight="1">
      <c r="D15" s="86"/>
      <c r="E15" s="88">
        <v>284.60789999999997</v>
      </c>
      <c r="F15" s="88">
        <v>5518</v>
      </c>
      <c r="G15" s="88">
        <v>277.24</v>
      </c>
      <c r="H15" s="88">
        <v>7.3678800000000004</v>
      </c>
      <c r="J15" s="68"/>
      <c r="K15" s="74">
        <v>285.44880000000001</v>
      </c>
      <c r="L15" s="75">
        <v>5512</v>
      </c>
      <c r="M15" s="75">
        <v>279.79000000000002</v>
      </c>
      <c r="N15" s="75">
        <v>5.6588000000000003</v>
      </c>
    </row>
    <row r="16" spans="1:14" ht="15" customHeight="1">
      <c r="D16" s="86"/>
      <c r="E16" s="88">
        <v>284.7407</v>
      </c>
      <c r="F16" s="88">
        <v>5987</v>
      </c>
      <c r="G16" s="88">
        <v>276.64999999999998</v>
      </c>
      <c r="H16" s="88">
        <v>8.0906699999999994</v>
      </c>
      <c r="J16" s="68"/>
      <c r="K16" s="68"/>
      <c r="L16" s="68"/>
      <c r="M16" s="68"/>
      <c r="N16" s="68"/>
    </row>
    <row r="17" spans="4:14" ht="15" customHeight="1">
      <c r="D17" s="84"/>
      <c r="E17" s="84"/>
      <c r="F17" s="84"/>
      <c r="G17" s="84"/>
      <c r="H17" s="84"/>
      <c r="J17" s="68"/>
      <c r="K17" s="68"/>
      <c r="L17" s="68"/>
      <c r="M17" s="68"/>
      <c r="N17" s="68"/>
    </row>
    <row r="18" spans="4:14" ht="15" customHeight="1">
      <c r="D18" s="84"/>
      <c r="E18" s="84"/>
      <c r="F18" s="84"/>
      <c r="G18" s="84"/>
      <c r="H18" s="84"/>
      <c r="J18" s="68"/>
      <c r="K18" s="68"/>
      <c r="L18" s="68"/>
      <c r="M18" s="68"/>
      <c r="N18" s="68"/>
    </row>
    <row r="19" spans="4:14" ht="15" customHeight="1">
      <c r="D19" s="84"/>
      <c r="E19" s="84"/>
      <c r="F19" s="84"/>
      <c r="G19" s="84"/>
      <c r="H19" s="84"/>
      <c r="J19" s="68"/>
      <c r="K19" s="68"/>
      <c r="L19" s="68"/>
      <c r="M19" s="68"/>
      <c r="N19" s="68"/>
    </row>
    <row r="20" spans="4:14" ht="15" customHeight="1">
      <c r="D20" s="84"/>
      <c r="E20" s="84"/>
      <c r="F20" s="84"/>
      <c r="G20" s="84"/>
      <c r="H20" s="84"/>
      <c r="J20" s="68"/>
      <c r="K20" s="68"/>
      <c r="L20" s="68"/>
      <c r="M20" s="68"/>
      <c r="N20" s="68"/>
    </row>
    <row r="21" spans="4:14" ht="15" customHeight="1">
      <c r="D21" s="84"/>
      <c r="E21" s="84"/>
      <c r="F21" s="84"/>
      <c r="G21" s="84"/>
      <c r="H21" s="84"/>
      <c r="J21" s="68"/>
      <c r="K21" s="68"/>
      <c r="L21" s="68"/>
      <c r="M21" s="68"/>
      <c r="N21" s="68"/>
    </row>
    <row r="22" spans="4:14" ht="15" customHeight="1">
      <c r="D22" s="84"/>
      <c r="E22" s="84"/>
      <c r="F22" s="84"/>
      <c r="G22" s="84"/>
      <c r="H22" s="84"/>
      <c r="J22" s="68"/>
      <c r="K22" s="68"/>
      <c r="L22" s="68"/>
      <c r="M22" s="68"/>
      <c r="N22" s="68"/>
    </row>
    <row r="23" spans="4:14" ht="15" customHeight="1">
      <c r="D23" s="84"/>
      <c r="E23" s="84"/>
      <c r="F23" s="84"/>
      <c r="G23" s="84"/>
      <c r="H23" s="84"/>
      <c r="J23" s="68"/>
      <c r="K23" s="68"/>
      <c r="L23" s="68"/>
      <c r="M23" s="68"/>
      <c r="N23" s="68"/>
    </row>
    <row r="24" spans="4:14" ht="15" customHeight="1">
      <c r="D24" s="84"/>
      <c r="E24" s="84"/>
      <c r="F24" s="84"/>
      <c r="G24" s="84"/>
      <c r="H24" s="84"/>
      <c r="J24" s="68"/>
      <c r="K24" s="68"/>
      <c r="L24" s="68"/>
      <c r="M24" s="68"/>
      <c r="N24" s="68"/>
    </row>
    <row r="25" spans="4:14" ht="15" customHeight="1">
      <c r="D25" s="84"/>
      <c r="E25" s="84"/>
      <c r="F25" s="84"/>
      <c r="G25" s="84"/>
      <c r="H25" s="84"/>
      <c r="J25" s="68"/>
      <c r="K25" s="68"/>
      <c r="L25" s="68"/>
      <c r="M25" s="68"/>
      <c r="N25" s="68"/>
    </row>
    <row r="26" spans="4:14" ht="15" customHeight="1">
      <c r="D26" s="84"/>
      <c r="E26" s="84"/>
      <c r="F26" s="84"/>
      <c r="G26" s="84"/>
      <c r="H26" s="84"/>
      <c r="J26" s="68"/>
      <c r="K26" s="68"/>
      <c r="L26" s="68"/>
      <c r="M26" s="68"/>
      <c r="N26" s="68"/>
    </row>
    <row r="27" spans="4:14" ht="15" customHeight="1">
      <c r="D27" s="84"/>
      <c r="E27" s="84"/>
      <c r="F27" s="84"/>
      <c r="G27" s="84"/>
      <c r="H27" s="84"/>
    </row>
    <row r="28" spans="4:14" ht="15.6">
      <c r="D28" s="84"/>
      <c r="E28" s="84"/>
      <c r="F28" s="84"/>
      <c r="G28" s="84"/>
      <c r="H28" s="84"/>
    </row>
    <row r="29" spans="4:14" ht="15.6">
      <c r="D29" s="84"/>
      <c r="E29" s="84"/>
      <c r="F29" s="84"/>
      <c r="G29" s="84"/>
      <c r="H29" s="84"/>
    </row>
    <row r="30" spans="4:14" ht="15.6">
      <c r="D30" s="84"/>
      <c r="E30" s="84"/>
      <c r="F30" s="84"/>
      <c r="G30" s="84"/>
      <c r="H30" s="84"/>
    </row>
    <row r="31" spans="4:14" ht="15.6">
      <c r="D31" s="84"/>
      <c r="E31" s="84"/>
      <c r="F31" s="84"/>
      <c r="G31" s="84"/>
      <c r="H31" s="84"/>
    </row>
    <row r="32" spans="4:14" ht="15.6">
      <c r="D32" s="84"/>
      <c r="E32" s="84"/>
      <c r="F32" s="84"/>
      <c r="G32" s="84"/>
      <c r="H32" s="84"/>
    </row>
    <row r="33" spans="4:8" ht="15.6">
      <c r="D33" s="84"/>
      <c r="E33" s="84"/>
      <c r="F33" s="84"/>
      <c r="G33" s="84"/>
      <c r="H33" s="84"/>
    </row>
    <row r="34" spans="4:8" ht="15.6">
      <c r="D34" s="84"/>
      <c r="E34" s="84"/>
      <c r="F34" s="84"/>
      <c r="G34" s="84"/>
      <c r="H34" s="84"/>
    </row>
    <row r="35" spans="4:8" ht="15.6">
      <c r="D35" s="84"/>
      <c r="E35" s="84"/>
      <c r="F35" s="84"/>
      <c r="G35" s="84"/>
      <c r="H35" s="84"/>
    </row>
    <row r="36" spans="4:8" ht="15.6">
      <c r="D36" s="84"/>
      <c r="E36" s="84"/>
      <c r="F36" s="84"/>
      <c r="G36" s="84"/>
      <c r="H36" s="84"/>
    </row>
    <row r="37" spans="4:8" ht="15.6">
      <c r="D37" s="84"/>
      <c r="E37" s="84"/>
      <c r="F37" s="84"/>
      <c r="G37" s="84"/>
      <c r="H37" s="84"/>
    </row>
    <row r="38" spans="4:8" ht="15.6">
      <c r="D38" s="84"/>
      <c r="E38" s="84"/>
      <c r="F38" s="84"/>
      <c r="G38" s="84"/>
      <c r="H38" s="84"/>
    </row>
    <row r="39" spans="4:8" ht="15.6">
      <c r="D39" s="84"/>
      <c r="E39" s="84"/>
      <c r="F39" s="84"/>
      <c r="G39" s="84"/>
      <c r="H39" s="84"/>
    </row>
    <row r="40" spans="4:8" ht="15.6">
      <c r="D40" s="84"/>
      <c r="E40" s="84"/>
      <c r="F40" s="84"/>
      <c r="G40" s="84"/>
      <c r="H40" s="84"/>
    </row>
    <row r="41" spans="4:8" ht="15.6">
      <c r="D41" s="84"/>
      <c r="E41" s="84"/>
      <c r="F41" s="84"/>
      <c r="G41" s="84"/>
      <c r="H41" s="84"/>
    </row>
    <row r="42" spans="4:8" ht="15.6">
      <c r="D42" s="84"/>
      <c r="E42" s="84"/>
      <c r="F42" s="84"/>
      <c r="G42" s="84"/>
      <c r="H42" s="84"/>
    </row>
    <row r="43" spans="4:8" ht="15.6">
      <c r="D43" s="84"/>
      <c r="E43" s="84"/>
      <c r="F43" s="84"/>
      <c r="G43" s="84"/>
      <c r="H43" s="84"/>
    </row>
    <row r="44" spans="4:8" ht="15.6">
      <c r="D44" s="84"/>
      <c r="E44" s="84"/>
      <c r="F44" s="84"/>
      <c r="G44" s="84"/>
      <c r="H44" s="84"/>
    </row>
    <row r="45" spans="4:8" ht="15.6">
      <c r="D45" s="84"/>
      <c r="E45" s="84"/>
      <c r="F45" s="84"/>
      <c r="G45" s="84"/>
      <c r="H45" s="84"/>
    </row>
    <row r="46" spans="4:8" ht="15.6">
      <c r="D46" s="84"/>
      <c r="E46" s="84"/>
      <c r="F46" s="84"/>
      <c r="G46" s="84"/>
      <c r="H46" s="84"/>
    </row>
    <row r="47" spans="4:8" ht="15.6">
      <c r="D47" s="84"/>
      <c r="E47" s="84"/>
      <c r="F47" s="84"/>
      <c r="G47" s="84"/>
      <c r="H47" s="84"/>
    </row>
    <row r="48" spans="4:8" ht="15.6">
      <c r="D48" s="84"/>
      <c r="E48" s="84"/>
      <c r="F48" s="84"/>
      <c r="G48" s="84"/>
      <c r="H48" s="84"/>
    </row>
    <row r="49" spans="4:8" ht="15.6">
      <c r="D49" s="84"/>
      <c r="E49" s="84"/>
      <c r="F49" s="84"/>
      <c r="G49" s="84"/>
      <c r="H49" s="84"/>
    </row>
    <row r="50" spans="4:8" ht="15.6">
      <c r="D50" s="84"/>
      <c r="E50" s="84"/>
      <c r="F50" s="84"/>
      <c r="G50" s="84"/>
      <c r="H50" s="84"/>
    </row>
    <row r="51" spans="4:8" ht="15.6">
      <c r="D51" s="84"/>
      <c r="E51" s="84"/>
      <c r="F51" s="84"/>
      <c r="G51" s="84"/>
      <c r="H51" s="84"/>
    </row>
    <row r="52" spans="4:8" ht="15.6">
      <c r="D52" s="84"/>
      <c r="E52" s="84"/>
      <c r="F52" s="84"/>
      <c r="G52" s="84"/>
      <c r="H52" s="84"/>
    </row>
    <row r="53" spans="4:8" ht="15.6">
      <c r="D53" s="84"/>
      <c r="E53" s="84"/>
      <c r="F53" s="84"/>
      <c r="G53" s="84"/>
      <c r="H53" s="84"/>
    </row>
    <row r="54" spans="4:8" ht="15.6">
      <c r="D54" s="84"/>
      <c r="E54" s="84"/>
      <c r="F54" s="84"/>
      <c r="G54" s="84"/>
      <c r="H54" s="84"/>
    </row>
    <row r="55" spans="4:8" ht="15.6">
      <c r="D55" s="84"/>
      <c r="E55" s="84"/>
      <c r="F55" s="84"/>
      <c r="G55" s="84"/>
      <c r="H55" s="84"/>
    </row>
    <row r="56" spans="4:8" ht="15.6">
      <c r="D56" s="84"/>
      <c r="E56" s="84"/>
      <c r="F56" s="84"/>
      <c r="G56" s="84"/>
      <c r="H56" s="84"/>
    </row>
    <row r="57" spans="4:8" ht="15.6">
      <c r="D57" s="84"/>
      <c r="E57" s="84"/>
      <c r="F57" s="84"/>
      <c r="G57" s="84"/>
      <c r="H57" s="84"/>
    </row>
    <row r="58" spans="4:8" ht="15.6">
      <c r="D58" s="84"/>
      <c r="E58" s="84"/>
      <c r="F58" s="84"/>
      <c r="G58" s="84"/>
      <c r="H58" s="84"/>
    </row>
    <row r="59" spans="4:8" ht="15.6">
      <c r="D59" s="84"/>
      <c r="E59" s="84"/>
      <c r="F59" s="84"/>
      <c r="G59" s="84"/>
      <c r="H59" s="84"/>
    </row>
    <row r="60" spans="4:8" ht="15.6">
      <c r="D60" s="84"/>
      <c r="E60" s="84"/>
      <c r="F60" s="84"/>
      <c r="G60" s="84"/>
      <c r="H60" s="84"/>
    </row>
    <row r="61" spans="4:8" ht="15.6">
      <c r="D61" s="84"/>
      <c r="E61" s="84"/>
      <c r="F61" s="84"/>
      <c r="G61" s="84"/>
      <c r="H61" s="84"/>
    </row>
    <row r="62" spans="4:8" ht="15.6">
      <c r="D62" s="84"/>
      <c r="E62" s="84"/>
      <c r="F62" s="84"/>
      <c r="G62" s="84"/>
      <c r="H62" s="84"/>
    </row>
    <row r="63" spans="4:8" ht="15.6">
      <c r="D63" s="84"/>
      <c r="E63" s="84"/>
      <c r="F63" s="84"/>
      <c r="G63" s="84"/>
      <c r="H63" s="84"/>
    </row>
    <row r="64" spans="4:8" ht="15.6">
      <c r="D64" s="84"/>
      <c r="E64" s="84"/>
      <c r="F64" s="84"/>
      <c r="G64" s="84"/>
      <c r="H64" s="84"/>
    </row>
    <row r="65" spans="4:8" ht="15.6">
      <c r="D65" s="84"/>
      <c r="E65" s="84"/>
      <c r="F65" s="84"/>
      <c r="G65" s="84"/>
      <c r="H65" s="84"/>
    </row>
    <row r="66" spans="4:8" ht="15.6">
      <c r="D66" s="84"/>
      <c r="E66" s="84"/>
      <c r="F66" s="84"/>
      <c r="G66" s="84"/>
      <c r="H66" s="84"/>
    </row>
    <row r="67" spans="4:8" ht="15.6">
      <c r="D67" s="84"/>
      <c r="E67" s="84"/>
      <c r="F67" s="84"/>
      <c r="G67" s="84"/>
      <c r="H67" s="84"/>
    </row>
    <row r="68" spans="4:8" ht="15.6">
      <c r="D68" s="84"/>
      <c r="E68" s="84"/>
      <c r="F68" s="84"/>
      <c r="G68" s="84"/>
      <c r="H68" s="84"/>
    </row>
    <row r="69" spans="4:8" ht="15.6">
      <c r="D69" s="84"/>
      <c r="E69" s="84"/>
      <c r="F69" s="84"/>
      <c r="G69" s="84"/>
      <c r="H69" s="84"/>
    </row>
    <row r="70" spans="4:8" ht="15.6">
      <c r="D70" s="84"/>
      <c r="E70" s="84"/>
      <c r="F70" s="84"/>
      <c r="G70" s="84"/>
      <c r="H70" s="84"/>
    </row>
    <row r="71" spans="4:8" ht="15.6">
      <c r="D71" s="84"/>
      <c r="E71" s="84"/>
      <c r="F71" s="84"/>
      <c r="G71" s="84"/>
      <c r="H71" s="84"/>
    </row>
    <row r="72" spans="4:8" ht="15.6">
      <c r="D72" s="84"/>
      <c r="E72" s="84"/>
      <c r="F72" s="84"/>
      <c r="G72" s="84"/>
      <c r="H72" s="84"/>
    </row>
    <row r="73" spans="4:8" ht="15.6">
      <c r="D73" s="84"/>
      <c r="E73" s="84"/>
      <c r="F73" s="84"/>
      <c r="G73" s="84"/>
      <c r="H73" s="84"/>
    </row>
    <row r="74" spans="4:8" ht="15.6">
      <c r="D74" s="84"/>
      <c r="E74" s="84"/>
      <c r="F74" s="84"/>
      <c r="G74" s="84"/>
      <c r="H74" s="84"/>
    </row>
    <row r="75" spans="4:8" ht="15.6">
      <c r="D75" s="84"/>
      <c r="E75" s="84"/>
      <c r="F75" s="84"/>
      <c r="G75" s="84"/>
      <c r="H75" s="84"/>
    </row>
    <row r="76" spans="4:8" ht="15.6">
      <c r="D76" s="84"/>
      <c r="E76" s="84"/>
      <c r="F76" s="84"/>
      <c r="G76" s="84"/>
      <c r="H76" s="84"/>
    </row>
    <row r="77" spans="4:8" ht="15.6">
      <c r="D77" s="84"/>
      <c r="E77" s="84"/>
      <c r="F77" s="84"/>
      <c r="G77" s="84"/>
      <c r="H77" s="84"/>
    </row>
    <row r="78" spans="4:8" ht="15.6">
      <c r="D78" s="84"/>
      <c r="E78" s="84"/>
      <c r="F78" s="84"/>
      <c r="G78" s="84"/>
      <c r="H78" s="84"/>
    </row>
    <row r="79" spans="4:8" ht="15.6">
      <c r="D79" s="84"/>
      <c r="E79" s="84"/>
      <c r="F79" s="84"/>
      <c r="G79" s="84"/>
      <c r="H79" s="84"/>
    </row>
    <row r="80" spans="4:8" ht="15.6">
      <c r="D80" s="84"/>
      <c r="E80" s="84"/>
      <c r="F80" s="84"/>
      <c r="G80" s="84"/>
      <c r="H80" s="84"/>
    </row>
    <row r="81" spans="4:8" ht="15.6">
      <c r="D81" s="84"/>
      <c r="E81" s="84"/>
      <c r="F81" s="84"/>
      <c r="G81" s="84"/>
      <c r="H81" s="84"/>
    </row>
    <row r="82" spans="4:8" ht="15.6">
      <c r="D82" s="84"/>
      <c r="E82" s="84"/>
      <c r="F82" s="84"/>
      <c r="G82" s="84"/>
      <c r="H82" s="84"/>
    </row>
    <row r="83" spans="4:8" ht="15.6">
      <c r="D83" s="84"/>
      <c r="E83" s="84"/>
      <c r="F83" s="84"/>
      <c r="G83" s="84"/>
      <c r="H83" s="84"/>
    </row>
    <row r="84" spans="4:8" ht="15.6">
      <c r="D84" s="84"/>
      <c r="E84" s="84"/>
      <c r="F84" s="84"/>
      <c r="G84" s="84"/>
      <c r="H84" s="84"/>
    </row>
    <row r="85" spans="4:8" ht="15.6">
      <c r="D85" s="84"/>
      <c r="E85" s="84"/>
      <c r="F85" s="84"/>
      <c r="G85" s="84"/>
      <c r="H85" s="84"/>
    </row>
    <row r="86" spans="4:8" ht="15.6">
      <c r="D86" s="84"/>
      <c r="E86" s="84"/>
      <c r="F86" s="84"/>
      <c r="G86" s="84"/>
      <c r="H86" s="84"/>
    </row>
    <row r="87" spans="4:8" ht="15.6">
      <c r="D87" s="84"/>
      <c r="E87" s="84"/>
      <c r="F87" s="84"/>
      <c r="G87" s="84"/>
      <c r="H87" s="84"/>
    </row>
    <row r="88" spans="4:8" ht="15.6">
      <c r="D88" s="84"/>
      <c r="E88" s="84"/>
      <c r="F88" s="84"/>
      <c r="G88" s="84"/>
      <c r="H88" s="84"/>
    </row>
    <row r="89" spans="4:8" ht="15.6">
      <c r="D89" s="84"/>
      <c r="E89" s="84"/>
      <c r="F89" s="84"/>
      <c r="G89" s="84"/>
      <c r="H89" s="84"/>
    </row>
    <row r="90" spans="4:8" ht="15.6">
      <c r="D90" s="84"/>
      <c r="E90" s="84"/>
      <c r="F90" s="84"/>
      <c r="G90" s="84"/>
      <c r="H90" s="84"/>
    </row>
    <row r="91" spans="4:8" ht="15.6">
      <c r="D91" s="84"/>
      <c r="E91" s="84"/>
      <c r="F91" s="84"/>
      <c r="G91" s="84"/>
      <c r="H91" s="84"/>
    </row>
    <row r="92" spans="4:8" ht="15.6">
      <c r="D92" s="84"/>
      <c r="E92" s="84"/>
      <c r="F92" s="84"/>
      <c r="G92" s="84"/>
      <c r="H92" s="84"/>
    </row>
    <row r="93" spans="4:8" ht="15.6">
      <c r="D93" s="84"/>
      <c r="E93" s="84"/>
      <c r="F93" s="84"/>
      <c r="G93" s="84"/>
      <c r="H93" s="84"/>
    </row>
    <row r="94" spans="4:8" ht="15.6">
      <c r="D94" s="84"/>
      <c r="E94" s="84"/>
      <c r="F94" s="84"/>
      <c r="G94" s="84"/>
      <c r="H94" s="84"/>
    </row>
    <row r="95" spans="4:8" ht="15.6">
      <c r="D95" s="84"/>
      <c r="E95" s="84"/>
      <c r="F95" s="84"/>
      <c r="G95" s="84"/>
      <c r="H95" s="84"/>
    </row>
    <row r="96" spans="4:8" ht="15.6">
      <c r="D96" s="84"/>
      <c r="E96" s="84"/>
      <c r="F96" s="84"/>
      <c r="G96" s="84"/>
      <c r="H96" s="84"/>
    </row>
    <row r="97" spans="4:8" ht="15.6">
      <c r="D97" s="84"/>
      <c r="E97" s="84"/>
      <c r="F97" s="84"/>
      <c r="G97" s="84"/>
      <c r="H97" s="84"/>
    </row>
    <row r="98" spans="4:8" ht="15.6">
      <c r="D98" s="84"/>
      <c r="E98" s="84"/>
      <c r="F98" s="84"/>
      <c r="G98" s="84"/>
      <c r="H98" s="84"/>
    </row>
    <row r="99" spans="4:8" ht="15.6">
      <c r="D99" s="84"/>
      <c r="E99" s="84"/>
      <c r="F99" s="84"/>
      <c r="G99" s="84"/>
      <c r="H99" s="84"/>
    </row>
    <row r="100" spans="4:8" ht="15.6">
      <c r="D100" s="84"/>
      <c r="E100" s="84"/>
      <c r="F100" s="84"/>
      <c r="G100" s="84"/>
      <c r="H100" s="84"/>
    </row>
    <row r="101" spans="4:8" ht="15.6">
      <c r="D101" s="84"/>
      <c r="E101" s="84"/>
      <c r="F101" s="84"/>
      <c r="G101" s="84"/>
      <c r="H101" s="84"/>
    </row>
    <row r="102" spans="4:8" ht="15.6">
      <c r="D102" s="84"/>
      <c r="E102" s="84"/>
      <c r="F102" s="84"/>
      <c r="G102" s="84"/>
      <c r="H102" s="84"/>
    </row>
    <row r="103" spans="4:8" ht="15.6">
      <c r="D103" s="84"/>
      <c r="E103" s="84"/>
      <c r="F103" s="84"/>
      <c r="G103" s="84"/>
      <c r="H103" s="84"/>
    </row>
    <row r="104" spans="4:8" ht="15.6">
      <c r="D104" s="84"/>
      <c r="E104" s="84"/>
      <c r="F104" s="84"/>
      <c r="G104" s="84"/>
      <c r="H104" s="84"/>
    </row>
    <row r="105" spans="4:8" ht="15.6">
      <c r="D105" s="84"/>
      <c r="E105" s="84"/>
      <c r="F105" s="84"/>
      <c r="G105" s="84"/>
      <c r="H105" s="84"/>
    </row>
    <row r="106" spans="4:8" ht="15.6">
      <c r="D106" s="84"/>
      <c r="E106" s="84"/>
      <c r="F106" s="84"/>
      <c r="G106" s="84"/>
      <c r="H106" s="84"/>
    </row>
    <row r="107" spans="4:8" ht="15.6">
      <c r="D107" s="84"/>
      <c r="E107" s="84"/>
      <c r="F107" s="84"/>
      <c r="G107" s="84"/>
      <c r="H107" s="84"/>
    </row>
    <row r="108" spans="4:8" ht="15.6">
      <c r="D108" s="84"/>
      <c r="E108" s="84"/>
      <c r="F108" s="84"/>
      <c r="G108" s="84"/>
      <c r="H108" s="84"/>
    </row>
    <row r="109" spans="4:8" ht="15.6">
      <c r="D109" s="84"/>
      <c r="E109" s="84"/>
      <c r="F109" s="84"/>
      <c r="G109" s="84"/>
      <c r="H109" s="84"/>
    </row>
    <row r="110" spans="4:8" ht="15.6">
      <c r="D110" s="84"/>
      <c r="E110" s="84"/>
      <c r="F110" s="84"/>
      <c r="G110" s="84"/>
      <c r="H110" s="84"/>
    </row>
    <row r="111" spans="4:8" ht="15.6">
      <c r="D111" s="84"/>
      <c r="E111" s="84"/>
      <c r="F111" s="84"/>
      <c r="G111" s="84"/>
      <c r="H111" s="84"/>
    </row>
    <row r="112" spans="4:8" ht="15.6">
      <c r="D112" s="84"/>
      <c r="E112" s="84"/>
      <c r="F112" s="84"/>
      <c r="G112" s="84"/>
      <c r="H112" s="84"/>
    </row>
    <row r="113" spans="4:8" ht="15.6">
      <c r="D113" s="84"/>
      <c r="E113" s="84"/>
      <c r="F113" s="84"/>
      <c r="G113" s="84"/>
      <c r="H113" s="84"/>
    </row>
    <row r="114" spans="4:8" ht="15.6">
      <c r="D114" s="84"/>
      <c r="E114" s="84"/>
      <c r="F114" s="84"/>
      <c r="G114" s="84"/>
      <c r="H114" s="84"/>
    </row>
    <row r="115" spans="4:8" ht="15.6">
      <c r="D115" s="84"/>
      <c r="E115" s="84"/>
      <c r="F115" s="84"/>
      <c r="G115" s="84"/>
      <c r="H115" s="84"/>
    </row>
    <row r="116" spans="4:8" ht="15.6">
      <c r="D116" s="84"/>
      <c r="E116" s="84"/>
      <c r="F116" s="84"/>
      <c r="G116" s="84"/>
      <c r="H116" s="84"/>
    </row>
    <row r="117" spans="4:8" ht="15.6">
      <c r="D117" s="84"/>
      <c r="E117" s="84"/>
      <c r="F117" s="84"/>
      <c r="G117" s="84"/>
      <c r="H117" s="84"/>
    </row>
    <row r="118" spans="4:8" ht="15.6">
      <c r="D118" s="84"/>
      <c r="E118" s="84"/>
      <c r="F118" s="84"/>
      <c r="G118" s="84"/>
      <c r="H118" s="84"/>
    </row>
    <row r="119" spans="4:8" ht="15.6">
      <c r="D119" s="84"/>
      <c r="E119" s="84"/>
      <c r="F119" s="84"/>
      <c r="G119" s="84"/>
      <c r="H119" s="84"/>
    </row>
    <row r="120" spans="4:8" ht="15.6">
      <c r="D120" s="84"/>
      <c r="E120" s="84"/>
      <c r="F120" s="84"/>
      <c r="G120" s="84"/>
      <c r="H120" s="84"/>
    </row>
    <row r="121" spans="4:8" ht="15.6">
      <c r="D121" s="84"/>
      <c r="E121" s="84"/>
      <c r="F121" s="84"/>
      <c r="G121" s="84"/>
      <c r="H121" s="84"/>
    </row>
    <row r="122" spans="4:8" ht="15.6">
      <c r="D122" s="84"/>
      <c r="E122" s="84"/>
      <c r="F122" s="84"/>
      <c r="G122" s="84"/>
      <c r="H122" s="84"/>
    </row>
    <row r="123" spans="4:8" ht="15.6">
      <c r="D123" s="84"/>
      <c r="E123" s="84"/>
      <c r="F123" s="84"/>
      <c r="G123" s="84"/>
      <c r="H123" s="84"/>
    </row>
    <row r="124" spans="4:8" ht="15.6">
      <c r="D124" s="84"/>
      <c r="E124" s="84"/>
      <c r="F124" s="84"/>
      <c r="G124" s="84"/>
      <c r="H124" s="84"/>
    </row>
    <row r="125" spans="4:8" ht="15.6">
      <c r="D125" s="84"/>
      <c r="E125" s="84"/>
      <c r="F125" s="84"/>
      <c r="G125" s="84"/>
      <c r="H125" s="84"/>
    </row>
    <row r="126" spans="4:8" ht="15.6">
      <c r="D126" s="84"/>
      <c r="E126" s="84"/>
      <c r="F126" s="84"/>
      <c r="G126" s="84"/>
      <c r="H126" s="84"/>
    </row>
    <row r="127" spans="4:8" ht="15.6">
      <c r="D127" s="84"/>
      <c r="E127" s="84"/>
      <c r="F127" s="84"/>
      <c r="G127" s="84"/>
      <c r="H127" s="84"/>
    </row>
    <row r="128" spans="4:8" ht="15.6">
      <c r="D128" s="84"/>
      <c r="E128" s="84"/>
      <c r="F128" s="84"/>
      <c r="G128" s="84"/>
      <c r="H128" s="84"/>
    </row>
    <row r="129" spans="4:8" ht="15.6">
      <c r="D129" s="84"/>
      <c r="E129" s="84"/>
      <c r="F129" s="84"/>
      <c r="G129" s="84"/>
      <c r="H129" s="84"/>
    </row>
    <row r="130" spans="4:8" ht="15.6">
      <c r="D130" s="84"/>
      <c r="E130" s="84"/>
      <c r="F130" s="84"/>
      <c r="G130" s="84"/>
      <c r="H130" s="84"/>
    </row>
    <row r="131" spans="4:8" ht="15.6">
      <c r="D131" s="84"/>
      <c r="E131" s="84"/>
      <c r="F131" s="84"/>
      <c r="G131" s="84"/>
      <c r="H131" s="84"/>
    </row>
    <row r="132" spans="4:8" ht="15.6">
      <c r="D132" s="84"/>
      <c r="E132" s="84"/>
      <c r="F132" s="84"/>
      <c r="G132" s="84"/>
      <c r="H132" s="84"/>
    </row>
    <row r="133" spans="4:8" ht="15.6">
      <c r="D133" s="84"/>
      <c r="E133" s="84"/>
      <c r="F133" s="84"/>
      <c r="G133" s="84"/>
      <c r="H133" s="84"/>
    </row>
    <row r="134" spans="4:8" ht="15.6">
      <c r="D134" s="84"/>
      <c r="E134" s="84"/>
      <c r="F134" s="84"/>
      <c r="G134" s="84"/>
      <c r="H134" s="84"/>
    </row>
    <row r="135" spans="4:8" ht="15.6">
      <c r="D135" s="84"/>
      <c r="E135" s="84"/>
      <c r="F135" s="84"/>
      <c r="G135" s="84"/>
      <c r="H135" s="84"/>
    </row>
    <row r="136" spans="4:8" ht="15.6">
      <c r="D136" s="84"/>
      <c r="E136" s="84"/>
      <c r="F136" s="84"/>
      <c r="G136" s="84"/>
      <c r="H136" s="84"/>
    </row>
    <row r="137" spans="4:8" ht="15.6">
      <c r="D137" s="84"/>
      <c r="E137" s="84"/>
      <c r="F137" s="84"/>
      <c r="G137" s="84"/>
      <c r="H137" s="84"/>
    </row>
    <row r="138" spans="4:8" ht="15.6">
      <c r="D138" s="84"/>
      <c r="E138" s="84"/>
      <c r="F138" s="84"/>
      <c r="G138" s="84"/>
      <c r="H138" s="84"/>
    </row>
    <row r="139" spans="4:8" ht="15.6">
      <c r="D139" s="84"/>
      <c r="E139" s="84"/>
      <c r="F139" s="84"/>
      <c r="G139" s="84"/>
      <c r="H139" s="84"/>
    </row>
    <row r="140" spans="4:8" ht="15.6">
      <c r="D140" s="84"/>
      <c r="E140" s="84"/>
      <c r="F140" s="84"/>
      <c r="G140" s="84"/>
      <c r="H140" s="84"/>
    </row>
    <row r="141" spans="4:8" ht="15.6">
      <c r="D141" s="84"/>
      <c r="E141" s="84"/>
      <c r="F141" s="84"/>
      <c r="G141" s="84"/>
      <c r="H141" s="84"/>
    </row>
    <row r="142" spans="4:8" ht="15.6">
      <c r="D142" s="84"/>
      <c r="E142" s="84"/>
      <c r="F142" s="84"/>
      <c r="G142" s="84"/>
      <c r="H142" s="84"/>
    </row>
    <row r="143" spans="4:8" ht="15.6">
      <c r="D143" s="84"/>
      <c r="E143" s="84"/>
      <c r="F143" s="84"/>
      <c r="G143" s="84"/>
      <c r="H143" s="84"/>
    </row>
    <row r="144" spans="4:8" ht="15.6">
      <c r="D144" s="84"/>
      <c r="E144" s="84"/>
      <c r="F144" s="84"/>
      <c r="G144" s="84"/>
      <c r="H144" s="84"/>
    </row>
    <row r="145" spans="4:8" ht="15.6">
      <c r="D145" s="84"/>
      <c r="E145" s="84"/>
      <c r="F145" s="84"/>
      <c r="G145" s="84"/>
      <c r="H145" s="84"/>
    </row>
    <row r="146" spans="4:8" ht="15.6">
      <c r="D146" s="84"/>
      <c r="E146" s="84"/>
      <c r="F146" s="84"/>
      <c r="G146" s="84"/>
      <c r="H146" s="84"/>
    </row>
    <row r="147" spans="4:8" ht="15.6">
      <c r="D147" s="84"/>
      <c r="E147" s="84"/>
      <c r="F147" s="84"/>
      <c r="G147" s="84"/>
      <c r="H147" s="84"/>
    </row>
    <row r="148" spans="4:8" ht="15.6">
      <c r="D148" s="84"/>
      <c r="E148" s="84"/>
      <c r="F148" s="84"/>
      <c r="G148" s="84"/>
      <c r="H148" s="84"/>
    </row>
    <row r="149" spans="4:8" ht="15.6">
      <c r="D149" s="84"/>
      <c r="E149" s="84"/>
      <c r="F149" s="84"/>
      <c r="G149" s="84"/>
      <c r="H149" s="84"/>
    </row>
    <row r="150" spans="4:8" ht="15.6">
      <c r="D150" s="84"/>
      <c r="E150" s="84"/>
      <c r="F150" s="84"/>
      <c r="G150" s="84"/>
      <c r="H150" s="84"/>
    </row>
    <row r="151" spans="4:8" ht="15.6">
      <c r="D151" s="84"/>
      <c r="E151" s="84"/>
      <c r="F151" s="84"/>
      <c r="G151" s="84"/>
      <c r="H151" s="84"/>
    </row>
    <row r="152" spans="4:8" ht="15.6">
      <c r="D152" s="84"/>
      <c r="E152" s="84"/>
      <c r="F152" s="84"/>
      <c r="G152" s="84"/>
      <c r="H152" s="84"/>
    </row>
    <row r="153" spans="4:8" ht="15.6">
      <c r="D153" s="84"/>
      <c r="E153" s="84"/>
      <c r="F153" s="84"/>
      <c r="G153" s="84"/>
      <c r="H153" s="84"/>
    </row>
    <row r="154" spans="4:8" ht="15.6">
      <c r="D154" s="84"/>
      <c r="E154" s="84"/>
      <c r="F154" s="84"/>
      <c r="G154" s="84"/>
      <c r="H154" s="84"/>
    </row>
    <row r="155" spans="4:8" ht="15.6">
      <c r="D155" s="84"/>
      <c r="E155" s="84"/>
      <c r="F155" s="84"/>
      <c r="G155" s="84"/>
      <c r="H155" s="84"/>
    </row>
    <row r="156" spans="4:8" ht="15.6">
      <c r="D156" s="84"/>
      <c r="E156" s="84"/>
      <c r="F156" s="84"/>
      <c r="G156" s="84"/>
      <c r="H156" s="84"/>
    </row>
    <row r="157" spans="4:8" ht="15.6">
      <c r="D157" s="84"/>
      <c r="E157" s="84"/>
      <c r="F157" s="84"/>
      <c r="G157" s="84"/>
      <c r="H157" s="84"/>
    </row>
    <row r="158" spans="4:8" ht="15.6">
      <c r="D158" s="84"/>
      <c r="E158" s="84"/>
      <c r="F158" s="84"/>
      <c r="G158" s="84"/>
      <c r="H158" s="84"/>
    </row>
    <row r="159" spans="4:8" ht="15.6">
      <c r="D159" s="84"/>
      <c r="E159" s="84"/>
      <c r="F159" s="84"/>
      <c r="G159" s="84"/>
      <c r="H159" s="84"/>
    </row>
    <row r="160" spans="4:8" ht="15.6">
      <c r="D160" s="84"/>
      <c r="E160" s="84"/>
      <c r="F160" s="84"/>
      <c r="G160" s="84"/>
      <c r="H160" s="84"/>
    </row>
    <row r="161" spans="4:8" ht="15.6">
      <c r="D161" s="84"/>
      <c r="E161" s="84"/>
      <c r="F161" s="84"/>
      <c r="G161" s="84"/>
      <c r="H161" s="84"/>
    </row>
    <row r="162" spans="4:8" ht="15.6">
      <c r="D162" s="84"/>
      <c r="E162" s="84"/>
      <c r="F162" s="84"/>
      <c r="G162" s="84"/>
      <c r="H162" s="84"/>
    </row>
    <row r="163" spans="4:8" ht="15.6">
      <c r="D163" s="84"/>
      <c r="E163" s="84"/>
      <c r="F163" s="84"/>
      <c r="G163" s="84"/>
      <c r="H163" s="84"/>
    </row>
    <row r="164" spans="4:8" ht="15.6">
      <c r="D164" s="84"/>
      <c r="E164" s="84"/>
      <c r="F164" s="84"/>
      <c r="G164" s="84"/>
      <c r="H164" s="84"/>
    </row>
    <row r="165" spans="4:8" ht="15.6">
      <c r="D165" s="84"/>
      <c r="E165" s="84"/>
      <c r="F165" s="84"/>
      <c r="G165" s="84"/>
      <c r="H165" s="84"/>
    </row>
    <row r="166" spans="4:8" ht="15.6">
      <c r="D166" s="84"/>
      <c r="E166" s="84"/>
      <c r="F166" s="84"/>
      <c r="G166" s="84"/>
      <c r="H166" s="84"/>
    </row>
    <row r="167" spans="4:8" ht="15.6">
      <c r="D167" s="84"/>
      <c r="E167" s="84"/>
      <c r="F167" s="84"/>
      <c r="G167" s="84"/>
      <c r="H167" s="84"/>
    </row>
    <row r="168" spans="4:8" ht="15.6">
      <c r="D168" s="84"/>
      <c r="E168" s="84"/>
      <c r="F168" s="84"/>
      <c r="G168" s="84"/>
      <c r="H168" s="84"/>
    </row>
    <row r="169" spans="4:8" ht="15.6">
      <c r="D169" s="84"/>
      <c r="E169" s="84"/>
      <c r="F169" s="84"/>
      <c r="G169" s="84"/>
      <c r="H169" s="84"/>
    </row>
    <row r="170" spans="4:8" ht="15.6">
      <c r="D170" s="84"/>
      <c r="E170" s="84"/>
      <c r="F170" s="84"/>
      <c r="G170" s="84"/>
      <c r="H170" s="84"/>
    </row>
    <row r="171" spans="4:8" ht="15.6">
      <c r="D171" s="84"/>
      <c r="E171" s="84"/>
      <c r="F171" s="84"/>
      <c r="G171" s="84"/>
      <c r="H171" s="84"/>
    </row>
    <row r="172" spans="4:8" ht="15.6">
      <c r="D172" s="84"/>
      <c r="E172" s="84"/>
      <c r="F172" s="84"/>
      <c r="G172" s="84"/>
      <c r="H172" s="84"/>
    </row>
    <row r="173" spans="4:8" ht="15.6">
      <c r="D173" s="84"/>
      <c r="E173" s="84"/>
      <c r="F173" s="84"/>
      <c r="G173" s="84"/>
      <c r="H173" s="84"/>
    </row>
    <row r="174" spans="4:8" ht="15.6">
      <c r="D174" s="84"/>
      <c r="E174" s="84"/>
      <c r="F174" s="84"/>
      <c r="G174" s="84"/>
      <c r="H174" s="84"/>
    </row>
    <row r="175" spans="4:8" ht="15.6">
      <c r="D175" s="84"/>
      <c r="E175" s="84"/>
      <c r="F175" s="84"/>
      <c r="G175" s="84"/>
      <c r="H175" s="84"/>
    </row>
    <row r="176" spans="4:8" ht="15.6">
      <c r="D176" s="84"/>
      <c r="E176" s="84"/>
      <c r="F176" s="84"/>
      <c r="G176" s="84"/>
      <c r="H176" s="84"/>
    </row>
    <row r="177" spans="4:8" ht="15.6">
      <c r="D177" s="84"/>
      <c r="E177" s="84"/>
      <c r="F177" s="84"/>
      <c r="G177" s="84"/>
      <c r="H177" s="84"/>
    </row>
    <row r="178" spans="4:8" ht="15.6">
      <c r="D178" s="84"/>
      <c r="E178" s="84"/>
      <c r="F178" s="84"/>
      <c r="G178" s="84"/>
      <c r="H178" s="84"/>
    </row>
    <row r="179" spans="4:8" ht="15.6">
      <c r="D179" s="84"/>
      <c r="E179" s="84"/>
      <c r="F179" s="84"/>
      <c r="G179" s="84"/>
      <c r="H179" s="84"/>
    </row>
    <row r="180" spans="4:8" ht="15.6">
      <c r="D180" s="84"/>
      <c r="E180" s="84"/>
      <c r="F180" s="84"/>
      <c r="G180" s="84"/>
      <c r="H180" s="84"/>
    </row>
    <row r="181" spans="4:8" ht="15.6">
      <c r="D181" s="84"/>
      <c r="E181" s="84"/>
      <c r="F181" s="84"/>
      <c r="G181" s="84"/>
      <c r="H181" s="84"/>
    </row>
    <row r="182" spans="4:8" ht="15.6">
      <c r="D182" s="84"/>
      <c r="E182" s="84"/>
      <c r="F182" s="84"/>
      <c r="G182" s="84"/>
      <c r="H182" s="84"/>
    </row>
    <row r="183" spans="4:8" ht="15.6">
      <c r="D183" s="84"/>
      <c r="E183" s="84"/>
      <c r="F183" s="84"/>
      <c r="G183" s="84"/>
      <c r="H183" s="84"/>
    </row>
    <row r="184" spans="4:8" ht="15.6">
      <c r="D184" s="84"/>
      <c r="E184" s="84"/>
      <c r="F184" s="84"/>
      <c r="G184" s="84"/>
      <c r="H184" s="84"/>
    </row>
    <row r="185" spans="4:8" ht="15.6">
      <c r="D185" s="84"/>
      <c r="E185" s="84"/>
      <c r="F185" s="84"/>
      <c r="G185" s="84"/>
      <c r="H185" s="84"/>
    </row>
    <row r="186" spans="4:8" ht="15.6">
      <c r="D186" s="84"/>
      <c r="E186" s="84"/>
      <c r="F186" s="84"/>
      <c r="G186" s="84"/>
      <c r="H186" s="84"/>
    </row>
    <row r="187" spans="4:8" ht="15.6">
      <c r="D187" s="84"/>
      <c r="E187" s="84"/>
      <c r="F187" s="84"/>
      <c r="G187" s="84"/>
      <c r="H187" s="84"/>
    </row>
    <row r="188" spans="4:8" ht="15.6">
      <c r="D188" s="84"/>
      <c r="E188" s="84"/>
      <c r="F188" s="84"/>
      <c r="G188" s="84"/>
      <c r="H188" s="84"/>
    </row>
    <row r="189" spans="4:8" ht="15.6">
      <c r="D189" s="84"/>
      <c r="E189" s="84"/>
      <c r="F189" s="84"/>
      <c r="G189" s="84"/>
      <c r="H189" s="84"/>
    </row>
    <row r="190" spans="4:8" ht="15.6">
      <c r="D190" s="84"/>
      <c r="E190" s="84"/>
      <c r="F190" s="84"/>
      <c r="G190" s="84"/>
      <c r="H190" s="84"/>
    </row>
    <row r="191" spans="4:8" ht="15.6">
      <c r="D191" s="84"/>
      <c r="E191" s="84"/>
      <c r="F191" s="84"/>
      <c r="G191" s="84"/>
      <c r="H191" s="84"/>
    </row>
    <row r="192" spans="4:8" ht="15.6">
      <c r="D192" s="84"/>
      <c r="E192" s="84"/>
      <c r="F192" s="84"/>
      <c r="G192" s="84"/>
      <c r="H192" s="84"/>
    </row>
    <row r="193" spans="4:8" ht="15.6">
      <c r="D193" s="84"/>
      <c r="E193" s="84"/>
      <c r="F193" s="84"/>
      <c r="G193" s="84"/>
      <c r="H193" s="84"/>
    </row>
    <row r="194" spans="4:8" ht="15.6">
      <c r="D194" s="84"/>
      <c r="E194" s="84"/>
      <c r="F194" s="84"/>
      <c r="G194" s="84"/>
      <c r="H194" s="84"/>
    </row>
    <row r="195" spans="4:8" ht="15.6">
      <c r="D195" s="84"/>
      <c r="E195" s="84"/>
      <c r="F195" s="84"/>
      <c r="G195" s="84"/>
      <c r="H195" s="84"/>
    </row>
    <row r="196" spans="4:8" ht="15.6">
      <c r="D196" s="84"/>
      <c r="E196" s="84"/>
      <c r="F196" s="84"/>
      <c r="G196" s="84"/>
      <c r="H196" s="84"/>
    </row>
    <row r="197" spans="4:8" ht="15.6">
      <c r="D197" s="84"/>
      <c r="E197" s="84"/>
      <c r="F197" s="84"/>
      <c r="G197" s="84"/>
      <c r="H197" s="84"/>
    </row>
    <row r="198" spans="4:8" ht="15.6">
      <c r="D198" s="84"/>
      <c r="E198" s="84"/>
      <c r="F198" s="84"/>
      <c r="G198" s="84"/>
      <c r="H198" s="84"/>
    </row>
    <row r="199" spans="4:8" ht="15.6">
      <c r="D199" s="84"/>
      <c r="E199" s="84"/>
      <c r="F199" s="84"/>
      <c r="G199" s="84"/>
      <c r="H199" s="84"/>
    </row>
    <row r="200" spans="4:8" ht="15.6">
      <c r="D200" s="84"/>
      <c r="E200" s="84"/>
      <c r="F200" s="84"/>
      <c r="G200" s="84"/>
      <c r="H200" s="84"/>
    </row>
    <row r="201" spans="4:8" ht="15.6">
      <c r="D201" s="84"/>
      <c r="E201" s="84"/>
      <c r="F201" s="84"/>
      <c r="G201" s="84"/>
      <c r="H201" s="84"/>
    </row>
    <row r="202" spans="4:8" ht="15.6">
      <c r="D202" s="84"/>
      <c r="E202" s="84"/>
      <c r="F202" s="84"/>
      <c r="G202" s="84"/>
      <c r="H202" s="84"/>
    </row>
    <row r="203" spans="4:8" ht="15.6">
      <c r="D203" s="84"/>
      <c r="E203" s="84"/>
      <c r="F203" s="84"/>
      <c r="G203" s="84"/>
      <c r="H203" s="84"/>
    </row>
    <row r="204" spans="4:8" ht="15.6">
      <c r="D204" s="84"/>
      <c r="E204" s="84"/>
      <c r="F204" s="84"/>
      <c r="G204" s="84"/>
      <c r="H204" s="84"/>
    </row>
    <row r="205" spans="4:8" ht="15.6">
      <c r="D205" s="84"/>
      <c r="E205" s="84"/>
      <c r="F205" s="84"/>
      <c r="G205" s="84"/>
      <c r="H205" s="84"/>
    </row>
    <row r="206" spans="4:8" ht="15.6">
      <c r="D206" s="84"/>
      <c r="E206" s="84"/>
      <c r="F206" s="84"/>
      <c r="G206" s="84"/>
      <c r="H206" s="84"/>
    </row>
    <row r="207" spans="4:8" ht="15.6">
      <c r="D207" s="84"/>
      <c r="E207" s="84"/>
      <c r="F207" s="84"/>
      <c r="G207" s="84"/>
      <c r="H207" s="84"/>
    </row>
    <row r="208" spans="4:8" ht="15.6">
      <c r="D208" s="84"/>
      <c r="E208" s="84"/>
      <c r="F208" s="84"/>
      <c r="G208" s="84"/>
      <c r="H208" s="84"/>
    </row>
    <row r="209" spans="4:8" ht="15.6">
      <c r="D209" s="84"/>
      <c r="E209" s="84"/>
      <c r="F209" s="84"/>
      <c r="G209" s="84"/>
      <c r="H209" s="84"/>
    </row>
    <row r="210" spans="4:8" ht="15.6">
      <c r="D210" s="84"/>
      <c r="E210" s="84"/>
      <c r="F210" s="84"/>
      <c r="G210" s="84"/>
      <c r="H210" s="84"/>
    </row>
    <row r="211" spans="4:8" ht="15.6">
      <c r="D211" s="84"/>
      <c r="E211" s="84"/>
      <c r="F211" s="84"/>
      <c r="G211" s="84"/>
      <c r="H211" s="84"/>
    </row>
    <row r="212" spans="4:8" ht="15.6">
      <c r="D212" s="84"/>
      <c r="E212" s="84"/>
      <c r="F212" s="84"/>
      <c r="G212" s="84"/>
      <c r="H212" s="84"/>
    </row>
    <row r="213" spans="4:8" ht="15.6">
      <c r="D213" s="84"/>
      <c r="E213" s="84"/>
      <c r="F213" s="84"/>
      <c r="G213" s="84"/>
      <c r="H213" s="84"/>
    </row>
    <row r="214" spans="4:8" ht="15.6">
      <c r="D214" s="84"/>
      <c r="E214" s="84"/>
      <c r="F214" s="84"/>
      <c r="G214" s="84"/>
      <c r="H214" s="84"/>
    </row>
    <row r="215" spans="4:8" ht="15.6">
      <c r="D215" s="84"/>
      <c r="E215" s="84"/>
      <c r="F215" s="84"/>
      <c r="G215" s="84"/>
      <c r="H215" s="84"/>
    </row>
    <row r="216" spans="4:8" ht="15.6">
      <c r="D216" s="84"/>
      <c r="E216" s="84"/>
      <c r="F216" s="84"/>
      <c r="G216" s="84"/>
      <c r="H216" s="84"/>
    </row>
    <row r="217" spans="4:8" ht="15.6">
      <c r="D217" s="84"/>
      <c r="E217" s="84"/>
      <c r="F217" s="84"/>
      <c r="G217" s="84"/>
      <c r="H217" s="84"/>
    </row>
    <row r="218" spans="4:8" ht="15.6">
      <c r="D218" s="84"/>
      <c r="E218" s="84"/>
      <c r="F218" s="84"/>
      <c r="G218" s="84"/>
      <c r="H218" s="84"/>
    </row>
    <row r="219" spans="4:8" ht="15.6">
      <c r="D219" s="84"/>
      <c r="E219" s="84"/>
      <c r="F219" s="84"/>
      <c r="G219" s="84"/>
      <c r="H219" s="84"/>
    </row>
    <row r="220" spans="4:8" ht="15.6">
      <c r="D220" s="84"/>
      <c r="E220" s="84"/>
      <c r="F220" s="84"/>
      <c r="G220" s="84"/>
      <c r="H220" s="84"/>
    </row>
    <row r="221" spans="4:8" ht="15.6">
      <c r="D221" s="84"/>
      <c r="E221" s="84"/>
      <c r="F221" s="84"/>
      <c r="G221" s="84"/>
      <c r="H221" s="84"/>
    </row>
    <row r="222" spans="4:8" ht="15.6">
      <c r="D222" s="84"/>
      <c r="E222" s="84"/>
      <c r="F222" s="84"/>
      <c r="G222" s="84"/>
      <c r="H222" s="84"/>
    </row>
    <row r="223" spans="4:8" ht="15.6">
      <c r="D223" s="84"/>
      <c r="E223" s="84"/>
      <c r="F223" s="84"/>
      <c r="G223" s="84"/>
      <c r="H223" s="84"/>
    </row>
    <row r="224" spans="4:8" ht="15.6">
      <c r="D224" s="84"/>
      <c r="E224" s="84"/>
      <c r="F224" s="84"/>
      <c r="G224" s="84"/>
      <c r="H224" s="84"/>
    </row>
    <row r="225" spans="4:8" ht="15.6">
      <c r="D225" s="84"/>
      <c r="E225" s="84"/>
      <c r="F225" s="84"/>
      <c r="G225" s="84"/>
      <c r="H225" s="84"/>
    </row>
    <row r="226" spans="4:8" ht="15.6">
      <c r="D226" s="84"/>
      <c r="E226" s="84"/>
      <c r="F226" s="84"/>
      <c r="G226" s="84"/>
      <c r="H226" s="84"/>
    </row>
    <row r="227" spans="4:8" ht="15.6">
      <c r="D227" s="84"/>
      <c r="E227" s="84"/>
      <c r="F227" s="84"/>
      <c r="G227" s="84"/>
      <c r="H227" s="84"/>
    </row>
    <row r="228" spans="4:8" ht="15.6">
      <c r="D228" s="84"/>
      <c r="E228" s="84"/>
      <c r="F228" s="84"/>
      <c r="G228" s="84"/>
      <c r="H228" s="84"/>
    </row>
    <row r="229" spans="4:8" ht="15.6">
      <c r="D229" s="84"/>
      <c r="E229" s="84"/>
      <c r="F229" s="84"/>
      <c r="G229" s="84"/>
      <c r="H229" s="84"/>
    </row>
    <row r="230" spans="4:8" ht="15.6">
      <c r="D230" s="84"/>
      <c r="E230" s="84"/>
      <c r="F230" s="84"/>
      <c r="G230" s="84"/>
      <c r="H230" s="84"/>
    </row>
    <row r="231" spans="4:8" ht="15.6">
      <c r="D231" s="84"/>
      <c r="E231" s="84"/>
      <c r="F231" s="84"/>
      <c r="G231" s="84"/>
      <c r="H231" s="84"/>
    </row>
    <row r="232" spans="4:8" ht="15.6">
      <c r="D232" s="84"/>
      <c r="E232" s="84"/>
      <c r="F232" s="84"/>
      <c r="G232" s="84"/>
      <c r="H232" s="84"/>
    </row>
    <row r="233" spans="4:8" ht="15.6">
      <c r="D233" s="84"/>
      <c r="E233" s="84"/>
      <c r="F233" s="84"/>
      <c r="G233" s="84"/>
      <c r="H233" s="84"/>
    </row>
    <row r="234" spans="4:8" ht="15.6">
      <c r="D234" s="84"/>
      <c r="E234" s="84"/>
      <c r="F234" s="84"/>
      <c r="G234" s="84"/>
      <c r="H234" s="84"/>
    </row>
    <row r="235" spans="4:8" ht="15.6">
      <c r="D235" s="84"/>
      <c r="E235" s="84"/>
      <c r="F235" s="84"/>
      <c r="G235" s="84"/>
      <c r="H235" s="84"/>
    </row>
    <row r="236" spans="4:8" ht="15.6">
      <c r="D236" s="84"/>
      <c r="E236" s="84"/>
      <c r="F236" s="84"/>
      <c r="G236" s="84"/>
      <c r="H236" s="84"/>
    </row>
    <row r="237" spans="4:8" ht="15.6">
      <c r="D237" s="84"/>
      <c r="E237" s="84"/>
      <c r="F237" s="84"/>
      <c r="G237" s="84"/>
      <c r="H237" s="84"/>
    </row>
    <row r="238" spans="4:8" ht="15.6">
      <c r="D238" s="84"/>
      <c r="E238" s="84"/>
      <c r="F238" s="84"/>
      <c r="G238" s="84"/>
      <c r="H238" s="84"/>
    </row>
    <row r="239" spans="4:8" ht="15.6">
      <c r="D239" s="84"/>
      <c r="E239" s="84"/>
      <c r="F239" s="84"/>
      <c r="G239" s="84"/>
      <c r="H239" s="84"/>
    </row>
    <row r="240" spans="4:8" ht="15.6">
      <c r="D240" s="84"/>
      <c r="E240" s="84"/>
      <c r="F240" s="84"/>
      <c r="G240" s="84"/>
      <c r="H240" s="84"/>
    </row>
    <row r="241" spans="4:8" ht="15.6">
      <c r="D241" s="84"/>
      <c r="E241" s="84"/>
      <c r="F241" s="84"/>
      <c r="G241" s="84"/>
      <c r="H241" s="84"/>
    </row>
    <row r="242" spans="4:8" ht="15.6">
      <c r="D242" s="84"/>
      <c r="E242" s="84"/>
      <c r="F242" s="84"/>
      <c r="G242" s="84"/>
      <c r="H242" s="84"/>
    </row>
    <row r="243" spans="4:8" ht="15.6">
      <c r="D243" s="84"/>
      <c r="E243" s="84"/>
      <c r="F243" s="84"/>
      <c r="G243" s="84"/>
      <c r="H243" s="84"/>
    </row>
    <row r="244" spans="4:8" ht="15.6">
      <c r="D244" s="84"/>
      <c r="E244" s="84"/>
      <c r="F244" s="84"/>
      <c r="G244" s="84"/>
      <c r="H244" s="84"/>
    </row>
    <row r="245" spans="4:8" ht="15.6">
      <c r="D245" s="84"/>
      <c r="E245" s="84"/>
      <c r="F245" s="84"/>
      <c r="G245" s="84"/>
      <c r="H245" s="84"/>
    </row>
    <row r="246" spans="4:8" ht="15.6">
      <c r="D246" s="84"/>
      <c r="E246" s="84"/>
      <c r="F246" s="84"/>
      <c r="G246" s="84"/>
      <c r="H246" s="84"/>
    </row>
    <row r="247" spans="4:8" ht="15.6">
      <c r="D247" s="84"/>
      <c r="E247" s="84"/>
      <c r="F247" s="84"/>
      <c r="G247" s="84"/>
      <c r="H247" s="84"/>
    </row>
    <row r="248" spans="4:8" ht="15.6">
      <c r="D248" s="84"/>
      <c r="E248" s="84"/>
      <c r="F248" s="84"/>
      <c r="G248" s="84"/>
      <c r="H248" s="84"/>
    </row>
    <row r="249" spans="4:8" ht="15.6">
      <c r="D249" s="84"/>
      <c r="E249" s="84"/>
      <c r="F249" s="84"/>
      <c r="G249" s="84"/>
      <c r="H249" s="84"/>
    </row>
    <row r="250" spans="4:8" ht="15.6">
      <c r="D250" s="84"/>
      <c r="E250" s="84"/>
      <c r="F250" s="84"/>
      <c r="G250" s="84"/>
      <c r="H250" s="84"/>
    </row>
    <row r="251" spans="4:8" ht="15.6">
      <c r="D251" s="84"/>
      <c r="E251" s="84"/>
      <c r="F251" s="84"/>
      <c r="G251" s="84"/>
      <c r="H251" s="84"/>
    </row>
    <row r="252" spans="4:8" ht="15.6">
      <c r="D252" s="84"/>
      <c r="E252" s="84"/>
      <c r="F252" s="84"/>
      <c r="G252" s="84"/>
      <c r="H252" s="84"/>
    </row>
    <row r="253" spans="4:8" ht="15.6">
      <c r="D253" s="84"/>
      <c r="E253" s="84"/>
      <c r="F253" s="84"/>
      <c r="G253" s="84"/>
      <c r="H253" s="84"/>
    </row>
    <row r="254" spans="4:8" ht="15.6">
      <c r="D254" s="84"/>
      <c r="E254" s="84"/>
      <c r="F254" s="84"/>
      <c r="G254" s="84"/>
      <c r="H254" s="84"/>
    </row>
    <row r="255" spans="4:8" ht="15.6">
      <c r="D255" s="84"/>
      <c r="E255" s="84"/>
      <c r="F255" s="84"/>
      <c r="G255" s="84"/>
      <c r="H255" s="84"/>
    </row>
    <row r="256" spans="4:8" ht="15.6">
      <c r="D256" s="84"/>
      <c r="E256" s="84"/>
      <c r="F256" s="84"/>
      <c r="G256" s="84"/>
      <c r="H256" s="84"/>
    </row>
    <row r="257" spans="4:8" ht="15.6">
      <c r="D257" s="84"/>
      <c r="E257" s="84"/>
      <c r="F257" s="84"/>
      <c r="G257" s="84"/>
      <c r="H257" s="84"/>
    </row>
    <row r="258" spans="4:8" ht="15.6">
      <c r="D258" s="84"/>
      <c r="E258" s="84"/>
      <c r="F258" s="84"/>
      <c r="G258" s="84"/>
      <c r="H258" s="84"/>
    </row>
    <row r="259" spans="4:8" ht="15.6">
      <c r="D259" s="84"/>
      <c r="E259" s="84"/>
      <c r="F259" s="84"/>
      <c r="G259" s="84"/>
      <c r="H259" s="84"/>
    </row>
    <row r="260" spans="4:8" ht="15.6">
      <c r="D260" s="84"/>
      <c r="E260" s="84"/>
      <c r="F260" s="84"/>
      <c r="G260" s="84"/>
      <c r="H260" s="84"/>
    </row>
    <row r="261" spans="4:8" ht="15.6">
      <c r="D261" s="84"/>
      <c r="E261" s="84"/>
      <c r="F261" s="84"/>
      <c r="G261" s="84"/>
      <c r="H261" s="84"/>
    </row>
    <row r="262" spans="4:8" ht="15.6">
      <c r="D262" s="84"/>
      <c r="E262" s="84"/>
      <c r="F262" s="84"/>
      <c r="G262" s="84"/>
      <c r="H262" s="84"/>
    </row>
    <row r="263" spans="4:8" ht="15.6">
      <c r="D263" s="84"/>
      <c r="E263" s="84"/>
      <c r="F263" s="84"/>
      <c r="G263" s="84"/>
      <c r="H263" s="84"/>
    </row>
    <row r="264" spans="4:8" ht="15.6">
      <c r="D264" s="84"/>
      <c r="E264" s="84"/>
      <c r="F264" s="84"/>
      <c r="G264" s="84"/>
      <c r="H264" s="84"/>
    </row>
    <row r="265" spans="4:8" ht="15.6">
      <c r="D265" s="84"/>
      <c r="E265" s="84"/>
      <c r="F265" s="84"/>
      <c r="G265" s="84"/>
      <c r="H265" s="84"/>
    </row>
    <row r="266" spans="4:8" ht="15.6">
      <c r="D266" s="84"/>
      <c r="E266" s="84"/>
      <c r="F266" s="84"/>
      <c r="G266" s="84"/>
      <c r="H266" s="84"/>
    </row>
    <row r="267" spans="4:8" ht="15.6">
      <c r="D267" s="84"/>
      <c r="E267" s="84"/>
      <c r="F267" s="84"/>
      <c r="G267" s="84"/>
      <c r="H267" s="84"/>
    </row>
    <row r="268" spans="4:8" ht="15.6">
      <c r="D268" s="84"/>
      <c r="E268" s="84"/>
      <c r="F268" s="84"/>
      <c r="G268" s="84"/>
      <c r="H268" s="84"/>
    </row>
    <row r="269" spans="4:8" ht="15.6">
      <c r="D269" s="84"/>
      <c r="E269" s="84"/>
      <c r="F269" s="84"/>
      <c r="G269" s="84"/>
      <c r="H269" s="84"/>
    </row>
    <row r="270" spans="4:8" ht="15.6">
      <c r="D270" s="84"/>
      <c r="E270" s="84"/>
      <c r="F270" s="84"/>
      <c r="G270" s="84"/>
      <c r="H270" s="84"/>
    </row>
    <row r="271" spans="4:8" ht="15.6">
      <c r="D271" s="84"/>
      <c r="E271" s="84"/>
      <c r="F271" s="84"/>
      <c r="G271" s="84"/>
      <c r="H271" s="84"/>
    </row>
    <row r="272" spans="4:8" ht="15.6">
      <c r="D272" s="84"/>
      <c r="E272" s="84"/>
      <c r="F272" s="84"/>
      <c r="G272" s="84"/>
      <c r="H272" s="84"/>
    </row>
    <row r="273" spans="4:8" ht="15.6">
      <c r="D273" s="84"/>
      <c r="E273" s="84"/>
      <c r="F273" s="84"/>
      <c r="G273" s="84"/>
      <c r="H273" s="84"/>
    </row>
    <row r="274" spans="4:8" ht="15.6">
      <c r="D274" s="84"/>
      <c r="E274" s="84"/>
      <c r="F274" s="84"/>
      <c r="G274" s="84"/>
      <c r="H274" s="84"/>
    </row>
    <row r="275" spans="4:8" ht="15.6">
      <c r="D275" s="84"/>
      <c r="E275" s="84"/>
      <c r="F275" s="84"/>
      <c r="G275" s="84"/>
      <c r="H275" s="84"/>
    </row>
    <row r="276" spans="4:8" ht="15.6">
      <c r="D276" s="84"/>
      <c r="E276" s="84"/>
      <c r="F276" s="84"/>
      <c r="G276" s="84"/>
      <c r="H276" s="84"/>
    </row>
    <row r="277" spans="4:8" ht="15.6">
      <c r="D277" s="84"/>
      <c r="E277" s="84"/>
      <c r="F277" s="84"/>
      <c r="G277" s="84"/>
      <c r="H277" s="84"/>
    </row>
    <row r="278" spans="4:8" ht="15.6">
      <c r="D278" s="84"/>
      <c r="E278" s="84"/>
      <c r="F278" s="84"/>
      <c r="G278" s="84"/>
      <c r="H278" s="84"/>
    </row>
    <row r="279" spans="4:8" ht="15.6">
      <c r="D279" s="84"/>
      <c r="E279" s="84"/>
      <c r="F279" s="84"/>
      <c r="G279" s="84"/>
      <c r="H279" s="84"/>
    </row>
    <row r="280" spans="4:8" ht="15.6">
      <c r="D280" s="84"/>
      <c r="E280" s="84"/>
      <c r="F280" s="84"/>
      <c r="G280" s="84"/>
      <c r="H280" s="84"/>
    </row>
    <row r="281" spans="4:8" ht="15.6">
      <c r="D281" s="84"/>
      <c r="E281" s="84"/>
      <c r="F281" s="84"/>
      <c r="G281" s="84"/>
      <c r="H281" s="84"/>
    </row>
    <row r="282" spans="4:8" ht="15.6">
      <c r="D282" s="84"/>
      <c r="E282" s="84"/>
      <c r="F282" s="84"/>
      <c r="G282" s="84"/>
      <c r="H282" s="84"/>
    </row>
    <row r="283" spans="4:8" ht="15.6">
      <c r="D283" s="84"/>
      <c r="E283" s="84"/>
      <c r="F283" s="84"/>
      <c r="G283" s="84"/>
      <c r="H283" s="84"/>
    </row>
    <row r="284" spans="4:8" ht="15.6">
      <c r="D284" s="84"/>
      <c r="E284" s="84"/>
      <c r="F284" s="84"/>
      <c r="G284" s="84"/>
      <c r="H284" s="84"/>
    </row>
    <row r="285" spans="4:8" ht="15.6">
      <c r="D285" s="84"/>
      <c r="E285" s="84"/>
      <c r="F285" s="84"/>
      <c r="G285" s="84"/>
      <c r="H285" s="84"/>
    </row>
    <row r="286" spans="4:8" ht="15.6">
      <c r="D286" s="84"/>
      <c r="E286" s="84"/>
      <c r="F286" s="84"/>
      <c r="G286" s="84"/>
      <c r="H286" s="84"/>
    </row>
    <row r="287" spans="4:8" ht="15.6">
      <c r="D287" s="84"/>
      <c r="E287" s="84"/>
      <c r="F287" s="84"/>
      <c r="G287" s="84"/>
      <c r="H287" s="84"/>
    </row>
    <row r="288" spans="4:8" ht="15.6">
      <c r="D288" s="84"/>
      <c r="E288" s="84"/>
      <c r="F288" s="84"/>
      <c r="G288" s="84"/>
      <c r="H288" s="84"/>
    </row>
    <row r="289" spans="4:8" ht="15.6">
      <c r="D289" s="84"/>
      <c r="E289" s="84"/>
      <c r="F289" s="84"/>
      <c r="G289" s="84"/>
      <c r="H289" s="84"/>
    </row>
    <row r="290" spans="4:8" ht="15.6">
      <c r="D290" s="84"/>
      <c r="E290" s="84"/>
      <c r="F290" s="84"/>
      <c r="G290" s="84"/>
      <c r="H290" s="84"/>
    </row>
    <row r="291" spans="4:8" ht="15.6">
      <c r="D291" s="84"/>
      <c r="E291" s="84"/>
      <c r="F291" s="84"/>
      <c r="G291" s="84"/>
      <c r="H291" s="84"/>
    </row>
    <row r="292" spans="4:8" ht="15.6">
      <c r="D292" s="84"/>
      <c r="E292" s="84"/>
      <c r="F292" s="84"/>
      <c r="G292" s="84"/>
      <c r="H292" s="84"/>
    </row>
    <row r="293" spans="4:8" ht="15.6">
      <c r="D293" s="84"/>
      <c r="E293" s="84"/>
      <c r="F293" s="84"/>
      <c r="G293" s="84"/>
      <c r="H293" s="84"/>
    </row>
    <row r="294" spans="4:8" ht="15.6">
      <c r="D294" s="84"/>
      <c r="E294" s="84"/>
      <c r="F294" s="84"/>
      <c r="G294" s="84"/>
      <c r="H294" s="84"/>
    </row>
    <row r="295" spans="4:8" ht="15.6">
      <c r="D295" s="84"/>
      <c r="E295" s="84"/>
      <c r="F295" s="84"/>
      <c r="G295" s="84"/>
      <c r="H295" s="84"/>
    </row>
    <row r="296" spans="4:8" ht="15.6">
      <c r="D296" s="84"/>
      <c r="E296" s="84"/>
      <c r="F296" s="84"/>
      <c r="G296" s="84"/>
      <c r="H296" s="84"/>
    </row>
    <row r="297" spans="4:8" ht="15.6">
      <c r="D297" s="84"/>
      <c r="E297" s="84"/>
      <c r="F297" s="84"/>
      <c r="G297" s="84"/>
      <c r="H297" s="84"/>
    </row>
    <row r="298" spans="4:8" ht="15.6">
      <c r="D298" s="84"/>
      <c r="E298" s="84"/>
      <c r="F298" s="84"/>
      <c r="G298" s="84"/>
      <c r="H298" s="84"/>
    </row>
    <row r="299" spans="4:8" ht="15.6">
      <c r="D299" s="84"/>
      <c r="E299" s="84"/>
      <c r="F299" s="84"/>
      <c r="G299" s="84"/>
      <c r="H299" s="84"/>
    </row>
    <row r="300" spans="4:8" ht="15.6">
      <c r="D300" s="84"/>
      <c r="E300" s="84"/>
      <c r="F300" s="84"/>
      <c r="G300" s="84"/>
      <c r="H300" s="84"/>
    </row>
    <row r="301" spans="4:8" ht="15.6">
      <c r="D301" s="84"/>
      <c r="E301" s="84"/>
      <c r="F301" s="84"/>
      <c r="G301" s="84"/>
      <c r="H301" s="84"/>
    </row>
    <row r="302" spans="4:8" ht="15.6">
      <c r="D302" s="84"/>
      <c r="E302" s="84"/>
      <c r="F302" s="84"/>
      <c r="G302" s="84"/>
      <c r="H302" s="84"/>
    </row>
    <row r="303" spans="4:8" ht="15.6">
      <c r="D303" s="84"/>
      <c r="E303" s="84"/>
      <c r="F303" s="84"/>
      <c r="G303" s="84"/>
      <c r="H303" s="84"/>
    </row>
    <row r="304" spans="4:8" ht="15.6">
      <c r="D304" s="84"/>
      <c r="E304" s="84"/>
      <c r="F304" s="84"/>
      <c r="G304" s="84"/>
      <c r="H304" s="84"/>
    </row>
    <row r="305" spans="4:8" ht="15.6">
      <c r="D305" s="84"/>
      <c r="E305" s="84"/>
      <c r="F305" s="84"/>
      <c r="G305" s="84"/>
      <c r="H305" s="84"/>
    </row>
    <row r="306" spans="4:8" ht="15.6">
      <c r="D306" s="84"/>
      <c r="E306" s="84"/>
      <c r="F306" s="84"/>
      <c r="G306" s="84"/>
      <c r="H306" s="84"/>
    </row>
    <row r="307" spans="4:8" ht="15.6">
      <c r="D307" s="84"/>
      <c r="E307" s="84"/>
      <c r="F307" s="84"/>
      <c r="G307" s="84"/>
      <c r="H307" s="84"/>
    </row>
    <row r="308" spans="4:8" ht="15.6">
      <c r="D308" s="84"/>
      <c r="E308" s="84"/>
      <c r="F308" s="84"/>
      <c r="G308" s="84"/>
      <c r="H308" s="84"/>
    </row>
    <row r="309" spans="4:8" ht="15.6">
      <c r="D309" s="84"/>
      <c r="E309" s="84"/>
      <c r="F309" s="84"/>
      <c r="G309" s="84"/>
      <c r="H309" s="84"/>
    </row>
    <row r="310" spans="4:8" ht="15.6">
      <c r="D310" s="84"/>
      <c r="E310" s="84"/>
      <c r="F310" s="84"/>
      <c r="G310" s="84"/>
      <c r="H310" s="84"/>
    </row>
    <row r="311" spans="4:8" ht="15.6">
      <c r="D311" s="84"/>
      <c r="E311" s="84"/>
      <c r="F311" s="84"/>
      <c r="G311" s="84"/>
      <c r="H311" s="84"/>
    </row>
    <row r="312" spans="4:8" ht="15.6">
      <c r="D312" s="84"/>
      <c r="E312" s="84"/>
      <c r="F312" s="84"/>
      <c r="G312" s="84"/>
      <c r="H312" s="84"/>
    </row>
    <row r="313" spans="4:8" ht="15.6">
      <c r="D313" s="84"/>
      <c r="E313" s="84"/>
      <c r="F313" s="84"/>
      <c r="G313" s="84"/>
      <c r="H313" s="84"/>
    </row>
    <row r="314" spans="4:8" ht="15.6">
      <c r="D314" s="84"/>
      <c r="E314" s="84"/>
      <c r="F314" s="84"/>
      <c r="G314" s="84"/>
      <c r="H314" s="84"/>
    </row>
    <row r="315" spans="4:8" ht="15.6">
      <c r="D315" s="84"/>
      <c r="E315" s="84"/>
      <c r="F315" s="84"/>
      <c r="G315" s="84"/>
      <c r="H315" s="84"/>
    </row>
    <row r="316" spans="4:8" ht="15.6">
      <c r="D316" s="84"/>
      <c r="E316" s="84"/>
      <c r="F316" s="84"/>
      <c r="G316" s="84"/>
      <c r="H316" s="84"/>
    </row>
    <row r="317" spans="4:8" ht="15.6">
      <c r="D317" s="84"/>
      <c r="E317" s="84"/>
      <c r="F317" s="84"/>
      <c r="G317" s="84"/>
      <c r="H317" s="84"/>
    </row>
    <row r="318" spans="4:8" ht="15.6">
      <c r="D318" s="84"/>
      <c r="E318" s="84"/>
      <c r="F318" s="84"/>
      <c r="G318" s="84"/>
      <c r="H318" s="84"/>
    </row>
    <row r="319" spans="4:8" ht="15.6">
      <c r="D319" s="84"/>
      <c r="E319" s="84"/>
      <c r="F319" s="84"/>
      <c r="G319" s="84"/>
      <c r="H319" s="84"/>
    </row>
    <row r="320" spans="4:8" ht="15.6">
      <c r="D320" s="84"/>
      <c r="E320" s="84"/>
      <c r="F320" s="84"/>
      <c r="G320" s="84"/>
      <c r="H320" s="84"/>
    </row>
    <row r="321" spans="4:8" ht="15.6">
      <c r="D321" s="84"/>
      <c r="E321" s="84"/>
      <c r="F321" s="84"/>
      <c r="G321" s="84"/>
      <c r="H321" s="84"/>
    </row>
    <row r="322" spans="4:8" ht="15.6">
      <c r="D322" s="84"/>
      <c r="E322" s="84"/>
      <c r="F322" s="84"/>
      <c r="G322" s="84"/>
      <c r="H322" s="84"/>
    </row>
    <row r="323" spans="4:8" ht="15.6">
      <c r="D323" s="84"/>
      <c r="E323" s="84"/>
      <c r="F323" s="84"/>
      <c r="G323" s="84"/>
      <c r="H323" s="84"/>
    </row>
    <row r="324" spans="4:8" ht="15.6">
      <c r="D324" s="84"/>
      <c r="E324" s="84"/>
      <c r="F324" s="84"/>
      <c r="G324" s="84"/>
      <c r="H324" s="84"/>
    </row>
    <row r="325" spans="4:8" ht="15.6">
      <c r="D325" s="84"/>
      <c r="E325" s="84"/>
      <c r="F325" s="84"/>
      <c r="G325" s="84"/>
      <c r="H325" s="84"/>
    </row>
    <row r="326" spans="4:8" ht="15.6">
      <c r="D326" s="84"/>
      <c r="E326" s="84"/>
      <c r="F326" s="84"/>
      <c r="G326" s="84"/>
      <c r="H326" s="84"/>
    </row>
    <row r="327" spans="4:8" ht="15.6">
      <c r="D327" s="84"/>
      <c r="E327" s="84"/>
      <c r="F327" s="84"/>
      <c r="G327" s="84"/>
      <c r="H327" s="84"/>
    </row>
    <row r="328" spans="4:8" ht="15.6">
      <c r="D328" s="84"/>
      <c r="E328" s="84"/>
      <c r="F328" s="84"/>
      <c r="G328" s="84"/>
      <c r="H328" s="84"/>
    </row>
    <row r="329" spans="4:8" ht="15.6">
      <c r="D329" s="84"/>
      <c r="E329" s="84"/>
      <c r="F329" s="84"/>
      <c r="G329" s="84"/>
      <c r="H329" s="84"/>
    </row>
    <row r="330" spans="4:8" ht="15.6">
      <c r="D330" s="84"/>
      <c r="E330" s="84"/>
      <c r="F330" s="84"/>
      <c r="G330" s="84"/>
      <c r="H330" s="84"/>
    </row>
    <row r="331" spans="4:8" ht="15.6">
      <c r="D331" s="84"/>
      <c r="E331" s="84"/>
      <c r="F331" s="84"/>
      <c r="G331" s="84"/>
      <c r="H331" s="84"/>
    </row>
    <row r="332" spans="4:8" ht="15.6">
      <c r="D332" s="84"/>
      <c r="E332" s="84"/>
      <c r="F332" s="84"/>
      <c r="G332" s="84"/>
      <c r="H332" s="84"/>
    </row>
    <row r="333" spans="4:8" ht="15.6">
      <c r="D333" s="84"/>
      <c r="E333" s="84"/>
      <c r="F333" s="84"/>
      <c r="G333" s="84"/>
      <c r="H333" s="84"/>
    </row>
    <row r="334" spans="4:8" ht="15.6">
      <c r="D334" s="84"/>
      <c r="E334" s="84"/>
      <c r="F334" s="84"/>
      <c r="G334" s="84"/>
      <c r="H334" s="84"/>
    </row>
    <row r="335" spans="4:8" ht="15.6">
      <c r="D335" s="84"/>
      <c r="E335" s="84"/>
      <c r="F335" s="84"/>
      <c r="G335" s="84"/>
      <c r="H335" s="84"/>
    </row>
    <row r="336" spans="4:8" ht="15.6">
      <c r="D336" s="84"/>
      <c r="E336" s="84"/>
      <c r="F336" s="84"/>
      <c r="G336" s="84"/>
      <c r="H336" s="84"/>
    </row>
    <row r="337" spans="4:8" ht="15.6">
      <c r="D337" s="84"/>
      <c r="E337" s="84"/>
      <c r="F337" s="84"/>
      <c r="G337" s="84"/>
      <c r="H337" s="84"/>
    </row>
    <row r="338" spans="4:8" ht="15.6">
      <c r="D338" s="84"/>
      <c r="E338" s="84"/>
      <c r="F338" s="84"/>
      <c r="G338" s="84"/>
      <c r="H338" s="84"/>
    </row>
    <row r="339" spans="4:8" ht="15.6">
      <c r="D339" s="84"/>
      <c r="E339" s="84"/>
      <c r="F339" s="84"/>
      <c r="G339" s="84"/>
      <c r="H339" s="84"/>
    </row>
    <row r="340" spans="4:8" ht="15.6">
      <c r="D340" s="84"/>
      <c r="E340" s="84"/>
      <c r="F340" s="84"/>
      <c r="G340" s="84"/>
      <c r="H340" s="84"/>
    </row>
    <row r="341" spans="4:8" ht="15.6">
      <c r="D341" s="84"/>
      <c r="E341" s="84"/>
      <c r="F341" s="84"/>
      <c r="G341" s="84"/>
      <c r="H341" s="84"/>
    </row>
    <row r="342" spans="4:8" ht="15.6">
      <c r="D342" s="84"/>
      <c r="E342" s="84"/>
      <c r="F342" s="84"/>
      <c r="G342" s="84"/>
      <c r="H342" s="84"/>
    </row>
    <row r="343" spans="4:8" ht="15.6">
      <c r="D343" s="84"/>
      <c r="E343" s="84"/>
      <c r="F343" s="84"/>
      <c r="G343" s="84"/>
      <c r="H343" s="84"/>
    </row>
    <row r="344" spans="4:8" ht="15.6">
      <c r="D344" s="84"/>
      <c r="E344" s="84"/>
      <c r="F344" s="84"/>
      <c r="G344" s="84"/>
      <c r="H344" s="84"/>
    </row>
    <row r="345" spans="4:8" ht="15.6">
      <c r="D345" s="84"/>
      <c r="E345" s="84"/>
      <c r="F345" s="84"/>
      <c r="G345" s="84"/>
      <c r="H345" s="84"/>
    </row>
    <row r="346" spans="4:8" ht="15.6">
      <c r="D346" s="84"/>
      <c r="E346" s="84"/>
      <c r="F346" s="84"/>
      <c r="G346" s="84"/>
      <c r="H346" s="84"/>
    </row>
    <row r="347" spans="4:8" ht="15.6">
      <c r="D347" s="84"/>
      <c r="E347" s="84"/>
      <c r="F347" s="84"/>
      <c r="G347" s="84"/>
      <c r="H347" s="84"/>
    </row>
    <row r="348" spans="4:8" ht="15.6">
      <c r="D348" s="84"/>
      <c r="E348" s="84"/>
      <c r="F348" s="84"/>
      <c r="G348" s="84"/>
      <c r="H348" s="84"/>
    </row>
    <row r="349" spans="4:8" ht="15.6">
      <c r="D349" s="84"/>
      <c r="E349" s="84"/>
      <c r="F349" s="84"/>
      <c r="G349" s="84"/>
      <c r="H349" s="84"/>
    </row>
    <row r="350" spans="4:8" ht="15.6">
      <c r="D350" s="84"/>
      <c r="E350" s="84"/>
      <c r="F350" s="84"/>
      <c r="G350" s="84"/>
      <c r="H350" s="84"/>
    </row>
    <row r="351" spans="4:8" ht="15.6">
      <c r="D351" s="84"/>
      <c r="E351" s="84"/>
      <c r="F351" s="84"/>
      <c r="G351" s="84"/>
      <c r="H351" s="84"/>
    </row>
    <row r="352" spans="4:8" ht="15.6">
      <c r="D352" s="84"/>
      <c r="E352" s="84"/>
      <c r="F352" s="84"/>
      <c r="G352" s="84"/>
      <c r="H352" s="84"/>
    </row>
    <row r="353" spans="4:8" ht="15.6">
      <c r="D353" s="84"/>
      <c r="E353" s="84"/>
      <c r="F353" s="84"/>
      <c r="G353" s="84"/>
      <c r="H353" s="84"/>
    </row>
    <row r="354" spans="4:8" ht="15.6">
      <c r="D354" s="84"/>
      <c r="E354" s="84"/>
      <c r="F354" s="84"/>
      <c r="G354" s="84"/>
      <c r="H354" s="84"/>
    </row>
    <row r="355" spans="4:8" ht="15.6">
      <c r="D355" s="84"/>
      <c r="E355" s="84"/>
      <c r="F355" s="84"/>
      <c r="G355" s="84"/>
      <c r="H355" s="84"/>
    </row>
    <row r="356" spans="4:8" ht="15.6">
      <c r="D356" s="84"/>
      <c r="E356" s="84"/>
      <c r="F356" s="84"/>
      <c r="G356" s="84"/>
      <c r="H356" s="84"/>
    </row>
    <row r="357" spans="4:8" ht="15.6">
      <c r="D357" s="84"/>
      <c r="E357" s="84"/>
      <c r="F357" s="84"/>
      <c r="G357" s="84"/>
      <c r="H357" s="84"/>
    </row>
    <row r="358" spans="4:8" ht="15.6">
      <c r="D358" s="84"/>
      <c r="E358" s="84"/>
      <c r="F358" s="84"/>
      <c r="G358" s="84"/>
      <c r="H358" s="84"/>
    </row>
    <row r="359" spans="4:8" ht="15.6">
      <c r="D359" s="84"/>
      <c r="E359" s="84"/>
      <c r="F359" s="84"/>
      <c r="G359" s="84"/>
      <c r="H359" s="84"/>
    </row>
    <row r="360" spans="4:8" ht="15.6">
      <c r="D360" s="84"/>
      <c r="E360" s="84"/>
      <c r="F360" s="84"/>
      <c r="G360" s="84"/>
      <c r="H360" s="84"/>
    </row>
    <row r="361" spans="4:8" ht="15.6">
      <c r="D361" s="84"/>
      <c r="E361" s="84"/>
      <c r="F361" s="84"/>
      <c r="G361" s="84"/>
      <c r="H361" s="84"/>
    </row>
    <row r="362" spans="4:8" ht="15.6">
      <c r="D362" s="84"/>
      <c r="E362" s="84"/>
      <c r="F362" s="84"/>
      <c r="G362" s="84"/>
      <c r="H362" s="84"/>
    </row>
    <row r="363" spans="4:8" ht="15.6">
      <c r="D363" s="84"/>
      <c r="E363" s="84"/>
      <c r="F363" s="84"/>
      <c r="G363" s="84"/>
      <c r="H363" s="84"/>
    </row>
    <row r="364" spans="4:8" ht="15.6">
      <c r="D364" s="84"/>
      <c r="E364" s="84"/>
      <c r="F364" s="84"/>
      <c r="G364" s="84"/>
      <c r="H364" s="84"/>
    </row>
    <row r="365" spans="4:8" ht="15.6">
      <c r="D365" s="84"/>
      <c r="E365" s="84"/>
      <c r="F365" s="84"/>
      <c r="G365" s="84"/>
      <c r="H365" s="84"/>
    </row>
    <row r="366" spans="4:8" ht="15.6">
      <c r="D366" s="84"/>
      <c r="E366" s="84"/>
      <c r="F366" s="84"/>
      <c r="G366" s="84"/>
      <c r="H366" s="84"/>
    </row>
    <row r="367" spans="4:8" ht="15.6">
      <c r="D367" s="84"/>
      <c r="E367" s="84"/>
      <c r="F367" s="84"/>
      <c r="G367" s="84"/>
      <c r="H367" s="84"/>
    </row>
    <row r="368" spans="4:8" ht="15.6">
      <c r="D368" s="84"/>
      <c r="E368" s="84"/>
      <c r="F368" s="84"/>
      <c r="G368" s="84"/>
      <c r="H368" s="84"/>
    </row>
    <row r="369" spans="4:8" ht="15.6">
      <c r="D369" s="84"/>
      <c r="E369" s="84"/>
      <c r="F369" s="84"/>
      <c r="G369" s="84"/>
      <c r="H369" s="84"/>
    </row>
    <row r="370" spans="4:8" ht="15.6">
      <c r="D370" s="84"/>
      <c r="E370" s="84"/>
      <c r="F370" s="84"/>
      <c r="G370" s="84"/>
      <c r="H370" s="84"/>
    </row>
    <row r="371" spans="4:8" ht="15.6">
      <c r="D371" s="84"/>
      <c r="E371" s="84"/>
      <c r="F371" s="84"/>
      <c r="G371" s="84"/>
      <c r="H371" s="84"/>
    </row>
    <row r="372" spans="4:8" ht="15.6">
      <c r="D372" s="84"/>
      <c r="E372" s="84"/>
      <c r="F372" s="84"/>
      <c r="G372" s="84"/>
      <c r="H372" s="84"/>
    </row>
    <row r="373" spans="4:8" ht="15.6">
      <c r="D373" s="84"/>
      <c r="E373" s="84"/>
      <c r="F373" s="84"/>
      <c r="G373" s="84"/>
      <c r="H373" s="84"/>
    </row>
    <row r="374" spans="4:8" ht="15.6">
      <c r="D374" s="84"/>
      <c r="E374" s="84"/>
      <c r="F374" s="84"/>
      <c r="G374" s="84"/>
      <c r="H374" s="84"/>
    </row>
    <row r="375" spans="4:8" ht="15.6">
      <c r="D375" s="84"/>
      <c r="E375" s="84"/>
      <c r="F375" s="84"/>
      <c r="G375" s="84"/>
      <c r="H375" s="84"/>
    </row>
    <row r="376" spans="4:8" ht="15.6">
      <c r="D376" s="84"/>
      <c r="E376" s="84"/>
      <c r="F376" s="84"/>
      <c r="G376" s="84"/>
      <c r="H376" s="84"/>
    </row>
    <row r="377" spans="4:8" ht="15.6">
      <c r="D377" s="84"/>
      <c r="E377" s="84"/>
      <c r="F377" s="84"/>
      <c r="G377" s="84"/>
      <c r="H377" s="84"/>
    </row>
    <row r="378" spans="4:8" ht="15.6">
      <c r="D378" s="84"/>
      <c r="E378" s="84"/>
      <c r="F378" s="84"/>
      <c r="G378" s="84"/>
      <c r="H378" s="84"/>
    </row>
    <row r="379" spans="4:8" ht="15.6">
      <c r="D379" s="84"/>
      <c r="E379" s="84"/>
      <c r="F379" s="84"/>
      <c r="G379" s="84"/>
      <c r="H379" s="84"/>
    </row>
    <row r="380" spans="4:8" ht="15.6">
      <c r="D380" s="84"/>
      <c r="E380" s="84"/>
      <c r="F380" s="84"/>
      <c r="G380" s="84"/>
      <c r="H380" s="84"/>
    </row>
    <row r="381" spans="4:8" ht="15.6">
      <c r="D381" s="84"/>
      <c r="E381" s="84"/>
      <c r="F381" s="84"/>
      <c r="G381" s="84"/>
      <c r="H381" s="84"/>
    </row>
    <row r="382" spans="4:8" ht="15.6">
      <c r="D382" s="84"/>
      <c r="E382" s="84"/>
      <c r="F382" s="84"/>
      <c r="G382" s="84"/>
      <c r="H382" s="84"/>
    </row>
    <row r="383" spans="4:8" ht="15.6">
      <c r="D383" s="84"/>
      <c r="E383" s="84"/>
      <c r="F383" s="84"/>
      <c r="G383" s="84"/>
      <c r="H383" s="84"/>
    </row>
    <row r="384" spans="4:8" ht="15.6">
      <c r="D384" s="84"/>
      <c r="E384" s="84"/>
      <c r="F384" s="84"/>
      <c r="G384" s="84"/>
      <c r="H384" s="84"/>
    </row>
    <row r="385" spans="4:8" ht="15.6">
      <c r="D385" s="84"/>
      <c r="E385" s="84"/>
      <c r="F385" s="84"/>
      <c r="G385" s="84"/>
      <c r="H385" s="84"/>
    </row>
    <row r="386" spans="4:8" ht="15.6">
      <c r="D386" s="84"/>
      <c r="E386" s="84"/>
      <c r="F386" s="84"/>
      <c r="G386" s="84"/>
      <c r="H386" s="84"/>
    </row>
    <row r="387" spans="4:8" ht="15.6">
      <c r="D387" s="84"/>
      <c r="E387" s="84"/>
      <c r="F387" s="84"/>
      <c r="G387" s="84"/>
      <c r="H387" s="84"/>
    </row>
    <row r="388" spans="4:8" ht="15.6">
      <c r="D388" s="84"/>
      <c r="E388" s="84"/>
      <c r="F388" s="84"/>
      <c r="G388" s="84"/>
      <c r="H388" s="84"/>
    </row>
    <row r="389" spans="4:8" ht="15.6">
      <c r="D389" s="84"/>
      <c r="E389" s="84"/>
      <c r="F389" s="84"/>
      <c r="G389" s="84"/>
      <c r="H389" s="84"/>
    </row>
    <row r="390" spans="4:8" ht="15.6">
      <c r="D390" s="84"/>
      <c r="E390" s="84"/>
      <c r="F390" s="84"/>
      <c r="G390" s="84"/>
      <c r="H390" s="84"/>
    </row>
    <row r="391" spans="4:8" ht="15.6">
      <c r="D391" s="84"/>
      <c r="E391" s="84"/>
      <c r="F391" s="84"/>
      <c r="G391" s="84"/>
      <c r="H391" s="84"/>
    </row>
    <row r="392" spans="4:8" ht="15.6">
      <c r="D392" s="84"/>
      <c r="E392" s="84"/>
      <c r="F392" s="84"/>
      <c r="G392" s="84"/>
      <c r="H392" s="84"/>
    </row>
    <row r="393" spans="4:8" ht="15.6">
      <c r="D393" s="84"/>
      <c r="E393" s="84"/>
      <c r="F393" s="84"/>
      <c r="G393" s="84"/>
      <c r="H393" s="84"/>
    </row>
    <row r="394" spans="4:8" ht="15.6">
      <c r="D394" s="84"/>
      <c r="E394" s="84"/>
      <c r="F394" s="84"/>
      <c r="G394" s="84"/>
      <c r="H394" s="84"/>
    </row>
    <row r="395" spans="4:8" ht="15.6">
      <c r="D395" s="84"/>
      <c r="E395" s="84"/>
      <c r="F395" s="84"/>
      <c r="G395" s="84"/>
      <c r="H395" s="84"/>
    </row>
    <row r="396" spans="4:8" ht="15.6">
      <c r="D396" s="84"/>
      <c r="E396" s="84"/>
      <c r="F396" s="84"/>
      <c r="G396" s="84"/>
      <c r="H396" s="84"/>
    </row>
    <row r="397" spans="4:8" ht="15.6">
      <c r="D397" s="84"/>
      <c r="E397" s="84"/>
      <c r="F397" s="84"/>
      <c r="G397" s="84"/>
      <c r="H397" s="84"/>
    </row>
    <row r="398" spans="4:8" ht="15.6">
      <c r="D398" s="84"/>
      <c r="E398" s="84"/>
      <c r="F398" s="84"/>
      <c r="G398" s="84"/>
      <c r="H398" s="84"/>
    </row>
    <row r="399" spans="4:8" ht="15.6">
      <c r="D399" s="84"/>
      <c r="E399" s="84"/>
      <c r="F399" s="84"/>
      <c r="G399" s="84"/>
      <c r="H399" s="84"/>
    </row>
    <row r="400" spans="4:8" ht="15.6">
      <c r="D400" s="84"/>
      <c r="E400" s="84"/>
      <c r="F400" s="84"/>
      <c r="G400" s="84"/>
      <c r="H400" s="84"/>
    </row>
    <row r="401" spans="4:8" ht="15.6">
      <c r="D401" s="84"/>
      <c r="E401" s="84"/>
      <c r="F401" s="84"/>
      <c r="G401" s="84"/>
      <c r="H401" s="84"/>
    </row>
    <row r="402" spans="4:8" ht="15.6">
      <c r="D402" s="84"/>
      <c r="E402" s="84"/>
      <c r="F402" s="84"/>
      <c r="G402" s="84"/>
      <c r="H402" s="84"/>
    </row>
    <row r="403" spans="4:8" ht="15.6">
      <c r="D403" s="84"/>
      <c r="E403" s="84"/>
      <c r="F403" s="84"/>
      <c r="G403" s="84"/>
      <c r="H403" s="84"/>
    </row>
    <row r="404" spans="4:8" ht="15.6">
      <c r="D404" s="84"/>
      <c r="E404" s="84"/>
      <c r="F404" s="84"/>
      <c r="G404" s="84"/>
      <c r="H404" s="84"/>
    </row>
    <row r="405" spans="4:8" ht="15.6">
      <c r="D405" s="84"/>
      <c r="E405" s="84"/>
      <c r="F405" s="84"/>
      <c r="G405" s="84"/>
      <c r="H405" s="84"/>
    </row>
    <row r="406" spans="4:8" ht="15.6">
      <c r="D406" s="84"/>
      <c r="E406" s="84"/>
      <c r="F406" s="84"/>
      <c r="G406" s="84"/>
      <c r="H406" s="84"/>
    </row>
    <row r="407" spans="4:8" ht="15.6">
      <c r="D407" s="84"/>
      <c r="E407" s="84"/>
      <c r="F407" s="84"/>
      <c r="G407" s="84"/>
      <c r="H407" s="84"/>
    </row>
    <row r="408" spans="4:8" ht="15.6">
      <c r="D408" s="84"/>
      <c r="E408" s="84"/>
      <c r="F408" s="84"/>
      <c r="G408" s="84"/>
      <c r="H408" s="84"/>
    </row>
    <row r="409" spans="4:8" ht="15.6">
      <c r="D409" s="84"/>
      <c r="E409" s="84"/>
      <c r="F409" s="84"/>
      <c r="G409" s="84"/>
      <c r="H409" s="84"/>
    </row>
    <row r="410" spans="4:8" ht="15.6">
      <c r="D410" s="84"/>
      <c r="E410" s="84"/>
      <c r="F410" s="84"/>
      <c r="G410" s="84"/>
      <c r="H410" s="84"/>
    </row>
    <row r="411" spans="4:8" ht="15.6">
      <c r="D411" s="84"/>
      <c r="E411" s="84"/>
      <c r="F411" s="84"/>
      <c r="G411" s="84"/>
      <c r="H411" s="84"/>
    </row>
    <row r="412" spans="4:8" ht="15.6">
      <c r="D412" s="84"/>
      <c r="E412" s="84"/>
      <c r="F412" s="84"/>
      <c r="G412" s="84"/>
      <c r="H412" s="84"/>
    </row>
    <row r="413" spans="4:8" ht="15.6">
      <c r="D413" s="84"/>
      <c r="E413" s="84"/>
      <c r="F413" s="84"/>
      <c r="G413" s="84"/>
      <c r="H413" s="84"/>
    </row>
    <row r="414" spans="4:8" ht="15.6">
      <c r="D414" s="84"/>
      <c r="E414" s="84"/>
      <c r="F414" s="84"/>
      <c r="G414" s="84"/>
      <c r="H414" s="84"/>
    </row>
    <row r="415" spans="4:8" ht="15.6">
      <c r="D415" s="84"/>
      <c r="E415" s="84"/>
      <c r="F415" s="84"/>
      <c r="G415" s="84"/>
      <c r="H415" s="84"/>
    </row>
    <row r="416" spans="4:8" ht="15.6">
      <c r="D416" s="84"/>
      <c r="E416" s="84"/>
      <c r="F416" s="84"/>
      <c r="G416" s="84"/>
      <c r="H416" s="84"/>
    </row>
    <row r="417" spans="4:8" ht="15.6">
      <c r="D417" s="84"/>
      <c r="E417" s="84"/>
      <c r="F417" s="84"/>
      <c r="G417" s="84"/>
      <c r="H417" s="84"/>
    </row>
    <row r="418" spans="4:8" ht="15.6">
      <c r="D418" s="84"/>
      <c r="E418" s="84"/>
      <c r="F418" s="84"/>
      <c r="G418" s="84"/>
      <c r="H418" s="84"/>
    </row>
    <row r="419" spans="4:8" ht="15.6">
      <c r="D419" s="84"/>
      <c r="E419" s="84"/>
      <c r="F419" s="84"/>
      <c r="G419" s="84"/>
      <c r="H419" s="84"/>
    </row>
    <row r="420" spans="4:8" ht="15.6">
      <c r="D420" s="84"/>
      <c r="E420" s="84"/>
      <c r="F420" s="84"/>
      <c r="G420" s="84"/>
      <c r="H420" s="84"/>
    </row>
    <row r="421" spans="4:8" ht="15.6">
      <c r="D421" s="84"/>
      <c r="E421" s="84"/>
      <c r="F421" s="84"/>
      <c r="G421" s="84"/>
      <c r="H421" s="84"/>
    </row>
    <row r="422" spans="4:8" ht="15.6">
      <c r="D422" s="84"/>
      <c r="E422" s="84"/>
      <c r="F422" s="84"/>
      <c r="G422" s="84"/>
      <c r="H422" s="84"/>
    </row>
    <row r="423" spans="4:8" ht="15.6">
      <c r="D423" s="84"/>
      <c r="E423" s="84"/>
      <c r="F423" s="84"/>
      <c r="G423" s="84"/>
      <c r="H423" s="84"/>
    </row>
    <row r="424" spans="4:8" ht="15.6">
      <c r="D424" s="84"/>
      <c r="E424" s="84"/>
      <c r="F424" s="84"/>
      <c r="G424" s="84"/>
      <c r="H424" s="84"/>
    </row>
    <row r="425" spans="4:8" ht="15.6">
      <c r="D425" s="84"/>
      <c r="E425" s="84"/>
      <c r="F425" s="84"/>
      <c r="G425" s="84"/>
      <c r="H425" s="84"/>
    </row>
    <row r="426" spans="4:8" ht="15.6">
      <c r="D426" s="84"/>
      <c r="E426" s="84"/>
      <c r="F426" s="84"/>
      <c r="G426" s="84"/>
      <c r="H426" s="84"/>
    </row>
    <row r="427" spans="4:8" ht="15.6">
      <c r="D427" s="84"/>
      <c r="E427" s="84"/>
      <c r="F427" s="84"/>
      <c r="G427" s="84"/>
      <c r="H427" s="84"/>
    </row>
    <row r="428" spans="4:8" ht="15.6">
      <c r="D428" s="84"/>
      <c r="E428" s="84"/>
      <c r="F428" s="84"/>
      <c r="G428" s="84"/>
      <c r="H428" s="84"/>
    </row>
    <row r="429" spans="4:8" ht="15.6">
      <c r="D429" s="84"/>
      <c r="E429" s="84"/>
      <c r="F429" s="84"/>
      <c r="G429" s="84"/>
      <c r="H429" s="84"/>
    </row>
    <row r="430" spans="4:8" ht="15.6">
      <c r="D430" s="84"/>
      <c r="E430" s="84"/>
      <c r="F430" s="84"/>
      <c r="G430" s="84"/>
      <c r="H430" s="84"/>
    </row>
    <row r="431" spans="4:8" ht="15.6">
      <c r="D431" s="84"/>
      <c r="E431" s="84"/>
      <c r="F431" s="84"/>
      <c r="G431" s="84"/>
      <c r="H431" s="84"/>
    </row>
    <row r="432" spans="4:8" ht="15.6">
      <c r="D432" s="84"/>
      <c r="E432" s="84"/>
      <c r="F432" s="84"/>
      <c r="G432" s="84"/>
      <c r="H432" s="84"/>
    </row>
    <row r="433" spans="4:8" ht="15.6">
      <c r="D433" s="84"/>
      <c r="E433" s="84"/>
      <c r="F433" s="84"/>
      <c r="G433" s="84"/>
      <c r="H433" s="84"/>
    </row>
    <row r="434" spans="4:8" ht="15.6">
      <c r="D434" s="84"/>
      <c r="E434" s="84"/>
      <c r="F434" s="84"/>
      <c r="G434" s="84"/>
      <c r="H434" s="84"/>
    </row>
    <row r="435" spans="4:8" ht="15.6">
      <c r="D435" s="84"/>
      <c r="E435" s="84"/>
      <c r="F435" s="84"/>
      <c r="G435" s="84"/>
      <c r="H435" s="84"/>
    </row>
    <row r="436" spans="4:8" ht="15.6">
      <c r="D436" s="84"/>
      <c r="E436" s="84"/>
      <c r="F436" s="84"/>
      <c r="G436" s="84"/>
      <c r="H436" s="84"/>
    </row>
    <row r="437" spans="4:8" ht="15.6">
      <c r="D437" s="84"/>
      <c r="E437" s="84"/>
      <c r="F437" s="84"/>
      <c r="G437" s="84"/>
      <c r="H437" s="84"/>
    </row>
    <row r="438" spans="4:8" ht="15.6">
      <c r="D438" s="84"/>
      <c r="E438" s="84"/>
      <c r="F438" s="84"/>
      <c r="G438" s="84"/>
      <c r="H438" s="84"/>
    </row>
    <row r="439" spans="4:8" ht="15.6">
      <c r="D439" s="84"/>
      <c r="E439" s="84"/>
      <c r="F439" s="84"/>
      <c r="G439" s="84"/>
      <c r="H439" s="84"/>
    </row>
    <row r="440" spans="4:8" ht="15.6">
      <c r="D440" s="84"/>
      <c r="E440" s="84"/>
      <c r="F440" s="84"/>
      <c r="G440" s="84"/>
      <c r="H440" s="84"/>
    </row>
    <row r="441" spans="4:8" ht="15.6">
      <c r="D441" s="84"/>
      <c r="E441" s="84"/>
      <c r="F441" s="84"/>
      <c r="G441" s="84"/>
      <c r="H441" s="84"/>
    </row>
    <row r="442" spans="4:8" ht="15.6">
      <c r="D442" s="84"/>
      <c r="E442" s="84"/>
      <c r="F442" s="84"/>
      <c r="G442" s="84"/>
      <c r="H442" s="84"/>
    </row>
    <row r="443" spans="4:8" ht="15.6">
      <c r="D443" s="84"/>
      <c r="E443" s="84"/>
      <c r="F443" s="84"/>
      <c r="G443" s="84"/>
      <c r="H443" s="84"/>
    </row>
    <row r="444" spans="4:8" ht="15.6">
      <c r="D444" s="84"/>
      <c r="E444" s="84"/>
      <c r="F444" s="84"/>
      <c r="G444" s="84"/>
      <c r="H444" s="84"/>
    </row>
    <row r="445" spans="4:8" ht="15.6">
      <c r="D445" s="84"/>
      <c r="E445" s="84"/>
      <c r="F445" s="84"/>
      <c r="G445" s="84"/>
      <c r="H445" s="84"/>
    </row>
    <row r="446" spans="4:8" ht="15.6">
      <c r="D446" s="84"/>
      <c r="E446" s="84"/>
      <c r="F446" s="84"/>
      <c r="G446" s="84"/>
      <c r="H446" s="84"/>
    </row>
    <row r="447" spans="4:8" ht="15.6">
      <c r="D447" s="84"/>
      <c r="E447" s="84"/>
      <c r="F447" s="84"/>
      <c r="G447" s="84"/>
      <c r="H447" s="84"/>
    </row>
    <row r="448" spans="4:8" ht="15.6">
      <c r="D448" s="84"/>
      <c r="E448" s="84"/>
      <c r="F448" s="84"/>
      <c r="G448" s="84"/>
      <c r="H448" s="84"/>
    </row>
    <row r="449" spans="4:8" ht="15.6">
      <c r="D449" s="84"/>
      <c r="E449" s="84"/>
      <c r="F449" s="84"/>
      <c r="G449" s="84"/>
      <c r="H449" s="84"/>
    </row>
    <row r="450" spans="4:8" ht="15.6">
      <c r="D450" s="84"/>
      <c r="E450" s="84"/>
      <c r="F450" s="84"/>
      <c r="G450" s="84"/>
      <c r="H450" s="84"/>
    </row>
    <row r="451" spans="4:8" ht="15.6">
      <c r="D451" s="84"/>
      <c r="E451" s="84"/>
      <c r="F451" s="84"/>
      <c r="G451" s="84"/>
      <c r="H451" s="84"/>
    </row>
    <row r="452" spans="4:8" ht="15.6">
      <c r="D452" s="84"/>
      <c r="E452" s="84"/>
      <c r="F452" s="84"/>
      <c r="G452" s="84"/>
      <c r="H452" s="84"/>
    </row>
    <row r="453" spans="4:8" ht="15.6">
      <c r="D453" s="84"/>
      <c r="E453" s="84"/>
      <c r="F453" s="84"/>
      <c r="G453" s="84"/>
      <c r="H453" s="84"/>
    </row>
    <row r="454" spans="4:8" ht="15.6">
      <c r="D454" s="84"/>
      <c r="E454" s="84"/>
      <c r="F454" s="84"/>
      <c r="G454" s="84"/>
      <c r="H454" s="84"/>
    </row>
    <row r="455" spans="4:8" ht="15.6">
      <c r="D455" s="84"/>
      <c r="E455" s="84"/>
      <c r="F455" s="84"/>
      <c r="G455" s="84"/>
      <c r="H455" s="84"/>
    </row>
    <row r="456" spans="4:8" ht="15.6">
      <c r="D456" s="84"/>
      <c r="E456" s="84"/>
      <c r="F456" s="84"/>
      <c r="G456" s="84"/>
      <c r="H456" s="84"/>
    </row>
    <row r="457" spans="4:8" ht="15.6">
      <c r="D457" s="84"/>
      <c r="E457" s="84"/>
      <c r="F457" s="84"/>
      <c r="G457" s="84"/>
      <c r="H457" s="84"/>
    </row>
    <row r="458" spans="4:8" ht="15.6">
      <c r="D458" s="84"/>
      <c r="E458" s="84"/>
      <c r="F458" s="84"/>
      <c r="G458" s="84"/>
      <c r="H458" s="84"/>
    </row>
    <row r="459" spans="4:8" ht="15.6">
      <c r="D459" s="84"/>
      <c r="E459" s="84"/>
      <c r="F459" s="84"/>
      <c r="G459" s="84"/>
      <c r="H459" s="84"/>
    </row>
    <row r="460" spans="4:8" ht="15.6">
      <c r="D460" s="84"/>
      <c r="E460" s="84"/>
      <c r="F460" s="84"/>
      <c r="G460" s="84"/>
      <c r="H460" s="84"/>
    </row>
    <row r="461" spans="4:8" ht="15.6">
      <c r="D461" s="84"/>
      <c r="E461" s="84"/>
      <c r="F461" s="84"/>
      <c r="G461" s="84"/>
      <c r="H461" s="84"/>
    </row>
    <row r="462" spans="4:8" ht="15.6">
      <c r="D462" s="84"/>
      <c r="E462" s="84"/>
      <c r="F462" s="84"/>
      <c r="G462" s="84"/>
      <c r="H462" s="84"/>
    </row>
    <row r="463" spans="4:8" ht="15.6">
      <c r="D463" s="84"/>
      <c r="E463" s="84"/>
      <c r="F463" s="84"/>
      <c r="G463" s="84"/>
      <c r="H463" s="84"/>
    </row>
    <row r="464" spans="4:8" ht="15.6">
      <c r="D464" s="84"/>
      <c r="E464" s="84"/>
      <c r="F464" s="84"/>
      <c r="G464" s="84"/>
      <c r="H464" s="84"/>
    </row>
    <row r="465" spans="4:8" ht="15.6">
      <c r="D465" s="84"/>
      <c r="E465" s="84"/>
      <c r="F465" s="84"/>
      <c r="G465" s="84"/>
      <c r="H465" s="84"/>
    </row>
    <row r="466" spans="4:8" ht="15.6">
      <c r="D466" s="84"/>
      <c r="E466" s="84"/>
      <c r="F466" s="84"/>
      <c r="G466" s="84"/>
      <c r="H466" s="84"/>
    </row>
    <row r="467" spans="4:8" ht="15.6">
      <c r="D467" s="84"/>
      <c r="E467" s="84"/>
      <c r="F467" s="84"/>
      <c r="G467" s="84"/>
      <c r="H467" s="84"/>
    </row>
    <row r="468" spans="4:8" ht="15.6">
      <c r="D468" s="84"/>
      <c r="E468" s="84"/>
      <c r="F468" s="84"/>
      <c r="G468" s="84"/>
      <c r="H468" s="84"/>
    </row>
    <row r="469" spans="4:8" ht="15.6">
      <c r="D469" s="84"/>
      <c r="E469" s="84"/>
      <c r="F469" s="84"/>
      <c r="G469" s="84"/>
      <c r="H469" s="84"/>
    </row>
    <row r="470" spans="4:8" ht="15.6">
      <c r="D470" s="84"/>
      <c r="E470" s="84"/>
      <c r="F470" s="84"/>
      <c r="G470" s="84"/>
      <c r="H470" s="84"/>
    </row>
    <row r="471" spans="4:8" ht="15.6">
      <c r="D471" s="84"/>
      <c r="E471" s="84"/>
      <c r="F471" s="84"/>
      <c r="G471" s="84"/>
      <c r="H471" s="84"/>
    </row>
    <row r="472" spans="4:8" ht="15.6">
      <c r="D472" s="84"/>
      <c r="E472" s="84"/>
      <c r="F472" s="84"/>
      <c r="G472" s="84"/>
      <c r="H472" s="84"/>
    </row>
    <row r="473" spans="4:8" ht="15.6">
      <c r="D473" s="84"/>
      <c r="E473" s="84"/>
      <c r="F473" s="84"/>
      <c r="G473" s="84"/>
      <c r="H473" s="84"/>
    </row>
    <row r="474" spans="4:8" ht="15.6">
      <c r="D474" s="84"/>
      <c r="E474" s="84"/>
      <c r="F474" s="84"/>
      <c r="G474" s="84"/>
      <c r="H474" s="84"/>
    </row>
    <row r="475" spans="4:8" ht="15.6">
      <c r="D475" s="84"/>
      <c r="E475" s="84"/>
      <c r="F475" s="84"/>
      <c r="G475" s="84"/>
      <c r="H475" s="84"/>
    </row>
    <row r="476" spans="4:8" ht="15.6">
      <c r="D476" s="84"/>
      <c r="E476" s="84"/>
      <c r="F476" s="84"/>
      <c r="G476" s="84"/>
      <c r="H476" s="84"/>
    </row>
    <row r="477" spans="4:8" ht="15.6">
      <c r="D477" s="84"/>
      <c r="E477" s="84"/>
      <c r="F477" s="84"/>
      <c r="G477" s="84"/>
      <c r="H477" s="84"/>
    </row>
    <row r="478" spans="4:8" ht="15.6">
      <c r="D478" s="84"/>
      <c r="E478" s="84"/>
      <c r="F478" s="84"/>
      <c r="G478" s="84"/>
      <c r="H478" s="84"/>
    </row>
    <row r="479" spans="4:8" ht="15.6">
      <c r="D479" s="84"/>
      <c r="E479" s="84"/>
      <c r="F479" s="84"/>
      <c r="G479" s="84"/>
      <c r="H479" s="84"/>
    </row>
    <row r="480" spans="4:8" ht="15.6">
      <c r="D480" s="84"/>
      <c r="E480" s="84"/>
      <c r="F480" s="84"/>
      <c r="G480" s="84"/>
      <c r="H480" s="84"/>
    </row>
    <row r="481" spans="4:8" ht="15.6">
      <c r="D481" s="84"/>
      <c r="E481" s="84"/>
      <c r="F481" s="84"/>
      <c r="G481" s="84"/>
      <c r="H481" s="84"/>
    </row>
    <row r="482" spans="4:8" ht="15.6">
      <c r="D482" s="84"/>
      <c r="E482" s="84"/>
      <c r="F482" s="84"/>
      <c r="G482" s="84"/>
      <c r="H482" s="84"/>
    </row>
    <row r="483" spans="4:8" ht="15.6">
      <c r="D483" s="84"/>
      <c r="E483" s="84"/>
      <c r="F483" s="84"/>
      <c r="G483" s="84"/>
      <c r="H483" s="84"/>
    </row>
    <row r="484" spans="4:8" ht="15.6">
      <c r="D484" s="84"/>
      <c r="E484" s="84"/>
      <c r="F484" s="84"/>
      <c r="G484" s="84"/>
      <c r="H484" s="84"/>
    </row>
    <row r="485" spans="4:8" ht="15.6">
      <c r="D485" s="84"/>
      <c r="E485" s="84"/>
      <c r="F485" s="84"/>
      <c r="G485" s="84"/>
      <c r="H485" s="84"/>
    </row>
    <row r="486" spans="4:8" ht="15.6">
      <c r="D486" s="84"/>
      <c r="E486" s="84"/>
      <c r="F486" s="84"/>
      <c r="G486" s="84"/>
      <c r="H486" s="84"/>
    </row>
    <row r="487" spans="4:8" ht="15.6">
      <c r="D487" s="84"/>
      <c r="E487" s="84"/>
      <c r="F487" s="84"/>
      <c r="G487" s="84"/>
      <c r="H487" s="84"/>
    </row>
    <row r="488" spans="4:8" ht="15.6">
      <c r="D488" s="84"/>
      <c r="E488" s="84"/>
      <c r="F488" s="84"/>
      <c r="G488" s="84"/>
      <c r="H488" s="84"/>
    </row>
    <row r="489" spans="4:8" ht="15.6">
      <c r="D489" s="84"/>
      <c r="E489" s="84"/>
      <c r="F489" s="84"/>
      <c r="G489" s="84"/>
      <c r="H489" s="84"/>
    </row>
    <row r="490" spans="4:8" ht="15.6">
      <c r="D490" s="84"/>
      <c r="E490" s="84"/>
      <c r="F490" s="84"/>
      <c r="G490" s="84"/>
      <c r="H490" s="84"/>
    </row>
    <row r="491" spans="4:8" ht="15.6">
      <c r="D491" s="84"/>
      <c r="E491" s="84"/>
      <c r="F491" s="84"/>
      <c r="G491" s="84"/>
      <c r="H491" s="84"/>
    </row>
    <row r="492" spans="4:8" ht="15.6">
      <c r="D492" s="84"/>
      <c r="E492" s="84"/>
      <c r="F492" s="84"/>
      <c r="G492" s="84"/>
      <c r="H492" s="84"/>
    </row>
    <row r="493" spans="4:8" ht="15.6">
      <c r="D493" s="84"/>
      <c r="E493" s="84"/>
      <c r="F493" s="84"/>
      <c r="G493" s="84"/>
      <c r="H493" s="84"/>
    </row>
    <row r="494" spans="4:8" ht="15.6">
      <c r="D494" s="84"/>
      <c r="E494" s="84"/>
      <c r="F494" s="84"/>
      <c r="G494" s="84"/>
      <c r="H494" s="84"/>
    </row>
    <row r="495" spans="4:8" ht="15.6">
      <c r="D495" s="84"/>
      <c r="E495" s="84"/>
      <c r="F495" s="84"/>
      <c r="G495" s="84"/>
      <c r="H495" s="84"/>
    </row>
    <row r="496" spans="4:8" ht="15.6">
      <c r="D496" s="84"/>
      <c r="E496" s="84"/>
      <c r="F496" s="84"/>
      <c r="G496" s="84"/>
      <c r="H496" s="84"/>
    </row>
    <row r="497" spans="4:8" ht="15.6">
      <c r="D497" s="84"/>
      <c r="E497" s="84"/>
      <c r="F497" s="84"/>
      <c r="G497" s="84"/>
      <c r="H497" s="84"/>
    </row>
    <row r="498" spans="4:8" ht="15.6">
      <c r="D498" s="84"/>
      <c r="E498" s="84"/>
      <c r="F498" s="84"/>
      <c r="G498" s="84"/>
      <c r="H498" s="84"/>
    </row>
    <row r="499" spans="4:8" ht="15.6">
      <c r="D499" s="84"/>
      <c r="E499" s="84"/>
      <c r="F499" s="84"/>
      <c r="G499" s="84"/>
      <c r="H499" s="84"/>
    </row>
    <row r="500" spans="4:8" ht="15.6">
      <c r="D500" s="84"/>
      <c r="E500" s="84"/>
      <c r="F500" s="84"/>
      <c r="G500" s="84"/>
      <c r="H500" s="84"/>
    </row>
    <row r="501" spans="4:8" ht="15.6">
      <c r="D501" s="84"/>
      <c r="E501" s="84"/>
      <c r="F501" s="84"/>
      <c r="G501" s="84"/>
      <c r="H501" s="84"/>
    </row>
    <row r="502" spans="4:8" ht="15.6">
      <c r="D502" s="84"/>
      <c r="E502" s="84"/>
      <c r="F502" s="84"/>
      <c r="G502" s="84"/>
      <c r="H502" s="84"/>
    </row>
    <row r="503" spans="4:8" ht="15.6">
      <c r="D503" s="84"/>
      <c r="E503" s="84"/>
      <c r="F503" s="84"/>
      <c r="G503" s="84"/>
      <c r="H503" s="84"/>
    </row>
    <row r="504" spans="4:8" ht="15.6">
      <c r="D504" s="84"/>
      <c r="E504" s="84"/>
      <c r="F504" s="84"/>
      <c r="G504" s="84"/>
      <c r="H504" s="84"/>
    </row>
    <row r="505" spans="4:8" ht="15.6">
      <c r="D505" s="84"/>
      <c r="E505" s="84"/>
      <c r="F505" s="84"/>
      <c r="G505" s="84"/>
      <c r="H505" s="84"/>
    </row>
    <row r="506" spans="4:8" ht="15.6">
      <c r="D506" s="84"/>
      <c r="E506" s="84"/>
      <c r="F506" s="84"/>
      <c r="G506" s="84"/>
      <c r="H506" s="84"/>
    </row>
    <row r="507" spans="4:8" ht="15.6">
      <c r="D507" s="84"/>
      <c r="E507" s="84"/>
      <c r="F507" s="84"/>
      <c r="G507" s="84"/>
      <c r="H507" s="84"/>
    </row>
    <row r="508" spans="4:8" ht="15.6">
      <c r="D508" s="84"/>
      <c r="E508" s="84"/>
      <c r="F508" s="84"/>
      <c r="G508" s="84"/>
      <c r="H508" s="84"/>
    </row>
    <row r="509" spans="4:8" ht="15.6">
      <c r="D509" s="84"/>
      <c r="E509" s="84"/>
      <c r="F509" s="84"/>
      <c r="G509" s="84"/>
      <c r="H509" s="84"/>
    </row>
    <row r="510" spans="4:8" ht="15.6">
      <c r="D510" s="84"/>
      <c r="E510" s="84"/>
      <c r="F510" s="84"/>
      <c r="G510" s="84"/>
      <c r="H510" s="84"/>
    </row>
    <row r="511" spans="4:8" ht="15.6">
      <c r="D511" s="84"/>
      <c r="E511" s="84"/>
      <c r="F511" s="84"/>
      <c r="G511" s="84"/>
      <c r="H511" s="84"/>
    </row>
    <row r="512" spans="4:8" ht="15.6">
      <c r="D512" s="84"/>
      <c r="E512" s="84"/>
      <c r="F512" s="84"/>
      <c r="G512" s="84"/>
      <c r="H512" s="84"/>
    </row>
    <row r="513" spans="4:8" ht="15.6">
      <c r="D513" s="84"/>
      <c r="E513" s="84"/>
      <c r="F513" s="84"/>
      <c r="G513" s="84"/>
      <c r="H513" s="84"/>
    </row>
    <row r="514" spans="4:8" ht="15.6">
      <c r="D514" s="84"/>
      <c r="E514" s="84"/>
      <c r="F514" s="84"/>
      <c r="G514" s="84"/>
      <c r="H514" s="84"/>
    </row>
    <row r="515" spans="4:8" ht="15.6">
      <c r="D515" s="84"/>
      <c r="E515" s="84"/>
      <c r="F515" s="84"/>
      <c r="G515" s="84"/>
      <c r="H515" s="84"/>
    </row>
    <row r="516" spans="4:8" ht="15.6">
      <c r="D516" s="84"/>
      <c r="E516" s="84"/>
      <c r="F516" s="84"/>
      <c r="G516" s="84"/>
      <c r="H516" s="84"/>
    </row>
    <row r="517" spans="4:8" ht="15.6">
      <c r="D517" s="84"/>
      <c r="E517" s="84"/>
      <c r="F517" s="84"/>
      <c r="G517" s="84"/>
      <c r="H517" s="84"/>
    </row>
    <row r="518" spans="4:8" ht="15.6">
      <c r="D518" s="84"/>
      <c r="E518" s="84"/>
      <c r="F518" s="84"/>
      <c r="G518" s="84"/>
      <c r="H518" s="84"/>
    </row>
    <row r="519" spans="4:8" ht="15.6">
      <c r="D519" s="84"/>
      <c r="E519" s="84"/>
      <c r="F519" s="84"/>
      <c r="G519" s="84"/>
      <c r="H519" s="84"/>
    </row>
    <row r="520" spans="4:8" ht="15.6">
      <c r="D520" s="84"/>
      <c r="E520" s="84"/>
      <c r="F520" s="84"/>
      <c r="G520" s="84"/>
      <c r="H520" s="84"/>
    </row>
    <row r="521" spans="4:8" ht="15.6">
      <c r="D521" s="84"/>
      <c r="E521" s="84"/>
      <c r="F521" s="84"/>
      <c r="G521" s="84"/>
      <c r="H521" s="84"/>
    </row>
    <row r="522" spans="4:8" ht="15.6">
      <c r="D522" s="84"/>
      <c r="E522" s="84"/>
      <c r="F522" s="84"/>
      <c r="G522" s="84"/>
      <c r="H522" s="84"/>
    </row>
    <row r="523" spans="4:8" ht="15.6">
      <c r="D523" s="84"/>
      <c r="E523" s="84"/>
      <c r="F523" s="84"/>
      <c r="G523" s="84"/>
      <c r="H523" s="84"/>
    </row>
    <row r="524" spans="4:8" ht="15.6">
      <c r="D524" s="84"/>
      <c r="E524" s="84"/>
      <c r="F524" s="84"/>
      <c r="G524" s="84"/>
      <c r="H524" s="84"/>
    </row>
    <row r="525" spans="4:8" ht="15.6">
      <c r="D525" s="84"/>
      <c r="E525" s="84"/>
      <c r="F525" s="84"/>
      <c r="G525" s="84"/>
      <c r="H525" s="84"/>
    </row>
    <row r="526" spans="4:8" ht="15.6">
      <c r="D526" s="84"/>
      <c r="E526" s="84"/>
      <c r="F526" s="84"/>
      <c r="G526" s="84"/>
      <c r="H526" s="84"/>
    </row>
    <row r="527" spans="4:8" ht="15.6">
      <c r="D527" s="84"/>
      <c r="E527" s="84"/>
      <c r="F527" s="84"/>
      <c r="G527" s="84"/>
      <c r="H527" s="84"/>
    </row>
    <row r="528" spans="4:8" ht="15.6">
      <c r="D528" s="84"/>
      <c r="E528" s="84"/>
      <c r="F528" s="84"/>
      <c r="G528" s="84"/>
      <c r="H528" s="84"/>
    </row>
    <row r="529" spans="4:8" ht="15.6">
      <c r="D529" s="84"/>
      <c r="E529" s="84"/>
      <c r="F529" s="84"/>
      <c r="G529" s="84"/>
      <c r="H529" s="84"/>
    </row>
    <row r="530" spans="4:8" ht="15.6">
      <c r="D530" s="84"/>
      <c r="E530" s="84"/>
      <c r="F530" s="84"/>
      <c r="G530" s="84"/>
      <c r="H530" s="84"/>
    </row>
    <row r="531" spans="4:8" ht="15.6">
      <c r="D531" s="84"/>
      <c r="E531" s="84"/>
      <c r="F531" s="84"/>
      <c r="G531" s="84"/>
      <c r="H531" s="84"/>
    </row>
    <row r="532" spans="4:8" ht="15.6">
      <c r="D532" s="84"/>
      <c r="E532" s="84"/>
      <c r="F532" s="84"/>
      <c r="G532" s="84"/>
      <c r="H532" s="84"/>
    </row>
    <row r="533" spans="4:8" ht="15.6">
      <c r="D533" s="84"/>
      <c r="E533" s="84"/>
      <c r="F533" s="84"/>
      <c r="G533" s="84"/>
      <c r="H533" s="84"/>
    </row>
    <row r="534" spans="4:8" ht="15.6">
      <c r="D534" s="84"/>
      <c r="E534" s="84"/>
      <c r="F534" s="84"/>
      <c r="G534" s="84"/>
      <c r="H534" s="84"/>
    </row>
    <row r="535" spans="4:8" ht="15.6">
      <c r="D535" s="84"/>
      <c r="E535" s="84"/>
      <c r="F535" s="84"/>
      <c r="G535" s="84"/>
      <c r="H535" s="84"/>
    </row>
    <row r="536" spans="4:8" ht="15.6">
      <c r="D536" s="84"/>
      <c r="E536" s="84"/>
      <c r="F536" s="84"/>
      <c r="G536" s="84"/>
      <c r="H536" s="84"/>
    </row>
    <row r="537" spans="4:8" ht="15.6">
      <c r="D537" s="84"/>
      <c r="E537" s="84"/>
      <c r="F537" s="84"/>
      <c r="G537" s="84"/>
      <c r="H537" s="84"/>
    </row>
    <row r="538" spans="4:8" ht="15.6">
      <c r="D538" s="84"/>
      <c r="E538" s="84"/>
      <c r="F538" s="84"/>
      <c r="G538" s="84"/>
      <c r="H538" s="84"/>
    </row>
    <row r="539" spans="4:8" ht="15.6">
      <c r="D539" s="84"/>
      <c r="E539" s="84"/>
      <c r="F539" s="84"/>
      <c r="G539" s="84"/>
      <c r="H539" s="84"/>
    </row>
    <row r="540" spans="4:8" ht="15.6">
      <c r="D540" s="84"/>
      <c r="E540" s="84"/>
      <c r="F540" s="84"/>
      <c r="G540" s="84"/>
      <c r="H540" s="84"/>
    </row>
    <row r="541" spans="4:8" ht="15.6">
      <c r="D541" s="84"/>
      <c r="E541" s="84"/>
      <c r="F541" s="84"/>
      <c r="G541" s="84"/>
      <c r="H541" s="84"/>
    </row>
    <row r="542" spans="4:8" ht="15.6">
      <c r="D542" s="84"/>
      <c r="E542" s="84"/>
      <c r="F542" s="84"/>
      <c r="G542" s="84"/>
      <c r="H542" s="84"/>
    </row>
    <row r="543" spans="4:8" ht="15.6">
      <c r="D543" s="84"/>
      <c r="E543" s="84"/>
      <c r="F543" s="84"/>
      <c r="G543" s="84"/>
      <c r="H543" s="84"/>
    </row>
    <row r="544" spans="4:8" ht="15.6">
      <c r="D544" s="84"/>
      <c r="E544" s="84"/>
      <c r="F544" s="84"/>
      <c r="G544" s="84"/>
      <c r="H544" s="84"/>
    </row>
    <row r="545" spans="4:8" ht="15.6">
      <c r="D545" s="84"/>
      <c r="E545" s="84"/>
      <c r="F545" s="84"/>
      <c r="G545" s="84"/>
      <c r="H545" s="84"/>
    </row>
    <row r="546" spans="4:8" ht="15.6">
      <c r="D546" s="84"/>
      <c r="E546" s="84"/>
      <c r="F546" s="84"/>
      <c r="G546" s="84"/>
      <c r="H546" s="84"/>
    </row>
    <row r="547" spans="4:8" ht="15.6">
      <c r="D547" s="84"/>
      <c r="E547" s="84"/>
      <c r="F547" s="84"/>
      <c r="G547" s="84"/>
      <c r="H547" s="84"/>
    </row>
    <row r="548" spans="4:8" ht="15.6">
      <c r="D548" s="84"/>
      <c r="E548" s="84"/>
      <c r="F548" s="84"/>
      <c r="G548" s="84"/>
      <c r="H548" s="84"/>
    </row>
    <row r="549" spans="4:8" ht="15.6">
      <c r="D549" s="84"/>
      <c r="E549" s="84"/>
      <c r="F549" s="84"/>
      <c r="G549" s="84"/>
      <c r="H549" s="84"/>
    </row>
    <row r="550" spans="4:8" ht="15.6">
      <c r="D550" s="84"/>
      <c r="E550" s="84"/>
      <c r="F550" s="84"/>
      <c r="G550" s="84"/>
      <c r="H550" s="84"/>
    </row>
    <row r="551" spans="4:8" ht="15.6">
      <c r="D551" s="84"/>
      <c r="E551" s="84"/>
      <c r="F551" s="84"/>
      <c r="G551" s="84"/>
      <c r="H551" s="84"/>
    </row>
    <row r="552" spans="4:8" ht="15.6">
      <c r="D552" s="84"/>
      <c r="E552" s="84"/>
      <c r="F552" s="84"/>
      <c r="G552" s="84"/>
      <c r="H552" s="84"/>
    </row>
    <row r="553" spans="4:8" ht="15.6">
      <c r="D553" s="84"/>
      <c r="E553" s="84"/>
      <c r="F553" s="84"/>
      <c r="G553" s="84"/>
      <c r="H553" s="84"/>
    </row>
    <row r="554" spans="4:8" ht="15.6">
      <c r="D554" s="84"/>
      <c r="E554" s="84"/>
      <c r="F554" s="84"/>
      <c r="G554" s="84"/>
      <c r="H554" s="84"/>
    </row>
    <row r="555" spans="4:8" ht="15.6">
      <c r="D555" s="84"/>
      <c r="E555" s="84"/>
      <c r="F555" s="84"/>
      <c r="G555" s="84"/>
      <c r="H555" s="84"/>
    </row>
    <row r="556" spans="4:8" ht="15.6">
      <c r="D556" s="84"/>
      <c r="E556" s="84"/>
      <c r="F556" s="84"/>
      <c r="G556" s="84"/>
      <c r="H556" s="84"/>
    </row>
    <row r="557" spans="4:8" ht="15.6">
      <c r="D557" s="84"/>
      <c r="E557" s="84"/>
      <c r="F557" s="84"/>
      <c r="G557" s="84"/>
      <c r="H557" s="84"/>
    </row>
    <row r="558" spans="4:8" ht="15.6">
      <c r="D558" s="84"/>
      <c r="E558" s="84"/>
      <c r="F558" s="84"/>
      <c r="G558" s="84"/>
      <c r="H558" s="84"/>
    </row>
    <row r="559" spans="4:8" ht="15.6">
      <c r="D559" s="84"/>
      <c r="E559" s="84"/>
      <c r="F559" s="84"/>
      <c r="G559" s="84"/>
      <c r="H559" s="84"/>
    </row>
    <row r="560" spans="4:8" ht="15.6">
      <c r="D560" s="84"/>
      <c r="E560" s="84"/>
      <c r="F560" s="84"/>
      <c r="G560" s="84"/>
      <c r="H560" s="84"/>
    </row>
    <row r="561" spans="4:8" ht="15.6">
      <c r="D561" s="84"/>
      <c r="E561" s="84"/>
      <c r="F561" s="84"/>
      <c r="G561" s="84"/>
      <c r="H561" s="84"/>
    </row>
    <row r="562" spans="4:8" ht="15.6">
      <c r="D562" s="84"/>
      <c r="E562" s="84"/>
      <c r="F562" s="84"/>
      <c r="G562" s="84"/>
      <c r="H562" s="84"/>
    </row>
    <row r="563" spans="4:8" ht="15.6">
      <c r="D563" s="84"/>
      <c r="E563" s="84"/>
      <c r="F563" s="84"/>
      <c r="G563" s="84"/>
      <c r="H563" s="84"/>
    </row>
    <row r="564" spans="4:8" ht="15.6">
      <c r="D564" s="84"/>
      <c r="E564" s="84"/>
      <c r="F564" s="84"/>
      <c r="G564" s="84"/>
      <c r="H564" s="84"/>
    </row>
    <row r="565" spans="4:8" ht="15.6">
      <c r="D565" s="84"/>
      <c r="E565" s="84"/>
      <c r="F565" s="84"/>
      <c r="G565" s="84"/>
      <c r="H565" s="84"/>
    </row>
    <row r="566" spans="4:8" ht="15.6">
      <c r="D566" s="84"/>
      <c r="E566" s="84"/>
      <c r="F566" s="84"/>
      <c r="G566" s="84"/>
      <c r="H566" s="84"/>
    </row>
    <row r="567" spans="4:8" ht="15.6">
      <c r="D567" s="84"/>
      <c r="E567" s="84"/>
      <c r="F567" s="84"/>
      <c r="G567" s="84"/>
      <c r="H567" s="84"/>
    </row>
    <row r="568" spans="4:8" ht="15.6">
      <c r="D568" s="84"/>
      <c r="E568" s="84"/>
      <c r="F568" s="84"/>
      <c r="G568" s="84"/>
      <c r="H568" s="84"/>
    </row>
    <row r="569" spans="4:8" ht="15.6">
      <c r="D569" s="84"/>
      <c r="E569" s="84"/>
      <c r="F569" s="84"/>
      <c r="G569" s="84"/>
      <c r="H569" s="84"/>
    </row>
    <row r="570" spans="4:8" ht="15.6">
      <c r="D570" s="84"/>
      <c r="E570" s="84"/>
      <c r="F570" s="84"/>
      <c r="G570" s="84"/>
      <c r="H570" s="84"/>
    </row>
    <row r="571" spans="4:8" ht="15.6">
      <c r="D571" s="84"/>
      <c r="E571" s="84"/>
      <c r="F571" s="84"/>
      <c r="G571" s="84"/>
      <c r="H571" s="84"/>
    </row>
    <row r="572" spans="4:8" ht="15.6">
      <c r="D572" s="84"/>
      <c r="E572" s="84"/>
      <c r="F572" s="84"/>
      <c r="G572" s="84"/>
      <c r="H572" s="84"/>
    </row>
    <row r="573" spans="4:8" ht="15.6">
      <c r="D573" s="84"/>
      <c r="E573" s="84"/>
      <c r="F573" s="84"/>
      <c r="G573" s="84"/>
      <c r="H573" s="84"/>
    </row>
    <row r="574" spans="4:8" ht="15.6">
      <c r="D574" s="84"/>
      <c r="E574" s="84"/>
      <c r="F574" s="84"/>
      <c r="G574" s="84"/>
      <c r="H574" s="84"/>
    </row>
    <row r="575" spans="4:8" ht="15.6">
      <c r="D575" s="84"/>
      <c r="E575" s="84"/>
      <c r="F575" s="84"/>
      <c r="G575" s="84"/>
      <c r="H575" s="84"/>
    </row>
    <row r="576" spans="4:8" ht="15.6">
      <c r="D576" s="84"/>
      <c r="E576" s="84"/>
      <c r="F576" s="84"/>
      <c r="G576" s="84"/>
      <c r="H576" s="84"/>
    </row>
    <row r="577" spans="4:8" ht="15.6">
      <c r="D577" s="84"/>
      <c r="E577" s="84"/>
      <c r="F577" s="84"/>
      <c r="G577" s="84"/>
      <c r="H577" s="84"/>
    </row>
    <row r="578" spans="4:8" ht="15.6">
      <c r="D578" s="84"/>
      <c r="E578" s="84"/>
      <c r="F578" s="84"/>
      <c r="G578" s="84"/>
      <c r="H578" s="84"/>
    </row>
    <row r="579" spans="4:8" ht="15.6">
      <c r="D579" s="84"/>
      <c r="E579" s="84"/>
      <c r="F579" s="84"/>
      <c r="G579" s="84"/>
      <c r="H579" s="84"/>
    </row>
    <row r="580" spans="4:8" ht="15.6">
      <c r="D580" s="84"/>
      <c r="E580" s="84"/>
      <c r="F580" s="84"/>
      <c r="G580" s="84"/>
      <c r="H580" s="84"/>
    </row>
    <row r="581" spans="4:8" ht="15.6">
      <c r="D581" s="84"/>
      <c r="E581" s="84"/>
      <c r="F581" s="84"/>
      <c r="G581" s="84"/>
      <c r="H581" s="84"/>
    </row>
    <row r="582" spans="4:8" ht="15.6">
      <c r="D582" s="84"/>
      <c r="E582" s="84"/>
      <c r="F582" s="84"/>
      <c r="G582" s="84"/>
      <c r="H582" s="84"/>
    </row>
    <row r="583" spans="4:8" ht="15.6">
      <c r="D583" s="84"/>
      <c r="E583" s="84"/>
      <c r="F583" s="84"/>
      <c r="G583" s="84"/>
      <c r="H583" s="84"/>
    </row>
    <row r="584" spans="4:8" ht="15.6">
      <c r="D584" s="84"/>
      <c r="E584" s="84"/>
      <c r="F584" s="84"/>
      <c r="G584" s="84"/>
      <c r="H584" s="84"/>
    </row>
    <row r="585" spans="4:8" ht="15.6">
      <c r="D585" s="84"/>
      <c r="E585" s="84"/>
      <c r="F585" s="84"/>
      <c r="G585" s="84"/>
      <c r="H585" s="84"/>
    </row>
    <row r="586" spans="4:8" ht="15.6">
      <c r="D586" s="84"/>
      <c r="E586" s="84"/>
      <c r="F586" s="84"/>
      <c r="G586" s="84"/>
      <c r="H586" s="84"/>
    </row>
    <row r="587" spans="4:8" ht="15.6">
      <c r="D587" s="84"/>
      <c r="E587" s="84"/>
      <c r="F587" s="84"/>
      <c r="G587" s="84"/>
      <c r="H587" s="84"/>
    </row>
    <row r="588" spans="4:8" ht="15.6">
      <c r="D588" s="84"/>
      <c r="E588" s="84"/>
      <c r="F588" s="84"/>
      <c r="G588" s="84"/>
      <c r="H588" s="84"/>
    </row>
    <row r="589" spans="4:8" ht="15.6">
      <c r="D589" s="84"/>
      <c r="E589" s="84"/>
      <c r="F589" s="84"/>
      <c r="G589" s="84"/>
      <c r="H589" s="84"/>
    </row>
    <row r="590" spans="4:8" ht="15.6">
      <c r="D590" s="84"/>
      <c r="E590" s="84"/>
      <c r="F590" s="84"/>
      <c r="G590" s="84"/>
      <c r="H590" s="84"/>
    </row>
    <row r="591" spans="4:8" ht="15.6">
      <c r="D591" s="84"/>
      <c r="E591" s="84"/>
      <c r="F591" s="84"/>
      <c r="G591" s="84"/>
      <c r="H591" s="84"/>
    </row>
    <row r="592" spans="4:8" ht="15.6">
      <c r="D592" s="84"/>
      <c r="E592" s="84"/>
      <c r="F592" s="84"/>
      <c r="G592" s="84"/>
      <c r="H592" s="84"/>
    </row>
    <row r="593" spans="4:8" ht="15.6">
      <c r="D593" s="84"/>
      <c r="E593" s="84"/>
      <c r="F593" s="84"/>
      <c r="G593" s="84"/>
      <c r="H593" s="84"/>
    </row>
    <row r="594" spans="4:8" ht="15.6">
      <c r="D594" s="84"/>
      <c r="E594" s="84"/>
      <c r="F594" s="84"/>
      <c r="G594" s="84"/>
      <c r="H594" s="84"/>
    </row>
    <row r="595" spans="4:8" ht="15.6">
      <c r="D595" s="84"/>
      <c r="E595" s="84"/>
      <c r="F595" s="84"/>
      <c r="G595" s="84"/>
      <c r="H595" s="84"/>
    </row>
    <row r="596" spans="4:8" ht="15.6">
      <c r="D596" s="84"/>
      <c r="E596" s="84"/>
      <c r="F596" s="84"/>
      <c r="G596" s="84"/>
      <c r="H596" s="84"/>
    </row>
    <row r="597" spans="4:8" ht="15.6">
      <c r="D597" s="84"/>
      <c r="E597" s="84"/>
      <c r="F597" s="84"/>
      <c r="G597" s="84"/>
      <c r="H597" s="84"/>
    </row>
    <row r="598" spans="4:8" ht="15.6">
      <c r="D598" s="84"/>
      <c r="E598" s="84"/>
      <c r="F598" s="84"/>
      <c r="G598" s="84"/>
      <c r="H598" s="84"/>
    </row>
    <row r="599" spans="4:8" ht="15.6">
      <c r="D599" s="84"/>
      <c r="E599" s="84"/>
      <c r="F599" s="84"/>
      <c r="G599" s="84"/>
      <c r="H599" s="84"/>
    </row>
    <row r="600" spans="4:8" ht="15.6">
      <c r="D600" s="84"/>
      <c r="E600" s="84"/>
      <c r="F600" s="84"/>
      <c r="G600" s="84"/>
      <c r="H600" s="84"/>
    </row>
    <row r="601" spans="4:8" ht="15.6">
      <c r="D601" s="84"/>
      <c r="E601" s="84"/>
      <c r="F601" s="84"/>
      <c r="G601" s="84"/>
      <c r="H601" s="84"/>
    </row>
    <row r="602" spans="4:8" ht="15.6">
      <c r="D602" s="84"/>
      <c r="E602" s="84"/>
      <c r="F602" s="84"/>
      <c r="G602" s="84"/>
      <c r="H602" s="84"/>
    </row>
    <row r="603" spans="4:8" ht="15.6">
      <c r="D603" s="84"/>
      <c r="E603" s="84"/>
      <c r="F603" s="84"/>
      <c r="G603" s="84"/>
      <c r="H603" s="84"/>
    </row>
    <row r="604" spans="4:8" ht="15.6">
      <c r="D604" s="84"/>
      <c r="E604" s="84"/>
      <c r="F604" s="84"/>
      <c r="G604" s="84"/>
      <c r="H604" s="84"/>
    </row>
    <row r="605" spans="4:8" ht="15.6">
      <c r="D605" s="84"/>
      <c r="E605" s="84"/>
      <c r="F605" s="84"/>
      <c r="G605" s="84"/>
      <c r="H605" s="84"/>
    </row>
    <row r="606" spans="4:8" ht="15.6">
      <c r="D606" s="84"/>
      <c r="E606" s="84"/>
      <c r="F606" s="84"/>
      <c r="G606" s="84"/>
      <c r="H606" s="84"/>
    </row>
    <row r="607" spans="4:8" ht="15.6">
      <c r="D607" s="84"/>
      <c r="E607" s="84"/>
      <c r="F607" s="84"/>
      <c r="G607" s="84"/>
      <c r="H607" s="84"/>
    </row>
    <row r="608" spans="4:8" ht="15.6">
      <c r="D608" s="84"/>
      <c r="E608" s="84"/>
      <c r="F608" s="84"/>
      <c r="G608" s="84"/>
      <c r="H608" s="84"/>
    </row>
    <row r="609" spans="4:8" ht="15.6">
      <c r="D609" s="84"/>
      <c r="E609" s="84"/>
      <c r="F609" s="84"/>
      <c r="G609" s="84"/>
      <c r="H609" s="84"/>
    </row>
    <row r="610" spans="4:8" ht="15.6">
      <c r="D610" s="84"/>
      <c r="E610" s="84"/>
      <c r="F610" s="84"/>
      <c r="G610" s="84"/>
      <c r="H610" s="84"/>
    </row>
    <row r="611" spans="4:8" ht="15.6">
      <c r="D611" s="84"/>
      <c r="E611" s="84"/>
      <c r="F611" s="84"/>
      <c r="G611" s="84"/>
      <c r="H611" s="84"/>
    </row>
    <row r="612" spans="4:8" ht="15.6">
      <c r="D612" s="84"/>
      <c r="E612" s="84"/>
      <c r="F612" s="84"/>
      <c r="G612" s="84"/>
      <c r="H612" s="84"/>
    </row>
    <row r="613" spans="4:8" ht="15.6">
      <c r="D613" s="84"/>
      <c r="E613" s="84"/>
      <c r="F613" s="84"/>
      <c r="G613" s="84"/>
      <c r="H613" s="84"/>
    </row>
    <row r="614" spans="4:8" ht="15.6">
      <c r="D614" s="84"/>
      <c r="E614" s="84"/>
      <c r="F614" s="84"/>
      <c r="G614" s="84"/>
      <c r="H614" s="84"/>
    </row>
    <row r="615" spans="4:8" ht="15.6">
      <c r="D615" s="84"/>
      <c r="E615" s="84"/>
      <c r="F615" s="84"/>
      <c r="G615" s="84"/>
      <c r="H615" s="84"/>
    </row>
    <row r="616" spans="4:8" ht="15.6">
      <c r="D616" s="84"/>
      <c r="E616" s="84"/>
      <c r="F616" s="84"/>
      <c r="G616" s="84"/>
      <c r="H616" s="84"/>
    </row>
    <row r="617" spans="4:8" ht="15.6">
      <c r="D617" s="84"/>
      <c r="E617" s="84"/>
      <c r="F617" s="84"/>
      <c r="G617" s="84"/>
      <c r="H617" s="84"/>
    </row>
    <row r="618" spans="4:8" ht="15.6">
      <c r="D618" s="84"/>
      <c r="E618" s="84"/>
      <c r="F618" s="84"/>
      <c r="G618" s="84"/>
      <c r="H618" s="84"/>
    </row>
    <row r="619" spans="4:8" ht="15.6">
      <c r="D619" s="84"/>
      <c r="E619" s="84"/>
      <c r="F619" s="84"/>
      <c r="G619" s="84"/>
      <c r="H619" s="84"/>
    </row>
    <row r="620" spans="4:8" ht="15.6">
      <c r="D620" s="84"/>
      <c r="E620" s="84"/>
      <c r="F620" s="84"/>
      <c r="G620" s="84"/>
      <c r="H620" s="84"/>
    </row>
    <row r="621" spans="4:8" ht="15.6">
      <c r="D621" s="84"/>
      <c r="E621" s="84"/>
      <c r="F621" s="84"/>
      <c r="G621" s="84"/>
      <c r="H621" s="84"/>
    </row>
    <row r="622" spans="4:8" ht="15.6">
      <c r="D622" s="84"/>
      <c r="E622" s="84"/>
      <c r="F622" s="84"/>
      <c r="G622" s="84"/>
      <c r="H622" s="84"/>
    </row>
    <row r="623" spans="4:8" ht="15.6">
      <c r="D623" s="84"/>
      <c r="E623" s="84"/>
      <c r="F623" s="84"/>
      <c r="G623" s="84"/>
      <c r="H623" s="84"/>
    </row>
    <row r="624" spans="4:8" ht="15.6">
      <c r="D624" s="84"/>
      <c r="E624" s="84"/>
      <c r="F624" s="84"/>
      <c r="G624" s="84"/>
      <c r="H624" s="84"/>
    </row>
    <row r="625" spans="4:8" ht="15.6">
      <c r="D625" s="84"/>
      <c r="E625" s="84"/>
      <c r="F625" s="84"/>
      <c r="G625" s="84"/>
      <c r="H625" s="84"/>
    </row>
    <row r="626" spans="4:8" ht="15.6">
      <c r="D626" s="84"/>
      <c r="E626" s="84"/>
      <c r="F626" s="84"/>
      <c r="G626" s="84"/>
      <c r="H626" s="84"/>
    </row>
    <row r="627" spans="4:8" ht="15.6">
      <c r="D627" s="84"/>
      <c r="E627" s="84"/>
      <c r="F627" s="84"/>
      <c r="G627" s="84"/>
      <c r="H627" s="84"/>
    </row>
    <row r="628" spans="4:8" ht="15.6">
      <c r="D628" s="84"/>
      <c r="E628" s="84"/>
      <c r="F628" s="84"/>
      <c r="G628" s="84"/>
      <c r="H628" s="84"/>
    </row>
    <row r="629" spans="4:8" ht="15.6">
      <c r="D629" s="84"/>
      <c r="E629" s="84"/>
      <c r="F629" s="84"/>
      <c r="G629" s="84"/>
      <c r="H629" s="84"/>
    </row>
    <row r="630" spans="4:8" ht="15.6">
      <c r="D630" s="84"/>
      <c r="E630" s="84"/>
      <c r="F630" s="84"/>
      <c r="G630" s="84"/>
      <c r="H630" s="84"/>
    </row>
    <row r="631" spans="4:8" ht="15.6">
      <c r="D631" s="84"/>
      <c r="E631" s="84"/>
      <c r="F631" s="84"/>
      <c r="G631" s="84"/>
      <c r="H631" s="84"/>
    </row>
    <row r="632" spans="4:8" ht="15.6">
      <c r="D632" s="84"/>
      <c r="E632" s="84"/>
      <c r="F632" s="84"/>
      <c r="G632" s="84"/>
      <c r="H632" s="84"/>
    </row>
    <row r="633" spans="4:8" ht="15.6">
      <c r="D633" s="84"/>
      <c r="E633" s="84"/>
      <c r="F633" s="84"/>
      <c r="G633" s="84"/>
      <c r="H633" s="84"/>
    </row>
    <row r="634" spans="4:8" ht="15.6">
      <c r="D634" s="84"/>
      <c r="E634" s="84"/>
      <c r="F634" s="84"/>
      <c r="G634" s="84"/>
      <c r="H634" s="84"/>
    </row>
    <row r="635" spans="4:8" ht="15.6">
      <c r="D635" s="84"/>
      <c r="E635" s="84"/>
      <c r="F635" s="84"/>
      <c r="G635" s="84"/>
      <c r="H635" s="84"/>
    </row>
    <row r="636" spans="4:8" ht="15.6">
      <c r="D636" s="84"/>
      <c r="E636" s="84"/>
      <c r="F636" s="84"/>
      <c r="G636" s="84"/>
      <c r="H636" s="84"/>
    </row>
    <row r="637" spans="4:8" ht="15.6">
      <c r="D637" s="84"/>
      <c r="E637" s="84"/>
      <c r="F637" s="84"/>
      <c r="G637" s="84"/>
      <c r="H637" s="84"/>
    </row>
    <row r="638" spans="4:8" ht="15.6">
      <c r="D638" s="84"/>
      <c r="E638" s="84"/>
      <c r="F638" s="84"/>
      <c r="G638" s="84"/>
      <c r="H638" s="84"/>
    </row>
    <row r="639" spans="4:8" ht="15.6">
      <c r="D639" s="84"/>
      <c r="E639" s="84"/>
      <c r="F639" s="84"/>
      <c r="G639" s="84"/>
      <c r="H639" s="84"/>
    </row>
    <row r="640" spans="4:8" ht="15.6">
      <c r="D640" s="84"/>
      <c r="E640" s="84"/>
      <c r="F640" s="84"/>
      <c r="G640" s="84"/>
      <c r="H640" s="84"/>
    </row>
    <row r="641" spans="4:8" ht="15.6">
      <c r="D641" s="84"/>
      <c r="E641" s="84"/>
      <c r="F641" s="84"/>
      <c r="G641" s="84"/>
      <c r="H641" s="84"/>
    </row>
    <row r="642" spans="4:8" ht="15.6">
      <c r="D642" s="84"/>
      <c r="E642" s="84"/>
      <c r="F642" s="84"/>
      <c r="G642" s="84"/>
      <c r="H642" s="84"/>
    </row>
    <row r="643" spans="4:8" ht="15.6">
      <c r="D643" s="84"/>
      <c r="E643" s="84"/>
      <c r="F643" s="84"/>
      <c r="G643" s="84"/>
      <c r="H643" s="84"/>
    </row>
    <row r="644" spans="4:8" ht="15.6">
      <c r="D644" s="84"/>
      <c r="E644" s="84"/>
      <c r="F644" s="84"/>
      <c r="G644" s="84"/>
      <c r="H644" s="84"/>
    </row>
    <row r="645" spans="4:8" ht="15.6">
      <c r="D645" s="84"/>
      <c r="E645" s="84"/>
      <c r="F645" s="84"/>
      <c r="G645" s="84"/>
      <c r="H645" s="84"/>
    </row>
    <row r="646" spans="4:8" ht="15.6">
      <c r="D646" s="84"/>
      <c r="E646" s="84"/>
      <c r="F646" s="84"/>
      <c r="G646" s="84"/>
      <c r="H646" s="84"/>
    </row>
    <row r="647" spans="4:8" ht="15.6">
      <c r="D647" s="84"/>
      <c r="E647" s="84"/>
      <c r="F647" s="84"/>
      <c r="G647" s="84"/>
      <c r="H647" s="84"/>
    </row>
    <row r="648" spans="4:8" ht="15.6">
      <c r="D648" s="84"/>
      <c r="E648" s="84"/>
      <c r="F648" s="84"/>
      <c r="G648" s="84"/>
      <c r="H648" s="84"/>
    </row>
    <row r="649" spans="4:8" ht="15.6">
      <c r="D649" s="84"/>
      <c r="E649" s="84"/>
      <c r="F649" s="84"/>
      <c r="G649" s="84"/>
      <c r="H649" s="84"/>
    </row>
    <row r="650" spans="4:8" ht="15.6">
      <c r="D650" s="84"/>
      <c r="E650" s="84"/>
      <c r="F650" s="84"/>
      <c r="G650" s="84"/>
      <c r="H650" s="84"/>
    </row>
    <row r="651" spans="4:8" ht="15.6">
      <c r="D651" s="84"/>
      <c r="E651" s="84"/>
      <c r="F651" s="84"/>
      <c r="G651" s="84"/>
      <c r="H651" s="84"/>
    </row>
    <row r="652" spans="4:8" ht="15.6">
      <c r="D652" s="84"/>
      <c r="E652" s="84"/>
      <c r="F652" s="84"/>
      <c r="G652" s="84"/>
      <c r="H652" s="84"/>
    </row>
    <row r="653" spans="4:8" ht="15.6">
      <c r="D653" s="84"/>
      <c r="E653" s="84"/>
      <c r="F653" s="84"/>
      <c r="G653" s="84"/>
      <c r="H653" s="84"/>
    </row>
    <row r="654" spans="4:8" ht="15.6">
      <c r="D654" s="84"/>
      <c r="E654" s="84"/>
      <c r="F654" s="84"/>
      <c r="G654" s="84"/>
      <c r="H654" s="84"/>
    </row>
    <row r="655" spans="4:8" ht="15.6">
      <c r="D655" s="84"/>
      <c r="E655" s="84"/>
      <c r="F655" s="84"/>
      <c r="G655" s="84"/>
      <c r="H655" s="84"/>
    </row>
    <row r="656" spans="4:8" ht="15.6">
      <c r="D656" s="84"/>
      <c r="E656" s="84"/>
      <c r="F656" s="84"/>
      <c r="G656" s="84"/>
      <c r="H656" s="84"/>
    </row>
    <row r="657" spans="4:8" ht="15.6">
      <c r="D657" s="84"/>
      <c r="E657" s="84"/>
      <c r="F657" s="84"/>
      <c r="G657" s="84"/>
      <c r="H657" s="84"/>
    </row>
    <row r="658" spans="4:8" ht="15.6">
      <c r="D658" s="84"/>
      <c r="E658" s="84"/>
      <c r="F658" s="84"/>
      <c r="G658" s="84"/>
      <c r="H658" s="84"/>
    </row>
    <row r="659" spans="4:8" ht="15.6">
      <c r="D659" s="84"/>
      <c r="E659" s="84"/>
      <c r="F659" s="84"/>
      <c r="G659" s="84"/>
      <c r="H659" s="84"/>
    </row>
    <row r="660" spans="4:8" ht="15.6">
      <c r="D660" s="84"/>
      <c r="E660" s="84"/>
      <c r="F660" s="84"/>
      <c r="G660" s="84"/>
      <c r="H660" s="84"/>
    </row>
    <row r="661" spans="4:8" ht="15.6">
      <c r="D661" s="84"/>
      <c r="E661" s="84"/>
      <c r="F661" s="84"/>
      <c r="G661" s="84"/>
      <c r="H661" s="84"/>
    </row>
    <row r="662" spans="4:8" ht="15.6">
      <c r="D662" s="84"/>
      <c r="E662" s="84"/>
      <c r="F662" s="84"/>
      <c r="G662" s="84"/>
      <c r="H662" s="84"/>
    </row>
    <row r="663" spans="4:8" ht="15.6">
      <c r="D663" s="84"/>
      <c r="E663" s="84"/>
      <c r="F663" s="84"/>
      <c r="G663" s="84"/>
      <c r="H663" s="84"/>
    </row>
    <row r="664" spans="4:8" ht="15.6">
      <c r="D664" s="84"/>
      <c r="E664" s="84"/>
      <c r="F664" s="84"/>
      <c r="G664" s="84"/>
      <c r="H664" s="84"/>
    </row>
    <row r="665" spans="4:8" ht="15.6">
      <c r="D665" s="84"/>
      <c r="E665" s="84"/>
      <c r="F665" s="84"/>
      <c r="G665" s="84"/>
      <c r="H665" s="84"/>
    </row>
    <row r="666" spans="4:8" ht="15.6">
      <c r="D666" s="84"/>
      <c r="E666" s="84"/>
      <c r="F666" s="84"/>
      <c r="G666" s="84"/>
      <c r="H666" s="84"/>
    </row>
    <row r="667" spans="4:8" ht="15.6">
      <c r="D667" s="84"/>
      <c r="E667" s="84"/>
      <c r="F667" s="84"/>
      <c r="G667" s="84"/>
      <c r="H667" s="84"/>
    </row>
    <row r="668" spans="4:8" ht="15.6">
      <c r="D668" s="84"/>
      <c r="E668" s="84"/>
      <c r="F668" s="84"/>
      <c r="G668" s="84"/>
      <c r="H668" s="84"/>
    </row>
    <row r="669" spans="4:8" ht="15.6">
      <c r="D669" s="84"/>
      <c r="E669" s="84"/>
      <c r="F669" s="84"/>
      <c r="G669" s="84"/>
      <c r="H669" s="84"/>
    </row>
    <row r="670" spans="4:8" ht="15.6">
      <c r="D670" s="84"/>
      <c r="E670" s="84"/>
      <c r="F670" s="84"/>
      <c r="G670" s="84"/>
      <c r="H670" s="84"/>
    </row>
    <row r="671" spans="4:8" ht="15.6">
      <c r="D671" s="84"/>
      <c r="E671" s="84"/>
      <c r="F671" s="84"/>
      <c r="G671" s="84"/>
      <c r="H671" s="84"/>
    </row>
    <row r="672" spans="4:8" ht="15.6">
      <c r="D672" s="84"/>
      <c r="E672" s="84"/>
      <c r="F672" s="84"/>
      <c r="G672" s="84"/>
      <c r="H672" s="84"/>
    </row>
    <row r="673" spans="4:8" ht="15.6">
      <c r="D673" s="84"/>
      <c r="E673" s="84"/>
      <c r="F673" s="84"/>
      <c r="G673" s="84"/>
      <c r="H673" s="84"/>
    </row>
    <row r="674" spans="4:8" ht="15.6">
      <c r="D674" s="84"/>
      <c r="E674" s="84"/>
      <c r="F674" s="84"/>
      <c r="G674" s="84"/>
      <c r="H674" s="84"/>
    </row>
    <row r="675" spans="4:8" ht="15.6">
      <c r="D675" s="84"/>
      <c r="E675" s="84"/>
      <c r="F675" s="84"/>
      <c r="G675" s="84"/>
      <c r="H675" s="84"/>
    </row>
    <row r="676" spans="4:8" ht="15.6">
      <c r="D676" s="84"/>
      <c r="E676" s="84"/>
      <c r="F676" s="84"/>
      <c r="G676" s="84"/>
      <c r="H676" s="84"/>
    </row>
    <row r="677" spans="4:8" ht="15.6">
      <c r="D677" s="84"/>
      <c r="E677" s="84"/>
      <c r="F677" s="84"/>
      <c r="G677" s="84"/>
      <c r="H677" s="84"/>
    </row>
    <row r="678" spans="4:8" ht="15.6">
      <c r="D678" s="84"/>
      <c r="E678" s="84"/>
      <c r="F678" s="84"/>
      <c r="G678" s="84"/>
      <c r="H678" s="84"/>
    </row>
    <row r="679" spans="4:8" ht="15.6">
      <c r="D679" s="84"/>
      <c r="E679" s="84"/>
      <c r="F679" s="84"/>
      <c r="G679" s="84"/>
      <c r="H679" s="84"/>
    </row>
    <row r="680" spans="4:8" ht="15.6">
      <c r="D680" s="84"/>
      <c r="E680" s="84"/>
      <c r="F680" s="84"/>
      <c r="G680" s="84"/>
      <c r="H680" s="84"/>
    </row>
    <row r="681" spans="4:8" ht="15.6">
      <c r="D681" s="84"/>
      <c r="E681" s="84"/>
      <c r="F681" s="84"/>
      <c r="G681" s="84"/>
      <c r="H681" s="84"/>
    </row>
    <row r="682" spans="4:8" ht="15.6">
      <c r="D682" s="84"/>
      <c r="E682" s="84"/>
      <c r="F682" s="84"/>
      <c r="G682" s="84"/>
      <c r="H682" s="84"/>
    </row>
    <row r="683" spans="4:8" ht="15.6">
      <c r="D683" s="84"/>
      <c r="E683" s="84"/>
      <c r="F683" s="84"/>
      <c r="G683" s="84"/>
      <c r="H683" s="84"/>
    </row>
    <row r="684" spans="4:8" ht="15.6">
      <c r="D684" s="84"/>
      <c r="E684" s="84"/>
      <c r="F684" s="84"/>
      <c r="G684" s="84"/>
      <c r="H684" s="84"/>
    </row>
    <row r="685" spans="4:8" ht="15.6">
      <c r="D685" s="84"/>
      <c r="E685" s="84"/>
      <c r="F685" s="84"/>
      <c r="G685" s="84"/>
      <c r="H685" s="84"/>
    </row>
    <row r="686" spans="4:8" ht="15.6">
      <c r="D686" s="84"/>
      <c r="E686" s="84"/>
      <c r="F686" s="84"/>
      <c r="G686" s="84"/>
      <c r="H686" s="84"/>
    </row>
    <row r="687" spans="4:8" ht="15.6">
      <c r="D687" s="84"/>
      <c r="E687" s="84"/>
      <c r="F687" s="84"/>
      <c r="G687" s="84"/>
      <c r="H687" s="84"/>
    </row>
    <row r="688" spans="4:8" ht="15.6">
      <c r="D688" s="84"/>
      <c r="E688" s="84"/>
      <c r="F688" s="84"/>
      <c r="G688" s="84"/>
      <c r="H688" s="84"/>
    </row>
    <row r="689" spans="4:8" ht="15.6">
      <c r="D689" s="84"/>
      <c r="E689" s="84"/>
      <c r="F689" s="84"/>
      <c r="G689" s="84"/>
      <c r="H689" s="84"/>
    </row>
    <row r="690" spans="4:8" ht="15.6">
      <c r="D690" s="84"/>
      <c r="E690" s="84"/>
      <c r="F690" s="84"/>
      <c r="G690" s="84"/>
      <c r="H690" s="84"/>
    </row>
    <row r="691" spans="4:8" ht="15.6">
      <c r="D691" s="84"/>
      <c r="E691" s="84"/>
      <c r="F691" s="84"/>
      <c r="G691" s="84"/>
      <c r="H691" s="84"/>
    </row>
    <row r="692" spans="4:8" ht="15.6">
      <c r="D692" s="84"/>
      <c r="E692" s="84"/>
      <c r="F692" s="84"/>
      <c r="G692" s="84"/>
      <c r="H692" s="84"/>
    </row>
    <row r="693" spans="4:8" ht="15.6">
      <c r="D693" s="84"/>
      <c r="E693" s="84"/>
      <c r="F693" s="84"/>
      <c r="G693" s="84"/>
      <c r="H693" s="84"/>
    </row>
    <row r="694" spans="4:8" ht="15.6">
      <c r="D694" s="84"/>
      <c r="E694" s="84"/>
      <c r="F694" s="84"/>
      <c r="G694" s="84"/>
      <c r="H694" s="84"/>
    </row>
    <row r="695" spans="4:8" ht="15.6">
      <c r="D695" s="84"/>
      <c r="E695" s="84"/>
      <c r="F695" s="84"/>
      <c r="G695" s="84"/>
      <c r="H695" s="84"/>
    </row>
    <row r="696" spans="4:8" ht="15.6">
      <c r="D696" s="84"/>
      <c r="E696" s="84"/>
      <c r="F696" s="84"/>
      <c r="G696" s="84"/>
      <c r="H696" s="84"/>
    </row>
    <row r="697" spans="4:8" ht="15.6">
      <c r="D697" s="84"/>
      <c r="E697" s="84"/>
      <c r="F697" s="84"/>
      <c r="G697" s="84"/>
      <c r="H697" s="84"/>
    </row>
    <row r="698" spans="4:8" ht="15.6">
      <c r="D698" s="84"/>
      <c r="E698" s="84"/>
      <c r="F698" s="84"/>
      <c r="G698" s="84"/>
      <c r="H698" s="84"/>
    </row>
    <row r="699" spans="4:8" ht="15.6">
      <c r="D699" s="84"/>
      <c r="E699" s="84"/>
      <c r="F699" s="84"/>
      <c r="G699" s="84"/>
      <c r="H699" s="84"/>
    </row>
    <row r="700" spans="4:8" ht="15.6">
      <c r="D700" s="84"/>
      <c r="E700" s="84"/>
      <c r="F700" s="84"/>
      <c r="G700" s="84"/>
      <c r="H700" s="84"/>
    </row>
    <row r="701" spans="4:8" ht="15.6">
      <c r="D701" s="84"/>
      <c r="E701" s="84"/>
      <c r="F701" s="84"/>
      <c r="G701" s="84"/>
      <c r="H701" s="84"/>
    </row>
    <row r="702" spans="4:8" ht="15.6">
      <c r="D702" s="84"/>
      <c r="E702" s="84"/>
      <c r="F702" s="84"/>
      <c r="G702" s="84"/>
      <c r="H702" s="84"/>
    </row>
    <row r="703" spans="4:8" ht="15.6">
      <c r="D703" s="84"/>
      <c r="E703" s="84"/>
      <c r="F703" s="84"/>
      <c r="G703" s="84"/>
      <c r="H703" s="84"/>
    </row>
    <row r="704" spans="4:8" ht="15.6">
      <c r="D704" s="84"/>
      <c r="E704" s="84"/>
      <c r="F704" s="84"/>
      <c r="G704" s="84"/>
      <c r="H704" s="84"/>
    </row>
    <row r="705" spans="4:8" ht="15.6">
      <c r="D705" s="84"/>
      <c r="E705" s="84"/>
      <c r="F705" s="84"/>
      <c r="G705" s="84"/>
      <c r="H705" s="84"/>
    </row>
    <row r="706" spans="4:8" ht="15.6">
      <c r="D706" s="84"/>
      <c r="E706" s="84"/>
      <c r="F706" s="84"/>
      <c r="G706" s="84"/>
      <c r="H706" s="84"/>
    </row>
    <row r="707" spans="4:8" ht="15.6">
      <c r="D707" s="84"/>
      <c r="E707" s="84"/>
      <c r="F707" s="84"/>
      <c r="G707" s="84"/>
      <c r="H707" s="84"/>
    </row>
    <row r="708" spans="4:8" ht="15.6">
      <c r="D708" s="84"/>
      <c r="E708" s="84"/>
      <c r="F708" s="84"/>
      <c r="G708" s="84"/>
      <c r="H708" s="84"/>
    </row>
    <row r="709" spans="4:8" ht="15.6">
      <c r="D709" s="84"/>
      <c r="E709" s="84"/>
      <c r="F709" s="84"/>
      <c r="G709" s="84"/>
      <c r="H709" s="84"/>
    </row>
    <row r="710" spans="4:8" ht="15.6">
      <c r="D710" s="84"/>
      <c r="E710" s="84"/>
      <c r="F710" s="84"/>
      <c r="G710" s="84"/>
      <c r="H710" s="84"/>
    </row>
    <row r="711" spans="4:8" ht="15.6">
      <c r="D711" s="84"/>
      <c r="E711" s="84"/>
      <c r="F711" s="84"/>
      <c r="G711" s="84"/>
      <c r="H711" s="84"/>
    </row>
    <row r="712" spans="4:8" ht="15.6">
      <c r="D712" s="84"/>
      <c r="E712" s="84"/>
      <c r="F712" s="84"/>
      <c r="G712" s="84"/>
      <c r="H712" s="84"/>
    </row>
    <row r="713" spans="4:8" ht="15.6">
      <c r="D713" s="84"/>
      <c r="E713" s="84"/>
      <c r="F713" s="84"/>
      <c r="G713" s="84"/>
      <c r="H713" s="84"/>
    </row>
    <row r="714" spans="4:8" ht="15.6">
      <c r="D714" s="84"/>
      <c r="E714" s="84"/>
      <c r="F714" s="84"/>
      <c r="G714" s="84"/>
      <c r="H714" s="84"/>
    </row>
    <row r="715" spans="4:8" ht="15.6">
      <c r="D715" s="84"/>
      <c r="E715" s="84"/>
      <c r="F715" s="84"/>
      <c r="G715" s="84"/>
      <c r="H715" s="84"/>
    </row>
    <row r="716" spans="4:8" ht="15.6">
      <c r="D716" s="84"/>
      <c r="E716" s="84"/>
      <c r="F716" s="84"/>
      <c r="G716" s="84"/>
      <c r="H716" s="84"/>
    </row>
    <row r="717" spans="4:8" ht="15.6">
      <c r="D717" s="84"/>
      <c r="E717" s="84"/>
      <c r="F717" s="84"/>
      <c r="G717" s="84"/>
      <c r="H717" s="84"/>
    </row>
    <row r="718" spans="4:8" ht="15.6">
      <c r="D718" s="84"/>
      <c r="E718" s="84"/>
      <c r="F718" s="84"/>
      <c r="G718" s="84"/>
      <c r="H718" s="84"/>
    </row>
    <row r="719" spans="4:8" ht="15.6">
      <c r="D719" s="84"/>
      <c r="E719" s="84"/>
      <c r="F719" s="84"/>
      <c r="G719" s="84"/>
      <c r="H719" s="84"/>
    </row>
    <row r="720" spans="4:8" ht="15.6">
      <c r="D720" s="84"/>
      <c r="E720" s="84"/>
      <c r="F720" s="84"/>
      <c r="G720" s="84"/>
      <c r="H720" s="84"/>
    </row>
    <row r="721" spans="4:8" ht="15.6">
      <c r="D721" s="84"/>
      <c r="E721" s="84"/>
      <c r="F721" s="84"/>
      <c r="G721" s="84"/>
      <c r="H721" s="84"/>
    </row>
    <row r="722" spans="4:8" ht="15.6">
      <c r="D722" s="84"/>
      <c r="E722" s="84"/>
      <c r="F722" s="84"/>
      <c r="G722" s="84"/>
      <c r="H722" s="84"/>
    </row>
    <row r="723" spans="4:8" ht="15.6">
      <c r="D723" s="84"/>
      <c r="E723" s="84"/>
      <c r="F723" s="84"/>
      <c r="G723" s="84"/>
      <c r="H723" s="84"/>
    </row>
    <row r="724" spans="4:8" ht="15.6">
      <c r="D724" s="84"/>
      <c r="E724" s="84"/>
      <c r="F724" s="84"/>
      <c r="G724" s="84"/>
      <c r="H724" s="84"/>
    </row>
    <row r="725" spans="4:8" ht="15.6">
      <c r="D725" s="84"/>
      <c r="E725" s="84"/>
      <c r="F725" s="84"/>
      <c r="G725" s="84"/>
      <c r="H725" s="84"/>
    </row>
    <row r="726" spans="4:8" ht="15.6">
      <c r="D726" s="84"/>
      <c r="E726" s="84"/>
      <c r="F726" s="84"/>
      <c r="G726" s="84"/>
      <c r="H726" s="84"/>
    </row>
    <row r="727" spans="4:8" ht="15.6">
      <c r="D727" s="84"/>
      <c r="E727" s="84"/>
      <c r="F727" s="84"/>
      <c r="G727" s="84"/>
      <c r="H727" s="84"/>
    </row>
    <row r="728" spans="4:8" ht="15.6">
      <c r="D728" s="84"/>
      <c r="E728" s="84"/>
      <c r="F728" s="84"/>
      <c r="G728" s="84"/>
      <c r="H728" s="84"/>
    </row>
    <row r="729" spans="4:8" ht="15.6">
      <c r="D729" s="84"/>
      <c r="E729" s="84"/>
      <c r="F729" s="84"/>
      <c r="G729" s="84"/>
      <c r="H729" s="84"/>
    </row>
    <row r="730" spans="4:8" ht="15.6">
      <c r="D730" s="84"/>
      <c r="E730" s="84"/>
      <c r="F730" s="84"/>
      <c r="G730" s="84"/>
      <c r="H730" s="84"/>
    </row>
    <row r="731" spans="4:8" ht="15.6">
      <c r="D731" s="84"/>
      <c r="E731" s="84"/>
      <c r="F731" s="84"/>
      <c r="G731" s="84"/>
      <c r="H731" s="84"/>
    </row>
    <row r="732" spans="4:8" ht="15.6">
      <c r="D732" s="84"/>
      <c r="E732" s="84"/>
      <c r="F732" s="84"/>
      <c r="G732" s="84"/>
      <c r="H732" s="84"/>
    </row>
    <row r="733" spans="4:8" ht="15.6">
      <c r="D733" s="84"/>
      <c r="E733" s="84"/>
      <c r="F733" s="84"/>
      <c r="G733" s="84"/>
      <c r="H733" s="84"/>
    </row>
    <row r="734" spans="4:8" ht="15.6">
      <c r="D734" s="84"/>
      <c r="E734" s="84"/>
      <c r="F734" s="84"/>
      <c r="G734" s="84"/>
      <c r="H734" s="84"/>
    </row>
    <row r="735" spans="4:8" ht="15.6">
      <c r="D735" s="84"/>
      <c r="E735" s="84"/>
      <c r="F735" s="84"/>
      <c r="G735" s="84"/>
      <c r="H735" s="84"/>
    </row>
    <row r="736" spans="4:8" ht="15.6">
      <c r="D736" s="84"/>
      <c r="E736" s="84"/>
      <c r="F736" s="84"/>
      <c r="G736" s="84"/>
      <c r="H736" s="84"/>
    </row>
    <row r="737" spans="4:8" ht="15.6">
      <c r="D737" s="84"/>
      <c r="E737" s="84"/>
      <c r="F737" s="84"/>
      <c r="G737" s="84"/>
      <c r="H737" s="84"/>
    </row>
    <row r="738" spans="4:8" ht="15.6">
      <c r="D738" s="84"/>
      <c r="E738" s="84"/>
      <c r="F738" s="84"/>
      <c r="G738" s="84"/>
      <c r="H738" s="84"/>
    </row>
    <row r="739" spans="4:8" ht="15.6">
      <c r="D739" s="84"/>
      <c r="E739" s="84"/>
      <c r="F739" s="84"/>
      <c r="G739" s="84"/>
      <c r="H739" s="84"/>
    </row>
    <row r="740" spans="4:8" ht="15.6">
      <c r="D740" s="84"/>
      <c r="E740" s="84"/>
      <c r="F740" s="84"/>
      <c r="G740" s="84"/>
      <c r="H740" s="84"/>
    </row>
    <row r="741" spans="4:8" ht="15.6">
      <c r="D741" s="84"/>
      <c r="E741" s="84"/>
      <c r="F741" s="84"/>
      <c r="G741" s="84"/>
      <c r="H741" s="84"/>
    </row>
    <row r="742" spans="4:8" ht="15.6">
      <c r="D742" s="84"/>
      <c r="E742" s="84"/>
      <c r="F742" s="84"/>
      <c r="G742" s="84"/>
      <c r="H742" s="84"/>
    </row>
    <row r="743" spans="4:8" ht="15.6">
      <c r="D743" s="84"/>
      <c r="E743" s="84"/>
      <c r="F743" s="84"/>
      <c r="G743" s="84"/>
      <c r="H743" s="84"/>
    </row>
    <row r="744" spans="4:8" ht="15.6">
      <c r="D744" s="84"/>
      <c r="E744" s="84"/>
      <c r="F744" s="84"/>
      <c r="G744" s="84"/>
      <c r="H744" s="84"/>
    </row>
    <row r="745" spans="4:8" ht="15.6">
      <c r="D745" s="84"/>
      <c r="E745" s="84"/>
      <c r="F745" s="84"/>
      <c r="G745" s="84"/>
      <c r="H745" s="84"/>
    </row>
    <row r="746" spans="4:8" ht="15.6">
      <c r="D746" s="84"/>
      <c r="E746" s="84"/>
      <c r="F746" s="84"/>
      <c r="G746" s="84"/>
      <c r="H746" s="84"/>
    </row>
    <row r="747" spans="4:8" ht="15.6">
      <c r="D747" s="84"/>
      <c r="E747" s="84"/>
      <c r="F747" s="84"/>
      <c r="G747" s="84"/>
      <c r="H747" s="84"/>
    </row>
    <row r="748" spans="4:8" ht="15.6">
      <c r="D748" s="84"/>
      <c r="E748" s="84"/>
      <c r="F748" s="84"/>
      <c r="G748" s="84"/>
      <c r="H748" s="84"/>
    </row>
    <row r="749" spans="4:8" ht="15.6">
      <c r="D749" s="84"/>
      <c r="E749" s="84"/>
      <c r="F749" s="84"/>
      <c r="G749" s="84"/>
      <c r="H749" s="84"/>
    </row>
    <row r="750" spans="4:8" ht="15.6">
      <c r="D750" s="84"/>
      <c r="E750" s="84"/>
      <c r="F750" s="84"/>
      <c r="G750" s="84"/>
      <c r="H750" s="84"/>
    </row>
    <row r="751" spans="4:8" ht="15.6">
      <c r="D751" s="84"/>
      <c r="E751" s="84"/>
      <c r="F751" s="84"/>
      <c r="G751" s="84"/>
      <c r="H751" s="84"/>
    </row>
    <row r="752" spans="4:8" ht="15.6">
      <c r="D752" s="84"/>
      <c r="E752" s="84"/>
      <c r="F752" s="84"/>
      <c r="G752" s="84"/>
      <c r="H752" s="84"/>
    </row>
    <row r="753" spans="4:8" ht="15.6">
      <c r="D753" s="84"/>
      <c r="E753" s="84"/>
      <c r="F753" s="84"/>
      <c r="G753" s="84"/>
      <c r="H753" s="84"/>
    </row>
    <row r="754" spans="4:8" ht="15.6">
      <c r="D754" s="84"/>
      <c r="E754" s="84"/>
      <c r="F754" s="84"/>
      <c r="G754" s="84"/>
      <c r="H754" s="84"/>
    </row>
    <row r="755" spans="4:8" ht="15.6">
      <c r="D755" s="84"/>
      <c r="E755" s="84"/>
      <c r="F755" s="84"/>
      <c r="G755" s="84"/>
      <c r="H755" s="84"/>
    </row>
    <row r="756" spans="4:8" ht="15.6">
      <c r="D756" s="84"/>
      <c r="E756" s="84"/>
      <c r="F756" s="84"/>
      <c r="G756" s="84"/>
      <c r="H756" s="84"/>
    </row>
    <row r="757" spans="4:8" ht="15.6">
      <c r="D757" s="84"/>
      <c r="E757" s="84"/>
      <c r="F757" s="84"/>
      <c r="G757" s="84"/>
      <c r="H757" s="84"/>
    </row>
    <row r="758" spans="4:8" ht="15.6">
      <c r="D758" s="84"/>
      <c r="E758" s="84"/>
      <c r="F758" s="84"/>
      <c r="G758" s="84"/>
      <c r="H758" s="84"/>
    </row>
    <row r="759" spans="4:8" ht="15.6">
      <c r="D759" s="84"/>
      <c r="E759" s="84"/>
      <c r="F759" s="84"/>
      <c r="G759" s="84"/>
      <c r="H759" s="84"/>
    </row>
    <row r="760" spans="4:8" ht="15.6">
      <c r="D760" s="84"/>
      <c r="E760" s="84"/>
      <c r="F760" s="84"/>
      <c r="G760" s="84"/>
      <c r="H760" s="84"/>
    </row>
    <row r="761" spans="4:8" ht="15.6">
      <c r="D761" s="84"/>
      <c r="E761" s="84"/>
      <c r="F761" s="84"/>
      <c r="G761" s="84"/>
      <c r="H761" s="84"/>
    </row>
    <row r="762" spans="4:8" ht="15.6">
      <c r="D762" s="84"/>
      <c r="E762" s="84"/>
      <c r="F762" s="84"/>
      <c r="G762" s="84"/>
      <c r="H762" s="84"/>
    </row>
    <row r="763" spans="4:8" ht="15.6">
      <c r="D763" s="84"/>
      <c r="E763" s="84"/>
      <c r="F763" s="84"/>
      <c r="G763" s="84"/>
      <c r="H763" s="84"/>
    </row>
    <row r="764" spans="4:8" ht="15.6">
      <c r="D764" s="84"/>
      <c r="E764" s="84"/>
      <c r="F764" s="84"/>
      <c r="G764" s="84"/>
      <c r="H764" s="84"/>
    </row>
    <row r="765" spans="4:8" ht="15.6">
      <c r="D765" s="84"/>
      <c r="E765" s="84"/>
      <c r="F765" s="84"/>
      <c r="G765" s="84"/>
      <c r="H765" s="84"/>
    </row>
    <row r="766" spans="4:8" ht="15.6">
      <c r="D766" s="84"/>
      <c r="E766" s="84"/>
      <c r="F766" s="84"/>
      <c r="G766" s="84"/>
      <c r="H766" s="84"/>
    </row>
    <row r="767" spans="4:8" ht="15.6">
      <c r="D767" s="84"/>
      <c r="E767" s="84"/>
      <c r="F767" s="84"/>
      <c r="G767" s="84"/>
      <c r="H767" s="84"/>
    </row>
    <row r="768" spans="4:8" ht="15.6">
      <c r="D768" s="84"/>
      <c r="E768" s="84"/>
      <c r="F768" s="84"/>
      <c r="G768" s="84"/>
      <c r="H768" s="84"/>
    </row>
    <row r="769" spans="4:8" ht="15.6">
      <c r="D769" s="84"/>
      <c r="E769" s="84"/>
      <c r="F769" s="84"/>
      <c r="G769" s="84"/>
      <c r="H769" s="84"/>
    </row>
    <row r="770" spans="4:8" ht="15.6">
      <c r="D770" s="84"/>
      <c r="E770" s="84"/>
      <c r="F770" s="84"/>
      <c r="G770" s="84"/>
      <c r="H770" s="84"/>
    </row>
    <row r="771" spans="4:8" ht="15.6">
      <c r="D771" s="84"/>
      <c r="E771" s="84"/>
      <c r="F771" s="84"/>
      <c r="G771" s="84"/>
      <c r="H771" s="84"/>
    </row>
    <row r="772" spans="4:8" ht="15.6">
      <c r="D772" s="84"/>
      <c r="E772" s="84"/>
      <c r="F772" s="84"/>
      <c r="G772" s="84"/>
      <c r="H772" s="84"/>
    </row>
    <row r="773" spans="4:8" ht="15.6">
      <c r="D773" s="84"/>
      <c r="E773" s="84"/>
      <c r="F773" s="84"/>
      <c r="G773" s="84"/>
      <c r="H773" s="84"/>
    </row>
    <row r="774" spans="4:8" ht="15.6">
      <c r="D774" s="84"/>
      <c r="E774" s="84"/>
      <c r="F774" s="84"/>
      <c r="G774" s="84"/>
      <c r="H774" s="84"/>
    </row>
    <row r="775" spans="4:8" ht="15.6">
      <c r="D775" s="84"/>
      <c r="E775" s="84"/>
      <c r="F775" s="84"/>
      <c r="G775" s="84"/>
      <c r="H775" s="84"/>
    </row>
    <row r="776" spans="4:8" ht="15.6">
      <c r="D776" s="84"/>
      <c r="E776" s="84"/>
      <c r="F776" s="84"/>
      <c r="G776" s="84"/>
      <c r="H776" s="84"/>
    </row>
    <row r="777" spans="4:8" ht="15.6">
      <c r="D777" s="84"/>
      <c r="E777" s="84"/>
      <c r="F777" s="84"/>
      <c r="G777" s="84"/>
      <c r="H777" s="84"/>
    </row>
    <row r="778" spans="4:8" ht="15.6">
      <c r="D778" s="84"/>
      <c r="E778" s="84"/>
      <c r="F778" s="84"/>
      <c r="G778" s="84"/>
      <c r="H778" s="84"/>
    </row>
    <row r="779" spans="4:8" ht="15.6">
      <c r="D779" s="84"/>
      <c r="E779" s="84"/>
      <c r="F779" s="84"/>
      <c r="G779" s="84"/>
      <c r="H779" s="84"/>
    </row>
    <row r="780" spans="4:8" ht="15.6">
      <c r="D780" s="84"/>
      <c r="E780" s="84"/>
      <c r="F780" s="84"/>
      <c r="G780" s="84"/>
      <c r="H780" s="84"/>
    </row>
    <row r="781" spans="4:8" ht="15.6">
      <c r="D781" s="84"/>
      <c r="E781" s="84"/>
      <c r="F781" s="84"/>
      <c r="G781" s="84"/>
      <c r="H781" s="84"/>
    </row>
    <row r="782" spans="4:8" ht="15.6">
      <c r="D782" s="84"/>
      <c r="E782" s="84"/>
      <c r="F782" s="84"/>
      <c r="G782" s="84"/>
      <c r="H782" s="84"/>
    </row>
    <row r="783" spans="4:8" ht="15.6">
      <c r="D783" s="84"/>
      <c r="E783" s="84"/>
      <c r="F783" s="84"/>
      <c r="G783" s="84"/>
      <c r="H783" s="84"/>
    </row>
    <row r="784" spans="4:8" ht="15.6">
      <c r="D784" s="84"/>
      <c r="E784" s="84"/>
      <c r="F784" s="84"/>
      <c r="G784" s="84"/>
      <c r="H784" s="84"/>
    </row>
    <row r="785" spans="4:8" ht="15.6">
      <c r="D785" s="84"/>
      <c r="E785" s="84"/>
      <c r="F785" s="84"/>
      <c r="G785" s="84"/>
      <c r="H785" s="84"/>
    </row>
    <row r="786" spans="4:8" ht="15.6">
      <c r="D786" s="84"/>
      <c r="E786" s="84"/>
      <c r="F786" s="84"/>
      <c r="G786" s="84"/>
      <c r="H786" s="84"/>
    </row>
    <row r="787" spans="4:8" ht="15.6">
      <c r="D787" s="84"/>
      <c r="E787" s="84"/>
      <c r="F787" s="84"/>
      <c r="G787" s="84"/>
      <c r="H787" s="84"/>
    </row>
    <row r="788" spans="4:8" ht="15.6">
      <c r="D788" s="84"/>
      <c r="E788" s="84"/>
      <c r="F788" s="84"/>
      <c r="G788" s="84"/>
      <c r="H788" s="84"/>
    </row>
    <row r="789" spans="4:8" ht="15.6">
      <c r="D789" s="84"/>
      <c r="E789" s="84"/>
      <c r="F789" s="84"/>
      <c r="G789" s="84"/>
      <c r="H789" s="84"/>
    </row>
    <row r="790" spans="4:8" ht="15.6">
      <c r="D790" s="84"/>
      <c r="E790" s="84"/>
      <c r="F790" s="84"/>
      <c r="G790" s="84"/>
      <c r="H790" s="84"/>
    </row>
    <row r="791" spans="4:8" ht="15.6">
      <c r="D791" s="84"/>
      <c r="E791" s="84"/>
      <c r="F791" s="84"/>
      <c r="G791" s="84"/>
      <c r="H791" s="84"/>
    </row>
    <row r="792" spans="4:8" ht="15.6">
      <c r="D792" s="84"/>
      <c r="E792" s="84"/>
      <c r="F792" s="84"/>
      <c r="G792" s="84"/>
      <c r="H792" s="84"/>
    </row>
    <row r="793" spans="4:8" ht="15.6">
      <c r="D793" s="84"/>
      <c r="E793" s="84"/>
      <c r="F793" s="84"/>
      <c r="G793" s="84"/>
      <c r="H793" s="84"/>
    </row>
    <row r="794" spans="4:8" ht="15.6">
      <c r="D794" s="84"/>
      <c r="E794" s="84"/>
      <c r="F794" s="84"/>
      <c r="G794" s="84"/>
      <c r="H794" s="84"/>
    </row>
    <row r="795" spans="4:8" ht="15.6">
      <c r="D795" s="84"/>
      <c r="E795" s="84"/>
      <c r="F795" s="84"/>
      <c r="G795" s="84"/>
      <c r="H795" s="84"/>
    </row>
    <row r="796" spans="4:8" ht="15.6">
      <c r="D796" s="84"/>
      <c r="E796" s="84"/>
      <c r="F796" s="84"/>
      <c r="G796" s="84"/>
      <c r="H796" s="84"/>
    </row>
    <row r="797" spans="4:8" ht="15.6">
      <c r="D797" s="84"/>
      <c r="E797" s="84"/>
      <c r="F797" s="84"/>
      <c r="G797" s="84"/>
      <c r="H797" s="84"/>
    </row>
    <row r="798" spans="4:8" ht="15.6">
      <c r="D798" s="84"/>
      <c r="E798" s="84"/>
      <c r="F798" s="84"/>
      <c r="G798" s="84"/>
      <c r="H798" s="84"/>
    </row>
    <row r="799" spans="4:8" ht="15.6">
      <c r="D799" s="84"/>
      <c r="E799" s="84"/>
      <c r="F799" s="84"/>
      <c r="G799" s="84"/>
      <c r="H799" s="84"/>
    </row>
    <row r="800" spans="4:8" ht="15.6">
      <c r="D800" s="84"/>
      <c r="E800" s="84"/>
      <c r="F800" s="84"/>
      <c r="G800" s="84"/>
      <c r="H800" s="84"/>
    </row>
    <row r="801" spans="4:8" ht="15.6">
      <c r="D801" s="84"/>
      <c r="E801" s="84"/>
      <c r="F801" s="84"/>
      <c r="G801" s="84"/>
      <c r="H801" s="84"/>
    </row>
    <row r="802" spans="4:8" ht="15.6">
      <c r="D802" s="84"/>
      <c r="E802" s="84"/>
      <c r="F802" s="84"/>
      <c r="G802" s="84"/>
      <c r="H802" s="84"/>
    </row>
    <row r="803" spans="4:8" ht="15.6">
      <c r="D803" s="84"/>
      <c r="E803" s="84"/>
      <c r="F803" s="84"/>
      <c r="G803" s="84"/>
      <c r="H803" s="84"/>
    </row>
    <row r="804" spans="4:8" ht="15.6">
      <c r="D804" s="84"/>
      <c r="E804" s="84"/>
      <c r="F804" s="84"/>
      <c r="G804" s="84"/>
      <c r="H804" s="84"/>
    </row>
    <row r="805" spans="4:8" ht="15.6">
      <c r="D805" s="84"/>
      <c r="E805" s="84"/>
      <c r="F805" s="84"/>
      <c r="G805" s="84"/>
      <c r="H805" s="84"/>
    </row>
    <row r="806" spans="4:8" ht="15.6">
      <c r="D806" s="84"/>
      <c r="E806" s="84"/>
      <c r="F806" s="84"/>
      <c r="G806" s="84"/>
      <c r="H806" s="84"/>
    </row>
    <row r="807" spans="4:8" ht="15.6">
      <c r="D807" s="84"/>
      <c r="E807" s="84"/>
      <c r="F807" s="84"/>
      <c r="G807" s="84"/>
      <c r="H807" s="84"/>
    </row>
    <row r="808" spans="4:8" ht="15.6">
      <c r="D808" s="84"/>
      <c r="E808" s="84"/>
      <c r="F808" s="84"/>
      <c r="G808" s="84"/>
      <c r="H808" s="84"/>
    </row>
    <row r="809" spans="4:8" ht="15.6">
      <c r="D809" s="84"/>
      <c r="E809" s="84"/>
      <c r="F809" s="84"/>
      <c r="G809" s="84"/>
      <c r="H809" s="84"/>
    </row>
    <row r="810" spans="4:8" ht="15.6">
      <c r="D810" s="84"/>
      <c r="E810" s="84"/>
      <c r="F810" s="84"/>
      <c r="G810" s="84"/>
      <c r="H810" s="84"/>
    </row>
    <row r="811" spans="4:8" ht="15.6">
      <c r="D811" s="84"/>
      <c r="E811" s="84"/>
      <c r="F811" s="84"/>
      <c r="G811" s="84"/>
      <c r="H811" s="84"/>
    </row>
    <row r="812" spans="4:8" ht="15.6">
      <c r="D812" s="84"/>
      <c r="E812" s="84"/>
      <c r="F812" s="84"/>
      <c r="G812" s="84"/>
      <c r="H812" s="84"/>
    </row>
    <row r="813" spans="4:8" ht="15.6">
      <c r="D813" s="84"/>
      <c r="E813" s="84"/>
      <c r="F813" s="84"/>
      <c r="G813" s="84"/>
      <c r="H813" s="84"/>
    </row>
    <row r="814" spans="4:8" ht="15.6">
      <c r="D814" s="84"/>
      <c r="E814" s="84"/>
      <c r="F814" s="84"/>
      <c r="G814" s="84"/>
      <c r="H814" s="84"/>
    </row>
    <row r="815" spans="4:8" ht="15.6">
      <c r="D815" s="84"/>
      <c r="E815" s="84"/>
      <c r="F815" s="84"/>
      <c r="G815" s="84"/>
      <c r="H815" s="84"/>
    </row>
    <row r="816" spans="4:8" ht="15.6">
      <c r="D816" s="84"/>
      <c r="E816" s="84"/>
      <c r="F816" s="84"/>
      <c r="G816" s="84"/>
      <c r="H816" s="84"/>
    </row>
    <row r="817" spans="4:8" ht="15.6">
      <c r="D817" s="84"/>
      <c r="E817" s="84"/>
      <c r="F817" s="84"/>
      <c r="G817" s="84"/>
      <c r="H817" s="84"/>
    </row>
    <row r="818" spans="4:8" ht="15.6">
      <c r="D818" s="84"/>
      <c r="E818" s="84"/>
      <c r="F818" s="84"/>
      <c r="G818" s="84"/>
      <c r="H818" s="84"/>
    </row>
    <row r="819" spans="4:8" ht="15.6">
      <c r="D819" s="84"/>
      <c r="E819" s="84"/>
      <c r="F819" s="84"/>
      <c r="G819" s="84"/>
      <c r="H819" s="84"/>
    </row>
    <row r="820" spans="4:8" ht="15.6">
      <c r="D820" s="84"/>
      <c r="E820" s="84"/>
      <c r="F820" s="84"/>
      <c r="G820" s="84"/>
      <c r="H820" s="84"/>
    </row>
    <row r="821" spans="4:8" ht="15.6">
      <c r="D821" s="84"/>
      <c r="E821" s="84"/>
      <c r="F821" s="84"/>
      <c r="G821" s="84"/>
      <c r="H821" s="84"/>
    </row>
    <row r="822" spans="4:8" ht="15.6">
      <c r="D822" s="84"/>
      <c r="E822" s="84"/>
      <c r="F822" s="84"/>
      <c r="G822" s="84"/>
      <c r="H822" s="84"/>
    </row>
    <row r="823" spans="4:8" ht="15.6">
      <c r="D823" s="84"/>
      <c r="E823" s="84"/>
      <c r="F823" s="84"/>
      <c r="G823" s="84"/>
      <c r="H823" s="84"/>
    </row>
    <row r="824" spans="4:8" ht="15.6">
      <c r="D824" s="84"/>
      <c r="E824" s="84"/>
      <c r="F824" s="84"/>
      <c r="G824" s="84"/>
      <c r="H824" s="84"/>
    </row>
    <row r="825" spans="4:8" ht="15.6">
      <c r="D825" s="84"/>
      <c r="E825" s="84"/>
      <c r="F825" s="84"/>
      <c r="G825" s="84"/>
      <c r="H825" s="84"/>
    </row>
    <row r="826" spans="4:8" ht="15.6">
      <c r="D826" s="84"/>
      <c r="E826" s="84"/>
      <c r="F826" s="84"/>
      <c r="G826" s="84"/>
      <c r="H826" s="84"/>
    </row>
    <row r="827" spans="4:8" ht="15.6">
      <c r="D827" s="84"/>
      <c r="E827" s="84"/>
      <c r="F827" s="84"/>
      <c r="G827" s="84"/>
      <c r="H827" s="84"/>
    </row>
    <row r="828" spans="4:8" ht="15.6">
      <c r="D828" s="84"/>
      <c r="E828" s="84"/>
      <c r="F828" s="84"/>
      <c r="G828" s="84"/>
      <c r="H828" s="84"/>
    </row>
    <row r="829" spans="4:8" ht="15.6">
      <c r="D829" s="84"/>
      <c r="E829" s="84"/>
      <c r="F829" s="84"/>
      <c r="G829" s="84"/>
      <c r="H829" s="84"/>
    </row>
    <row r="830" spans="4:8" ht="15.6">
      <c r="D830" s="84"/>
      <c r="E830" s="84"/>
      <c r="F830" s="84"/>
      <c r="G830" s="84"/>
      <c r="H830" s="84"/>
    </row>
    <row r="831" spans="4:8" ht="15.6">
      <c r="D831" s="84"/>
      <c r="E831" s="84"/>
      <c r="F831" s="84"/>
      <c r="G831" s="84"/>
      <c r="H831" s="84"/>
    </row>
    <row r="832" spans="4:8" ht="15.6">
      <c r="D832" s="84"/>
      <c r="E832" s="84"/>
      <c r="F832" s="84"/>
      <c r="G832" s="84"/>
      <c r="H832" s="84"/>
    </row>
    <row r="833" spans="4:8" ht="15.6">
      <c r="D833" s="84"/>
      <c r="E833" s="84"/>
      <c r="F833" s="84"/>
      <c r="G833" s="84"/>
      <c r="H833" s="84"/>
    </row>
    <row r="834" spans="4:8" ht="15.6">
      <c r="D834" s="84"/>
      <c r="E834" s="84"/>
      <c r="F834" s="84"/>
      <c r="G834" s="84"/>
      <c r="H834" s="84"/>
    </row>
    <row r="835" spans="4:8" ht="15.6">
      <c r="D835" s="84"/>
      <c r="E835" s="84"/>
      <c r="F835" s="84"/>
      <c r="G835" s="84"/>
      <c r="H835" s="84"/>
    </row>
    <row r="836" spans="4:8" ht="15.6">
      <c r="D836" s="84"/>
      <c r="E836" s="84"/>
      <c r="F836" s="84"/>
      <c r="G836" s="84"/>
      <c r="H836" s="84"/>
    </row>
    <row r="837" spans="4:8" ht="15.6">
      <c r="D837" s="84"/>
      <c r="E837" s="84"/>
      <c r="F837" s="84"/>
      <c r="G837" s="84"/>
      <c r="H837" s="84"/>
    </row>
    <row r="838" spans="4:8" ht="15.6">
      <c r="D838" s="84"/>
      <c r="E838" s="84"/>
      <c r="F838" s="84"/>
      <c r="G838" s="84"/>
      <c r="H838" s="84"/>
    </row>
    <row r="839" spans="4:8" ht="15.6">
      <c r="D839" s="84"/>
      <c r="E839" s="84"/>
      <c r="F839" s="84"/>
      <c r="G839" s="84"/>
      <c r="H839" s="84"/>
    </row>
    <row r="840" spans="4:8" ht="15.6">
      <c r="D840" s="84"/>
      <c r="E840" s="84"/>
      <c r="F840" s="84"/>
      <c r="G840" s="84"/>
      <c r="H840" s="84"/>
    </row>
    <row r="841" spans="4:8" ht="15.6">
      <c r="D841" s="84"/>
      <c r="E841" s="84"/>
      <c r="F841" s="84"/>
      <c r="G841" s="84"/>
      <c r="H841" s="84"/>
    </row>
    <row r="842" spans="4:8" ht="15.6">
      <c r="D842" s="84"/>
      <c r="E842" s="84"/>
      <c r="F842" s="84"/>
      <c r="G842" s="84"/>
      <c r="H842" s="84"/>
    </row>
    <row r="843" spans="4:8" ht="15.6">
      <c r="D843" s="84"/>
      <c r="E843" s="84"/>
      <c r="F843" s="84"/>
      <c r="G843" s="84"/>
      <c r="H843" s="84"/>
    </row>
    <row r="844" spans="4:8" ht="15.6">
      <c r="D844" s="84"/>
      <c r="E844" s="84"/>
      <c r="F844" s="84"/>
      <c r="G844" s="84"/>
      <c r="H844" s="84"/>
    </row>
    <row r="845" spans="4:8" ht="15.6">
      <c r="D845" s="84"/>
      <c r="E845" s="84"/>
      <c r="F845" s="84"/>
      <c r="G845" s="84"/>
      <c r="H845" s="84"/>
    </row>
    <row r="846" spans="4:8" ht="15.6">
      <c r="D846" s="84"/>
      <c r="E846" s="84"/>
      <c r="F846" s="84"/>
      <c r="G846" s="84"/>
      <c r="H846" s="84"/>
    </row>
    <row r="847" spans="4:8" ht="15.6">
      <c r="D847" s="84"/>
      <c r="E847" s="84"/>
      <c r="F847" s="84"/>
      <c r="G847" s="84"/>
      <c r="H847" s="84"/>
    </row>
    <row r="848" spans="4:8" ht="15.6">
      <c r="D848" s="84"/>
      <c r="E848" s="84"/>
      <c r="F848" s="84"/>
      <c r="G848" s="84"/>
      <c r="H848" s="84"/>
    </row>
    <row r="849" spans="4:8" ht="15.6">
      <c r="D849" s="84"/>
      <c r="E849" s="84"/>
      <c r="F849" s="84"/>
      <c r="G849" s="84"/>
      <c r="H849" s="84"/>
    </row>
    <row r="850" spans="4:8" ht="15.6">
      <c r="D850" s="84"/>
      <c r="E850" s="84"/>
      <c r="F850" s="84"/>
      <c r="G850" s="84"/>
      <c r="H850" s="84"/>
    </row>
    <row r="851" spans="4:8" ht="15.6">
      <c r="D851" s="84"/>
      <c r="E851" s="84"/>
      <c r="F851" s="84"/>
      <c r="G851" s="84"/>
      <c r="H851" s="84"/>
    </row>
    <row r="852" spans="4:8" ht="15.6">
      <c r="D852" s="84"/>
      <c r="E852" s="84"/>
      <c r="F852" s="84"/>
      <c r="G852" s="84"/>
      <c r="H852" s="84"/>
    </row>
    <row r="853" spans="4:8" ht="15.6">
      <c r="D853" s="84"/>
      <c r="E853" s="84"/>
      <c r="F853" s="84"/>
      <c r="G853" s="84"/>
      <c r="H853" s="84"/>
    </row>
    <row r="854" spans="4:8" ht="15.6">
      <c r="D854" s="84"/>
      <c r="E854" s="84"/>
      <c r="F854" s="84"/>
      <c r="G854" s="84"/>
      <c r="H854" s="84"/>
    </row>
    <row r="855" spans="4:8" ht="15.6">
      <c r="D855" s="84"/>
      <c r="E855" s="84"/>
      <c r="F855" s="84"/>
      <c r="G855" s="84"/>
      <c r="H855" s="84"/>
    </row>
    <row r="856" spans="4:8" ht="15.6">
      <c r="D856" s="84"/>
      <c r="E856" s="84"/>
      <c r="F856" s="84"/>
      <c r="G856" s="84"/>
      <c r="H856" s="84"/>
    </row>
    <row r="857" spans="4:8" ht="15.6">
      <c r="D857" s="84"/>
      <c r="E857" s="84"/>
      <c r="F857" s="84"/>
      <c r="G857" s="84"/>
      <c r="H857" s="84"/>
    </row>
    <row r="858" spans="4:8" ht="15.6">
      <c r="D858" s="84"/>
      <c r="E858" s="84"/>
      <c r="F858" s="84"/>
      <c r="G858" s="84"/>
      <c r="H858" s="84"/>
    </row>
    <row r="859" spans="4:8" ht="15.6">
      <c r="D859" s="84"/>
      <c r="E859" s="84"/>
      <c r="F859" s="84"/>
      <c r="G859" s="84"/>
      <c r="H859" s="84"/>
    </row>
    <row r="860" spans="4:8" ht="15.6">
      <c r="D860" s="84"/>
      <c r="E860" s="84"/>
      <c r="F860" s="84"/>
      <c r="G860" s="84"/>
      <c r="H860" s="84"/>
    </row>
    <row r="861" spans="4:8" ht="15.6">
      <c r="D861" s="84"/>
      <c r="E861" s="84"/>
      <c r="F861" s="84"/>
      <c r="G861" s="84"/>
      <c r="H861" s="84"/>
    </row>
    <row r="862" spans="4:8" ht="15.6">
      <c r="D862" s="84"/>
      <c r="E862" s="84"/>
      <c r="F862" s="84"/>
      <c r="G862" s="84"/>
      <c r="H862" s="84"/>
    </row>
    <row r="863" spans="4:8" ht="15.6">
      <c r="D863" s="84"/>
      <c r="E863" s="84"/>
      <c r="F863" s="84"/>
      <c r="G863" s="84"/>
      <c r="H863" s="84"/>
    </row>
    <row r="864" spans="4:8" ht="15.6">
      <c r="D864" s="84"/>
      <c r="E864" s="84"/>
      <c r="F864" s="84"/>
      <c r="G864" s="84"/>
      <c r="H864" s="84"/>
    </row>
    <row r="865" spans="4:8" ht="15.6">
      <c r="D865" s="84"/>
      <c r="E865" s="84"/>
      <c r="F865" s="84"/>
      <c r="G865" s="84"/>
      <c r="H865" s="84"/>
    </row>
    <row r="866" spans="4:8" ht="15.6">
      <c r="D866" s="84"/>
      <c r="E866" s="84"/>
      <c r="F866" s="84"/>
      <c r="G866" s="84"/>
      <c r="H866" s="84"/>
    </row>
    <row r="867" spans="4:8" ht="15.6">
      <c r="D867" s="84"/>
      <c r="E867" s="84"/>
      <c r="F867" s="84"/>
      <c r="G867" s="84"/>
      <c r="H867" s="84"/>
    </row>
    <row r="868" spans="4:8" ht="15.6">
      <c r="D868" s="84"/>
      <c r="E868" s="84"/>
      <c r="F868" s="84"/>
      <c r="G868" s="84"/>
      <c r="H868" s="84"/>
    </row>
    <row r="869" spans="4:8" ht="15.6">
      <c r="D869" s="84"/>
      <c r="E869" s="84"/>
      <c r="F869" s="84"/>
      <c r="G869" s="84"/>
      <c r="H869" s="84"/>
    </row>
    <row r="870" spans="4:8" ht="15.6">
      <c r="D870" s="84"/>
      <c r="E870" s="84"/>
      <c r="F870" s="84"/>
      <c r="G870" s="84"/>
      <c r="H870" s="84"/>
    </row>
    <row r="871" spans="4:8" ht="15.6">
      <c r="D871" s="84"/>
      <c r="E871" s="84"/>
      <c r="F871" s="84"/>
      <c r="G871" s="84"/>
      <c r="H871" s="84"/>
    </row>
    <row r="872" spans="4:8" ht="15.6">
      <c r="D872" s="84"/>
      <c r="E872" s="84"/>
      <c r="F872" s="84"/>
      <c r="G872" s="84"/>
      <c r="H872" s="84"/>
    </row>
    <row r="873" spans="4:8" ht="15.6">
      <c r="D873" s="84"/>
      <c r="E873" s="84"/>
      <c r="F873" s="84"/>
      <c r="G873" s="84"/>
      <c r="H873" s="84"/>
    </row>
    <row r="874" spans="4:8" ht="15.6">
      <c r="D874" s="84"/>
      <c r="E874" s="84"/>
      <c r="F874" s="84"/>
      <c r="G874" s="84"/>
      <c r="H874" s="84"/>
    </row>
    <row r="875" spans="4:8" ht="15.6">
      <c r="D875" s="84"/>
      <c r="E875" s="84"/>
      <c r="F875" s="84"/>
      <c r="G875" s="84"/>
      <c r="H875" s="84"/>
    </row>
    <row r="876" spans="4:8" ht="15.6">
      <c r="D876" s="84"/>
      <c r="E876" s="84"/>
      <c r="F876" s="84"/>
      <c r="G876" s="84"/>
      <c r="H876" s="84"/>
    </row>
    <row r="877" spans="4:8" ht="15.6">
      <c r="D877" s="84"/>
      <c r="E877" s="84"/>
      <c r="F877" s="84"/>
      <c r="G877" s="84"/>
      <c r="H877" s="84"/>
    </row>
    <row r="878" spans="4:8" ht="15.6">
      <c r="D878" s="84"/>
      <c r="E878" s="84"/>
      <c r="F878" s="84"/>
      <c r="G878" s="84"/>
      <c r="H878" s="84"/>
    </row>
    <row r="879" spans="4:8" ht="15.6">
      <c r="D879" s="84"/>
      <c r="E879" s="84"/>
      <c r="F879" s="84"/>
      <c r="G879" s="84"/>
      <c r="H879" s="84"/>
    </row>
    <row r="880" spans="4:8" ht="15.6">
      <c r="D880" s="84"/>
      <c r="E880" s="84"/>
      <c r="F880" s="84"/>
      <c r="G880" s="84"/>
      <c r="H880" s="84"/>
    </row>
    <row r="881" spans="4:8" ht="15.6">
      <c r="D881" s="84"/>
      <c r="E881" s="84"/>
      <c r="F881" s="84"/>
      <c r="G881" s="84"/>
      <c r="H881" s="84"/>
    </row>
    <row r="882" spans="4:8" ht="15.6">
      <c r="D882" s="84"/>
      <c r="E882" s="84"/>
      <c r="F882" s="84"/>
      <c r="G882" s="84"/>
      <c r="H882" s="84"/>
    </row>
    <row r="883" spans="4:8" ht="15.6">
      <c r="D883" s="84"/>
      <c r="E883" s="84"/>
      <c r="F883" s="84"/>
      <c r="G883" s="84"/>
      <c r="H883" s="84"/>
    </row>
    <row r="884" spans="4:8" ht="15.6">
      <c r="D884" s="84"/>
      <c r="E884" s="84"/>
      <c r="F884" s="84"/>
      <c r="G884" s="84"/>
      <c r="H884" s="84"/>
    </row>
    <row r="885" spans="4:8" ht="15.6">
      <c r="D885" s="84"/>
      <c r="E885" s="84"/>
      <c r="F885" s="84"/>
      <c r="G885" s="84"/>
      <c r="H885" s="84"/>
    </row>
    <row r="886" spans="4:8" ht="15.6">
      <c r="D886" s="84"/>
      <c r="E886" s="84"/>
      <c r="F886" s="84"/>
      <c r="G886" s="84"/>
      <c r="H886" s="84"/>
    </row>
    <row r="887" spans="4:8" ht="15.6">
      <c r="D887" s="84"/>
      <c r="E887" s="84"/>
      <c r="F887" s="84"/>
      <c r="G887" s="84"/>
      <c r="H887" s="84"/>
    </row>
    <row r="888" spans="4:8" ht="15.6">
      <c r="D888" s="84"/>
      <c r="E888" s="84"/>
      <c r="F888" s="84"/>
      <c r="G888" s="84"/>
      <c r="H888" s="84"/>
    </row>
    <row r="889" spans="4:8" ht="15.6">
      <c r="D889" s="84"/>
      <c r="E889" s="84"/>
      <c r="F889" s="84"/>
      <c r="G889" s="84"/>
      <c r="H889" s="84"/>
    </row>
    <row r="890" spans="4:8" ht="15.6">
      <c r="D890" s="84"/>
      <c r="E890" s="84"/>
      <c r="F890" s="84"/>
      <c r="G890" s="84"/>
      <c r="H890" s="84"/>
    </row>
    <row r="891" spans="4:8" ht="15.6">
      <c r="D891" s="84"/>
      <c r="E891" s="84"/>
      <c r="F891" s="84"/>
      <c r="G891" s="84"/>
      <c r="H891" s="84"/>
    </row>
    <row r="892" spans="4:8" ht="15.6">
      <c r="D892" s="84"/>
      <c r="E892" s="84"/>
      <c r="F892" s="84"/>
      <c r="G892" s="84"/>
      <c r="H892" s="84"/>
    </row>
    <row r="893" spans="4:8" ht="15.6">
      <c r="D893" s="84"/>
      <c r="E893" s="84"/>
      <c r="F893" s="84"/>
      <c r="G893" s="84"/>
      <c r="H893" s="84"/>
    </row>
    <row r="894" spans="4:8" ht="15.6">
      <c r="D894" s="84"/>
      <c r="E894" s="84"/>
      <c r="F894" s="84"/>
      <c r="G894" s="84"/>
      <c r="H894" s="84"/>
    </row>
    <row r="895" spans="4:8" ht="15.6">
      <c r="D895" s="84"/>
      <c r="E895" s="84"/>
      <c r="F895" s="84"/>
      <c r="G895" s="84"/>
      <c r="H895" s="84"/>
    </row>
    <row r="896" spans="4:8" ht="15.6">
      <c r="D896" s="84"/>
      <c r="E896" s="84"/>
      <c r="F896" s="84"/>
      <c r="G896" s="84"/>
      <c r="H896" s="84"/>
    </row>
    <row r="897" spans="4:8" ht="15.6">
      <c r="D897" s="84"/>
      <c r="E897" s="84"/>
      <c r="F897" s="84"/>
      <c r="G897" s="84"/>
      <c r="H897" s="84"/>
    </row>
    <row r="898" spans="4:8" ht="15.6">
      <c r="D898" s="84"/>
      <c r="E898" s="84"/>
      <c r="F898" s="84"/>
      <c r="G898" s="84"/>
      <c r="H898" s="84"/>
    </row>
    <row r="899" spans="4:8" ht="15.6">
      <c r="D899" s="84"/>
      <c r="E899" s="84"/>
      <c r="F899" s="84"/>
      <c r="G899" s="84"/>
      <c r="H899" s="84"/>
    </row>
    <row r="900" spans="4:8" ht="15.6">
      <c r="D900" s="84"/>
      <c r="E900" s="84"/>
      <c r="F900" s="84"/>
      <c r="G900" s="84"/>
      <c r="H900" s="84"/>
    </row>
    <row r="901" spans="4:8" ht="15.6">
      <c r="D901" s="84"/>
      <c r="E901" s="84"/>
      <c r="F901" s="84"/>
      <c r="G901" s="84"/>
      <c r="H901" s="84"/>
    </row>
    <row r="902" spans="4:8" ht="15.6">
      <c r="D902" s="84"/>
      <c r="E902" s="84"/>
      <c r="F902" s="84"/>
      <c r="G902" s="84"/>
      <c r="H902" s="84"/>
    </row>
    <row r="903" spans="4:8" ht="15.6">
      <c r="D903" s="84"/>
      <c r="E903" s="84"/>
      <c r="F903" s="84"/>
      <c r="G903" s="84"/>
      <c r="H903" s="84"/>
    </row>
    <row r="904" spans="4:8" ht="15.6">
      <c r="D904" s="84"/>
      <c r="E904" s="84"/>
      <c r="F904" s="84"/>
      <c r="G904" s="84"/>
      <c r="H904" s="84"/>
    </row>
    <row r="905" spans="4:8" ht="15.6">
      <c r="D905" s="84"/>
      <c r="E905" s="84"/>
      <c r="F905" s="84"/>
      <c r="G905" s="84"/>
      <c r="H905" s="84"/>
    </row>
    <row r="906" spans="4:8" ht="15.6">
      <c r="D906" s="84"/>
      <c r="E906" s="84"/>
      <c r="F906" s="84"/>
      <c r="G906" s="84"/>
      <c r="H906" s="84"/>
    </row>
    <row r="907" spans="4:8" ht="15.6">
      <c r="D907" s="84"/>
      <c r="E907" s="84"/>
      <c r="F907" s="84"/>
      <c r="G907" s="84"/>
      <c r="H907" s="84"/>
    </row>
    <row r="908" spans="4:8" ht="15.6">
      <c r="D908" s="84"/>
      <c r="E908" s="84"/>
      <c r="F908" s="84"/>
      <c r="G908" s="84"/>
      <c r="H908" s="84"/>
    </row>
    <row r="909" spans="4:8" ht="15.6">
      <c r="D909" s="84"/>
      <c r="E909" s="84"/>
      <c r="F909" s="84"/>
      <c r="G909" s="84"/>
      <c r="H909" s="84"/>
    </row>
    <row r="910" spans="4:8" ht="15.6">
      <c r="D910" s="84"/>
      <c r="E910" s="84"/>
      <c r="F910" s="84"/>
      <c r="G910" s="84"/>
      <c r="H910" s="84"/>
    </row>
    <row r="911" spans="4:8" ht="15.6">
      <c r="D911" s="84"/>
      <c r="E911" s="84"/>
      <c r="F911" s="84"/>
      <c r="G911" s="84"/>
      <c r="H911" s="84"/>
    </row>
    <row r="912" spans="4:8" ht="15.6">
      <c r="D912" s="84"/>
      <c r="E912" s="84"/>
      <c r="F912" s="84"/>
      <c r="G912" s="84"/>
      <c r="H912" s="84"/>
    </row>
    <row r="913" spans="4:8" ht="15.6">
      <c r="D913" s="84"/>
      <c r="E913" s="84"/>
      <c r="F913" s="84"/>
      <c r="G913" s="84"/>
      <c r="H913" s="84"/>
    </row>
    <row r="914" spans="4:8" ht="15.6">
      <c r="D914" s="84"/>
      <c r="E914" s="84"/>
      <c r="F914" s="84"/>
      <c r="G914" s="84"/>
      <c r="H914" s="84"/>
    </row>
    <row r="915" spans="4:8" ht="15.6">
      <c r="D915" s="84"/>
      <c r="E915" s="84"/>
      <c r="F915" s="84"/>
      <c r="G915" s="84"/>
      <c r="H915" s="84"/>
    </row>
    <row r="916" spans="4:8" ht="15.6">
      <c r="D916" s="84"/>
      <c r="E916" s="84"/>
      <c r="F916" s="84"/>
      <c r="G916" s="84"/>
      <c r="H916" s="84"/>
    </row>
    <row r="917" spans="4:8" ht="15.6">
      <c r="D917" s="84"/>
      <c r="E917" s="84"/>
      <c r="F917" s="84"/>
      <c r="G917" s="84"/>
      <c r="H917" s="84"/>
    </row>
    <row r="918" spans="4:8" ht="15.6">
      <c r="D918" s="84"/>
      <c r="E918" s="84"/>
      <c r="F918" s="84"/>
      <c r="G918" s="84"/>
      <c r="H918" s="84"/>
    </row>
    <row r="919" spans="4:8" ht="15.6">
      <c r="D919" s="84"/>
      <c r="E919" s="84"/>
      <c r="F919" s="84"/>
      <c r="G919" s="84"/>
      <c r="H919" s="84"/>
    </row>
    <row r="920" spans="4:8" ht="15.6">
      <c r="D920" s="84"/>
      <c r="E920" s="84"/>
      <c r="F920" s="84"/>
      <c r="G920" s="84"/>
      <c r="H920" s="84"/>
    </row>
    <row r="921" spans="4:8" ht="15.6">
      <c r="D921" s="84"/>
      <c r="E921" s="84"/>
      <c r="F921" s="84"/>
      <c r="G921" s="84"/>
      <c r="H921" s="84"/>
    </row>
    <row r="922" spans="4:8" ht="15.6">
      <c r="D922" s="84"/>
      <c r="E922" s="84"/>
      <c r="F922" s="84"/>
      <c r="G922" s="84"/>
      <c r="H922" s="84"/>
    </row>
    <row r="923" spans="4:8" ht="15.6">
      <c r="D923" s="84"/>
      <c r="E923" s="84"/>
      <c r="F923" s="84"/>
      <c r="G923" s="84"/>
      <c r="H923" s="84"/>
    </row>
    <row r="924" spans="4:8" ht="15.6">
      <c r="D924" s="84"/>
      <c r="E924" s="84"/>
      <c r="F924" s="84"/>
      <c r="G924" s="84"/>
      <c r="H924" s="84"/>
    </row>
    <row r="925" spans="4:8" ht="15.6">
      <c r="D925" s="84"/>
      <c r="E925" s="84"/>
      <c r="F925" s="84"/>
      <c r="G925" s="84"/>
      <c r="H925" s="84"/>
    </row>
    <row r="926" spans="4:8" ht="15.6">
      <c r="D926" s="84"/>
      <c r="E926" s="84"/>
      <c r="F926" s="84"/>
      <c r="G926" s="84"/>
      <c r="H926" s="84"/>
    </row>
    <row r="927" spans="4:8" ht="15.6">
      <c r="D927" s="84"/>
      <c r="E927" s="84"/>
      <c r="F927" s="84"/>
      <c r="G927" s="84"/>
      <c r="H927" s="84"/>
    </row>
    <row r="928" spans="4:8" ht="15.6">
      <c r="D928" s="84"/>
      <c r="E928" s="84"/>
      <c r="F928" s="84"/>
      <c r="G928" s="84"/>
      <c r="H928" s="84"/>
    </row>
    <row r="929" spans="4:8" ht="15.6">
      <c r="D929" s="84"/>
      <c r="E929" s="84"/>
      <c r="F929" s="84"/>
      <c r="G929" s="84"/>
      <c r="H929" s="84"/>
    </row>
    <row r="930" spans="4:8" ht="15.6">
      <c r="D930" s="84"/>
      <c r="E930" s="84"/>
      <c r="F930" s="84"/>
      <c r="G930" s="84"/>
      <c r="H930" s="84"/>
    </row>
    <row r="931" spans="4:8" ht="15.6">
      <c r="D931" s="84"/>
      <c r="E931" s="84"/>
      <c r="F931" s="84"/>
      <c r="G931" s="84"/>
      <c r="H931" s="84"/>
    </row>
    <row r="932" spans="4:8" ht="15.6">
      <c r="D932" s="84"/>
      <c r="E932" s="84"/>
      <c r="F932" s="84"/>
      <c r="G932" s="84"/>
      <c r="H932" s="84"/>
    </row>
    <row r="933" spans="4:8" ht="15.6">
      <c r="D933" s="84"/>
      <c r="E933" s="84"/>
      <c r="F933" s="84"/>
      <c r="G933" s="84"/>
      <c r="H933" s="84"/>
    </row>
    <row r="934" spans="4:8" ht="15.6">
      <c r="D934" s="84"/>
      <c r="E934" s="84"/>
      <c r="F934" s="84"/>
      <c r="G934" s="84"/>
      <c r="H934" s="84"/>
    </row>
    <row r="935" spans="4:8" ht="15.6">
      <c r="D935" s="84"/>
      <c r="E935" s="84"/>
      <c r="F935" s="84"/>
      <c r="G935" s="84"/>
      <c r="H935" s="84"/>
    </row>
    <row r="936" spans="4:8" ht="15.6">
      <c r="D936" s="84"/>
      <c r="E936" s="84"/>
      <c r="F936" s="84"/>
      <c r="G936" s="84"/>
      <c r="H936" s="84"/>
    </row>
    <row r="937" spans="4:8" ht="15.6">
      <c r="D937" s="84"/>
      <c r="E937" s="84"/>
      <c r="F937" s="84"/>
      <c r="G937" s="84"/>
      <c r="H937" s="84"/>
    </row>
    <row r="938" spans="4:8" ht="15.6">
      <c r="D938" s="84"/>
      <c r="E938" s="84"/>
      <c r="F938" s="84"/>
      <c r="G938" s="84"/>
      <c r="H938" s="84"/>
    </row>
    <row r="939" spans="4:8" ht="15.6">
      <c r="D939" s="84"/>
      <c r="E939" s="84"/>
      <c r="F939" s="84"/>
      <c r="G939" s="84"/>
      <c r="H939" s="84"/>
    </row>
    <row r="940" spans="4:8" ht="15.6">
      <c r="D940" s="84"/>
      <c r="E940" s="84"/>
      <c r="F940" s="84"/>
      <c r="G940" s="84"/>
      <c r="H940" s="84"/>
    </row>
    <row r="941" spans="4:8" ht="15.6">
      <c r="D941" s="84"/>
      <c r="E941" s="84"/>
      <c r="F941" s="84"/>
      <c r="G941" s="84"/>
      <c r="H941" s="84"/>
    </row>
    <row r="942" spans="4:8" ht="15.6">
      <c r="D942" s="84"/>
      <c r="E942" s="84"/>
      <c r="F942" s="84"/>
      <c r="G942" s="84"/>
      <c r="H942" s="84"/>
    </row>
    <row r="943" spans="4:8" ht="15.6">
      <c r="D943" s="84"/>
      <c r="E943" s="84"/>
      <c r="F943" s="84"/>
      <c r="G943" s="84"/>
      <c r="H943" s="84"/>
    </row>
    <row r="944" spans="4:8" ht="15.6">
      <c r="D944" s="84"/>
      <c r="E944" s="84"/>
      <c r="F944" s="84"/>
      <c r="G944" s="84"/>
      <c r="H944" s="84"/>
    </row>
    <row r="945" spans="4:8" ht="15.6">
      <c r="D945" s="84"/>
      <c r="E945" s="84"/>
      <c r="F945" s="84"/>
      <c r="G945" s="84"/>
      <c r="H945" s="84"/>
    </row>
    <row r="946" spans="4:8" ht="15.6">
      <c r="D946" s="84"/>
      <c r="E946" s="84"/>
      <c r="F946" s="84"/>
      <c r="G946" s="84"/>
      <c r="H946" s="84"/>
    </row>
    <row r="947" spans="4:8" ht="15.6">
      <c r="D947" s="84"/>
      <c r="E947" s="84"/>
      <c r="F947" s="84"/>
      <c r="G947" s="84"/>
      <c r="H947" s="84"/>
    </row>
    <row r="948" spans="4:8" ht="15.6">
      <c r="D948" s="84"/>
      <c r="E948" s="84"/>
      <c r="F948" s="84"/>
      <c r="G948" s="84"/>
      <c r="H948" s="84"/>
    </row>
    <row r="949" spans="4:8" ht="15.6">
      <c r="D949" s="84"/>
      <c r="E949" s="84"/>
      <c r="F949" s="84"/>
      <c r="G949" s="84"/>
      <c r="H949" s="84"/>
    </row>
    <row r="950" spans="4:8" ht="15.6">
      <c r="D950" s="84"/>
      <c r="E950" s="84"/>
      <c r="F950" s="84"/>
      <c r="G950" s="84"/>
      <c r="H950" s="84"/>
    </row>
    <row r="951" spans="4:8" ht="15.6">
      <c r="D951" s="84"/>
      <c r="E951" s="84"/>
      <c r="F951" s="84"/>
      <c r="G951" s="84"/>
      <c r="H951" s="84"/>
    </row>
    <row r="952" spans="4:8" ht="15.6">
      <c r="D952" s="84"/>
      <c r="E952" s="84"/>
      <c r="F952" s="84"/>
      <c r="G952" s="84"/>
      <c r="H952" s="84"/>
    </row>
    <row r="953" spans="4:8" ht="15.6">
      <c r="D953" s="84"/>
      <c r="E953" s="84"/>
      <c r="F953" s="84"/>
      <c r="G953" s="84"/>
      <c r="H953" s="84"/>
    </row>
    <row r="954" spans="4:8" ht="15.6">
      <c r="D954" s="84"/>
      <c r="E954" s="84"/>
      <c r="F954" s="84"/>
      <c r="G954" s="84"/>
      <c r="H954" s="84"/>
    </row>
    <row r="955" spans="4:8" ht="15.6">
      <c r="D955" s="84"/>
      <c r="E955" s="84"/>
      <c r="F955" s="84"/>
      <c r="G955" s="84"/>
      <c r="H955" s="84"/>
    </row>
    <row r="956" spans="4:8" ht="15.6">
      <c r="D956" s="84"/>
      <c r="E956" s="84"/>
      <c r="F956" s="84"/>
      <c r="G956" s="84"/>
      <c r="H956" s="84"/>
    </row>
    <row r="957" spans="4:8" ht="15.6">
      <c r="D957" s="84"/>
      <c r="E957" s="84"/>
      <c r="F957" s="84"/>
      <c r="G957" s="84"/>
      <c r="H957" s="84"/>
    </row>
    <row r="958" spans="4:8" ht="15.6">
      <c r="D958" s="84"/>
      <c r="E958" s="84"/>
      <c r="F958" s="84"/>
      <c r="G958" s="84"/>
      <c r="H958" s="84"/>
    </row>
    <row r="959" spans="4:8" ht="15.6">
      <c r="D959" s="84"/>
      <c r="E959" s="84"/>
      <c r="F959" s="84"/>
      <c r="G959" s="84"/>
      <c r="H959" s="84"/>
    </row>
    <row r="960" spans="4:8" ht="15.6">
      <c r="D960" s="84"/>
      <c r="E960" s="84"/>
      <c r="F960" s="84"/>
      <c r="G960" s="84"/>
      <c r="H960" s="84"/>
    </row>
    <row r="961" spans="4:8" ht="15.6">
      <c r="D961" s="84"/>
      <c r="E961" s="84"/>
      <c r="F961" s="84"/>
      <c r="G961" s="84"/>
      <c r="H961" s="84"/>
    </row>
    <row r="962" spans="4:8" ht="15.6">
      <c r="D962" s="84"/>
      <c r="E962" s="84"/>
      <c r="F962" s="84"/>
      <c r="G962" s="84"/>
      <c r="H962" s="84"/>
    </row>
    <row r="963" spans="4:8" ht="15.6">
      <c r="D963" s="84"/>
      <c r="E963" s="84"/>
      <c r="F963" s="84"/>
      <c r="G963" s="84"/>
      <c r="H963" s="84"/>
    </row>
    <row r="964" spans="4:8" ht="15.6">
      <c r="D964" s="84"/>
      <c r="E964" s="84"/>
      <c r="F964" s="84"/>
      <c r="G964" s="84"/>
      <c r="H964" s="84"/>
    </row>
    <row r="965" spans="4:8" ht="15.6">
      <c r="D965" s="84"/>
      <c r="E965" s="84"/>
      <c r="F965" s="84"/>
      <c r="G965" s="84"/>
      <c r="H965" s="84"/>
    </row>
    <row r="966" spans="4:8" ht="15.6">
      <c r="D966" s="84"/>
      <c r="E966" s="84"/>
      <c r="F966" s="84"/>
      <c r="G966" s="84"/>
      <c r="H966" s="84"/>
    </row>
    <row r="967" spans="4:8" ht="15.6">
      <c r="D967" s="84"/>
      <c r="E967" s="84"/>
      <c r="F967" s="84"/>
      <c r="G967" s="84"/>
      <c r="H967" s="84"/>
    </row>
    <row r="968" spans="4:8" ht="15.6">
      <c r="D968" s="84"/>
      <c r="E968" s="84"/>
      <c r="F968" s="84"/>
      <c r="G968" s="84"/>
      <c r="H968" s="84"/>
    </row>
    <row r="969" spans="4:8" ht="15.6">
      <c r="D969" s="84"/>
      <c r="E969" s="84"/>
      <c r="F969" s="84"/>
      <c r="G969" s="84"/>
      <c r="H969" s="84"/>
    </row>
    <row r="970" spans="4:8" ht="15.6">
      <c r="D970" s="84"/>
      <c r="E970" s="84"/>
      <c r="F970" s="84"/>
      <c r="G970" s="84"/>
      <c r="H970" s="84"/>
    </row>
    <row r="971" spans="4:8" ht="15.6">
      <c r="D971" s="84"/>
      <c r="E971" s="84"/>
      <c r="F971" s="84"/>
      <c r="G971" s="84"/>
      <c r="H971" s="84"/>
    </row>
    <row r="972" spans="4:8" ht="15.6">
      <c r="D972" s="84"/>
      <c r="E972" s="84"/>
      <c r="F972" s="84"/>
      <c r="G972" s="84"/>
      <c r="H972" s="84"/>
    </row>
    <row r="973" spans="4:8" ht="15.6">
      <c r="D973" s="84"/>
      <c r="E973" s="84"/>
      <c r="F973" s="84"/>
      <c r="G973" s="84"/>
      <c r="H973" s="84"/>
    </row>
    <row r="974" spans="4:8" ht="15.6">
      <c r="D974" s="84"/>
      <c r="E974" s="84"/>
      <c r="F974" s="84"/>
      <c r="G974" s="84"/>
      <c r="H974" s="84"/>
    </row>
    <row r="975" spans="4:8" ht="15.6">
      <c r="D975" s="84"/>
      <c r="E975" s="84"/>
      <c r="F975" s="84"/>
      <c r="G975" s="84"/>
      <c r="H975" s="84"/>
    </row>
    <row r="976" spans="4:8" ht="15.6">
      <c r="D976" s="84"/>
      <c r="E976" s="84"/>
      <c r="F976" s="84"/>
      <c r="G976" s="84"/>
      <c r="H976" s="84"/>
    </row>
    <row r="977" spans="4:8" ht="15.6">
      <c r="D977" s="84"/>
      <c r="E977" s="84"/>
      <c r="F977" s="84"/>
      <c r="G977" s="84"/>
      <c r="H977" s="84"/>
    </row>
    <row r="978" spans="4:8" ht="15.6">
      <c r="D978" s="84"/>
      <c r="E978" s="84"/>
      <c r="F978" s="84"/>
      <c r="G978" s="84"/>
      <c r="H978" s="84"/>
    </row>
    <row r="979" spans="4:8" ht="15.6">
      <c r="D979" s="84"/>
      <c r="E979" s="84"/>
      <c r="F979" s="84"/>
      <c r="G979" s="84"/>
      <c r="H979" s="84"/>
    </row>
    <row r="980" spans="4:8" ht="15.6">
      <c r="D980" s="84"/>
      <c r="E980" s="84"/>
      <c r="F980" s="84"/>
      <c r="G980" s="84"/>
      <c r="H980" s="84"/>
    </row>
    <row r="981" spans="4:8" ht="15.6">
      <c r="D981" s="84"/>
      <c r="E981" s="84"/>
      <c r="F981" s="84"/>
      <c r="G981" s="84"/>
      <c r="H981" s="84"/>
    </row>
    <row r="982" spans="4:8" ht="15.6">
      <c r="D982" s="84"/>
      <c r="E982" s="84"/>
      <c r="F982" s="84"/>
      <c r="G982" s="84"/>
      <c r="H982" s="84"/>
    </row>
    <row r="983" spans="4:8" ht="15.6">
      <c r="D983" s="84"/>
      <c r="E983" s="84"/>
      <c r="F983" s="84"/>
      <c r="G983" s="84"/>
      <c r="H983" s="84"/>
    </row>
    <row r="984" spans="4:8" ht="15.6">
      <c r="D984" s="84"/>
      <c r="E984" s="84"/>
      <c r="F984" s="84"/>
      <c r="G984" s="84"/>
      <c r="H984" s="84"/>
    </row>
    <row r="985" spans="4:8" ht="15.6">
      <c r="D985" s="84"/>
      <c r="E985" s="84"/>
      <c r="F985" s="84"/>
      <c r="G985" s="84"/>
      <c r="H985" s="84"/>
    </row>
    <row r="986" spans="4:8" ht="15.6">
      <c r="D986" s="84"/>
      <c r="E986" s="84"/>
      <c r="F986" s="84"/>
      <c r="G986" s="84"/>
      <c r="H986" s="84"/>
    </row>
    <row r="987" spans="4:8" ht="15.6">
      <c r="D987" s="84"/>
      <c r="E987" s="84"/>
      <c r="F987" s="84"/>
      <c r="G987" s="84"/>
      <c r="H987" s="84"/>
    </row>
    <row r="988" spans="4:8" ht="15.6">
      <c r="D988" s="84"/>
      <c r="E988" s="84"/>
      <c r="F988" s="84"/>
      <c r="G988" s="84"/>
      <c r="H988" s="84"/>
    </row>
    <row r="989" spans="4:8" ht="15.6">
      <c r="D989" s="84"/>
      <c r="E989" s="84"/>
      <c r="F989" s="84"/>
      <c r="G989" s="84"/>
      <c r="H989" s="84"/>
    </row>
    <row r="990" spans="4:8" ht="15.6">
      <c r="D990" s="84"/>
      <c r="E990" s="84"/>
      <c r="F990" s="84"/>
      <c r="G990" s="84"/>
      <c r="H990" s="84"/>
    </row>
    <row r="991" spans="4:8" ht="15.6">
      <c r="D991" s="84"/>
      <c r="E991" s="84"/>
      <c r="F991" s="84"/>
      <c r="G991" s="84"/>
      <c r="H991" s="84"/>
    </row>
    <row r="992" spans="4:8" ht="15.6">
      <c r="D992" s="84"/>
      <c r="E992" s="84"/>
      <c r="F992" s="84"/>
      <c r="G992" s="84"/>
      <c r="H992" s="84"/>
    </row>
    <row r="993" spans="4:8" ht="15.6">
      <c r="D993" s="84"/>
      <c r="E993" s="84"/>
      <c r="F993" s="84"/>
      <c r="G993" s="84"/>
      <c r="H993" s="84"/>
    </row>
    <row r="994" spans="4:8" ht="15.6">
      <c r="D994" s="84"/>
      <c r="E994" s="84"/>
      <c r="F994" s="84"/>
      <c r="G994" s="84"/>
      <c r="H994" s="84"/>
    </row>
    <row r="995" spans="4:8" ht="15.6">
      <c r="D995" s="84"/>
      <c r="E995" s="84"/>
      <c r="F995" s="84"/>
      <c r="G995" s="84"/>
      <c r="H995" s="84"/>
    </row>
    <row r="996" spans="4:8" ht="15.6">
      <c r="D996" s="84"/>
      <c r="E996" s="84"/>
      <c r="F996" s="84"/>
      <c r="G996" s="84"/>
      <c r="H996" s="84"/>
    </row>
    <row r="997" spans="4:8" ht="15.6">
      <c r="D997" s="84"/>
      <c r="E997" s="84"/>
      <c r="F997" s="84"/>
      <c r="G997" s="84"/>
      <c r="H997" s="84"/>
    </row>
    <row r="998" spans="4:8" ht="15.6">
      <c r="D998" s="84"/>
      <c r="E998" s="84"/>
      <c r="F998" s="84"/>
      <c r="G998" s="84"/>
      <c r="H998" s="84"/>
    </row>
    <row r="999" spans="4:8" ht="15.6">
      <c r="D999" s="84"/>
      <c r="E999" s="84"/>
      <c r="F999" s="84"/>
      <c r="G999" s="84"/>
      <c r="H999" s="84"/>
    </row>
    <row r="1000" spans="4:8" ht="15.6">
      <c r="D1000" s="84"/>
      <c r="E1000" s="84"/>
      <c r="F1000" s="84"/>
      <c r="G1000" s="84"/>
      <c r="H1000" s="84"/>
    </row>
  </sheetData>
  <mergeCells count="2">
    <mergeCell ref="E1:H1"/>
    <mergeCell ref="K1:N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H1000"/>
  <sheetViews>
    <sheetView workbookViewId="0"/>
  </sheetViews>
  <sheetFormatPr defaultColWidth="11.19921875" defaultRowHeight="15" customHeight="1"/>
  <sheetData>
    <row r="1" spans="1:8" ht="15" customHeight="1">
      <c r="A1" s="81" t="s">
        <v>252</v>
      </c>
      <c r="B1" s="84"/>
      <c r="C1" s="84"/>
      <c r="D1" s="84"/>
      <c r="E1" s="141" t="s">
        <v>253</v>
      </c>
      <c r="F1" s="140"/>
      <c r="G1" s="140"/>
      <c r="H1" s="140"/>
    </row>
    <row r="2" spans="1:8" ht="15" customHeight="1">
      <c r="A2" s="81" t="s">
        <v>90</v>
      </c>
      <c r="B2" s="84"/>
      <c r="C2" s="84"/>
      <c r="D2" s="84"/>
      <c r="E2" s="118"/>
      <c r="F2" s="118"/>
      <c r="G2" s="118"/>
      <c r="H2" s="118"/>
    </row>
    <row r="3" spans="1:8" ht="15" customHeight="1">
      <c r="A3" s="82" t="s">
        <v>111</v>
      </c>
      <c r="B3" s="84"/>
      <c r="C3" s="84"/>
      <c r="D3" s="86"/>
      <c r="E3" s="50" t="s">
        <v>10</v>
      </c>
      <c r="F3" s="50" t="s">
        <v>11</v>
      </c>
      <c r="G3" s="50" t="s">
        <v>12</v>
      </c>
      <c r="H3" s="87" t="s">
        <v>85</v>
      </c>
    </row>
    <row r="4" spans="1:8" ht="15" customHeight="1">
      <c r="A4" s="82" t="s">
        <v>118</v>
      </c>
      <c r="B4" s="84"/>
      <c r="C4" s="84"/>
      <c r="D4" s="52" t="s">
        <v>113</v>
      </c>
      <c r="E4" s="88">
        <v>283.07639999999998</v>
      </c>
      <c r="F4" s="88">
        <v>301</v>
      </c>
      <c r="G4" s="88">
        <v>275.45999999999998</v>
      </c>
      <c r="H4" s="88">
        <v>7.6164500000000004</v>
      </c>
    </row>
    <row r="5" spans="1:8" ht="15" customHeight="1">
      <c r="D5" s="86"/>
      <c r="E5" s="88">
        <v>283.47210000000001</v>
      </c>
      <c r="F5" s="88">
        <v>774</v>
      </c>
      <c r="G5" s="88">
        <v>275.61</v>
      </c>
      <c r="H5" s="88">
        <v>7.8620599999999996</v>
      </c>
    </row>
    <row r="6" spans="1:8" ht="15" customHeight="1">
      <c r="D6" s="86"/>
      <c r="E6" s="88">
        <v>284.30200000000002</v>
      </c>
      <c r="F6" s="88">
        <v>1248</v>
      </c>
      <c r="G6" s="88">
        <v>276.17</v>
      </c>
      <c r="H6" s="88">
        <v>8.1320300000000003</v>
      </c>
    </row>
    <row r="7" spans="1:8" ht="15" customHeight="1">
      <c r="D7" s="86"/>
      <c r="E7" s="88">
        <v>284.78280000000001</v>
      </c>
      <c r="F7" s="88">
        <v>1720</v>
      </c>
      <c r="G7" s="88">
        <v>277.08999999999997</v>
      </c>
      <c r="H7" s="88">
        <v>7.6927500000000002</v>
      </c>
    </row>
    <row r="8" spans="1:8" ht="15" customHeight="1">
      <c r="D8" s="86"/>
      <c r="E8" s="88">
        <v>285.839</v>
      </c>
      <c r="F8" s="88">
        <v>2194</v>
      </c>
      <c r="G8" s="88">
        <v>277.74</v>
      </c>
      <c r="H8" s="88">
        <v>8.0990099999999998</v>
      </c>
    </row>
    <row r="9" spans="1:8" ht="15" customHeight="1">
      <c r="D9" s="86"/>
      <c r="E9" s="88">
        <v>285.67630000000003</v>
      </c>
      <c r="F9" s="88">
        <v>2668</v>
      </c>
      <c r="G9" s="88">
        <v>277.66000000000003</v>
      </c>
      <c r="H9" s="88">
        <v>8.0162499999999994</v>
      </c>
    </row>
    <row r="10" spans="1:8" ht="15" customHeight="1">
      <c r="D10" s="86"/>
      <c r="E10" s="89">
        <v>286.40600000000001</v>
      </c>
      <c r="F10" s="89">
        <v>3153</v>
      </c>
      <c r="G10" s="89">
        <v>279.02</v>
      </c>
      <c r="H10" s="89">
        <v>7.3860099999999997</v>
      </c>
    </row>
    <row r="11" spans="1:8" ht="15" customHeight="1">
      <c r="D11" s="52" t="s">
        <v>107</v>
      </c>
      <c r="E11" s="88">
        <v>286.43799999999999</v>
      </c>
      <c r="F11" s="88">
        <v>3619</v>
      </c>
      <c r="G11" s="88">
        <v>280.04000000000002</v>
      </c>
      <c r="H11" s="88">
        <v>6.3979900000000001</v>
      </c>
    </row>
    <row r="12" spans="1:8" ht="15" customHeight="1">
      <c r="D12" s="86"/>
      <c r="E12" s="88">
        <v>286.98079999999999</v>
      </c>
      <c r="F12" s="88">
        <v>4090</v>
      </c>
      <c r="G12" s="88">
        <v>280.81</v>
      </c>
      <c r="H12" s="88">
        <v>6.17075</v>
      </c>
    </row>
    <row r="13" spans="1:8" ht="15" customHeight="1">
      <c r="D13" s="86"/>
      <c r="E13" s="88">
        <v>287.21629999999999</v>
      </c>
      <c r="F13" s="88">
        <v>4567</v>
      </c>
      <c r="G13" s="88">
        <v>281.57</v>
      </c>
      <c r="H13" s="88">
        <v>5.6462399999999997</v>
      </c>
    </row>
    <row r="14" spans="1:8" ht="15" customHeight="1">
      <c r="D14" s="86"/>
      <c r="E14" s="88">
        <v>287.2955</v>
      </c>
      <c r="F14" s="88">
        <v>5039</v>
      </c>
      <c r="G14" s="88">
        <v>282.77999999999997</v>
      </c>
      <c r="H14" s="88">
        <v>4.5155000000000003</v>
      </c>
    </row>
    <row r="15" spans="1:8" ht="15" customHeight="1">
      <c r="D15" s="86"/>
      <c r="E15" s="88">
        <v>288.29399999999998</v>
      </c>
      <c r="F15" s="88">
        <v>5512</v>
      </c>
      <c r="G15" s="88">
        <v>283.22000000000003</v>
      </c>
      <c r="H15" s="88">
        <v>5.0739999999999998</v>
      </c>
    </row>
    <row r="16" spans="1:8" ht="15" customHeight="1">
      <c r="D16" s="86"/>
      <c r="E16" s="88">
        <v>287.98050000000001</v>
      </c>
      <c r="F16" s="88">
        <v>5990</v>
      </c>
      <c r="G16" s="88">
        <v>282.99</v>
      </c>
      <c r="H16" s="88">
        <v>4.9905099999999996</v>
      </c>
    </row>
    <row r="17" spans="4:8" ht="15" customHeight="1">
      <c r="D17" s="84"/>
      <c r="E17" s="84"/>
      <c r="F17" s="84"/>
      <c r="G17" s="84"/>
      <c r="H17" s="84"/>
    </row>
    <row r="18" spans="4:8" ht="15" customHeight="1">
      <c r="D18" s="84"/>
      <c r="E18" s="84"/>
      <c r="F18" s="84"/>
      <c r="G18" s="84"/>
      <c r="H18" s="84"/>
    </row>
    <row r="19" spans="4:8" ht="15" customHeight="1">
      <c r="D19" s="84"/>
      <c r="E19" s="84"/>
      <c r="F19" s="84"/>
      <c r="G19" s="84"/>
      <c r="H19" s="84"/>
    </row>
    <row r="20" spans="4:8" ht="15" customHeight="1">
      <c r="D20" s="84"/>
      <c r="E20" s="84"/>
      <c r="F20" s="84"/>
      <c r="G20" s="84"/>
      <c r="H20" s="84"/>
    </row>
    <row r="21" spans="4:8" ht="15" customHeight="1">
      <c r="D21" s="84"/>
      <c r="E21" s="84"/>
      <c r="F21" s="84"/>
      <c r="G21" s="84"/>
      <c r="H21" s="84"/>
    </row>
    <row r="22" spans="4:8" ht="15" customHeight="1">
      <c r="D22" s="84"/>
      <c r="E22" s="84"/>
      <c r="F22" s="84"/>
      <c r="G22" s="84"/>
      <c r="H22" s="84"/>
    </row>
    <row r="23" spans="4:8" ht="15" customHeight="1">
      <c r="D23" s="84"/>
      <c r="E23" s="84"/>
      <c r="F23" s="84"/>
      <c r="G23" s="84"/>
      <c r="H23" s="84"/>
    </row>
    <row r="24" spans="4:8" ht="15" customHeight="1">
      <c r="D24" s="84"/>
      <c r="E24" s="84"/>
      <c r="F24" s="84"/>
      <c r="G24" s="84"/>
      <c r="H24" s="84"/>
    </row>
    <row r="25" spans="4:8" ht="15" customHeight="1">
      <c r="D25" s="84"/>
      <c r="E25" s="84"/>
      <c r="F25" s="84"/>
      <c r="G25" s="84"/>
      <c r="H25" s="84"/>
    </row>
    <row r="26" spans="4:8" ht="15" customHeight="1">
      <c r="D26" s="84"/>
      <c r="E26" s="84"/>
      <c r="F26" s="84"/>
      <c r="G26" s="84"/>
      <c r="H26" s="84"/>
    </row>
    <row r="27" spans="4:8" ht="15" customHeight="1">
      <c r="D27" s="84"/>
      <c r="E27" s="84"/>
      <c r="F27" s="84"/>
      <c r="G27" s="84"/>
      <c r="H27" s="84"/>
    </row>
    <row r="28" spans="4:8" ht="15.6">
      <c r="D28" s="84"/>
      <c r="E28" s="84"/>
      <c r="F28" s="84"/>
      <c r="G28" s="84"/>
      <c r="H28" s="84"/>
    </row>
    <row r="29" spans="4:8" ht="15.6">
      <c r="D29" s="84"/>
      <c r="E29" s="84"/>
      <c r="F29" s="84"/>
      <c r="G29" s="84"/>
      <c r="H29" s="84"/>
    </row>
    <row r="30" spans="4:8" ht="15.6">
      <c r="D30" s="84"/>
      <c r="E30" s="84"/>
      <c r="F30" s="84"/>
      <c r="G30" s="84"/>
      <c r="H30" s="84"/>
    </row>
    <row r="31" spans="4:8" ht="15.6">
      <c r="D31" s="84"/>
      <c r="E31" s="84"/>
      <c r="F31" s="84"/>
      <c r="G31" s="84"/>
      <c r="H31" s="84"/>
    </row>
    <row r="32" spans="4:8" ht="15.6">
      <c r="D32" s="84"/>
      <c r="E32" s="84"/>
      <c r="F32" s="84"/>
      <c r="G32" s="84"/>
      <c r="H32" s="84"/>
    </row>
    <row r="33" spans="4:8" ht="15.6">
      <c r="D33" s="84"/>
      <c r="E33" s="84"/>
      <c r="F33" s="84"/>
      <c r="G33" s="84"/>
      <c r="H33" s="84"/>
    </row>
    <row r="34" spans="4:8" ht="15.6">
      <c r="D34" s="84"/>
      <c r="E34" s="84"/>
      <c r="F34" s="84"/>
      <c r="G34" s="84"/>
      <c r="H34" s="84"/>
    </row>
    <row r="35" spans="4:8" ht="15.6">
      <c r="D35" s="84"/>
      <c r="E35" s="84"/>
      <c r="F35" s="84"/>
      <c r="G35" s="84"/>
      <c r="H35" s="84"/>
    </row>
    <row r="36" spans="4:8" ht="15.6">
      <c r="D36" s="84"/>
      <c r="E36" s="84"/>
      <c r="F36" s="84"/>
      <c r="G36" s="84"/>
      <c r="H36" s="84"/>
    </row>
    <row r="37" spans="4:8" ht="15.6">
      <c r="D37" s="84"/>
      <c r="E37" s="84"/>
      <c r="F37" s="84"/>
      <c r="G37" s="84"/>
      <c r="H37" s="84"/>
    </row>
    <row r="38" spans="4:8" ht="15.6">
      <c r="D38" s="84"/>
      <c r="E38" s="84"/>
      <c r="F38" s="84"/>
      <c r="G38" s="84"/>
      <c r="H38" s="84"/>
    </row>
    <row r="39" spans="4:8" ht="15.6">
      <c r="D39" s="84"/>
      <c r="E39" s="84"/>
      <c r="F39" s="84"/>
      <c r="G39" s="84"/>
      <c r="H39" s="84"/>
    </row>
    <row r="40" spans="4:8" ht="15.6">
      <c r="D40" s="84"/>
      <c r="E40" s="84"/>
      <c r="F40" s="84"/>
      <c r="G40" s="84"/>
      <c r="H40" s="84"/>
    </row>
    <row r="41" spans="4:8" ht="15.6">
      <c r="D41" s="84"/>
      <c r="E41" s="84"/>
      <c r="F41" s="84"/>
      <c r="G41" s="84"/>
      <c r="H41" s="84"/>
    </row>
    <row r="42" spans="4:8" ht="15.6">
      <c r="D42" s="84"/>
      <c r="E42" s="84"/>
      <c r="F42" s="84"/>
      <c r="G42" s="84"/>
      <c r="H42" s="84"/>
    </row>
    <row r="43" spans="4:8" ht="15.6">
      <c r="D43" s="84"/>
      <c r="E43" s="84"/>
      <c r="F43" s="84"/>
      <c r="G43" s="84"/>
      <c r="H43" s="84"/>
    </row>
    <row r="44" spans="4:8" ht="15.6">
      <c r="D44" s="84"/>
      <c r="E44" s="84"/>
      <c r="F44" s="84"/>
      <c r="G44" s="84"/>
      <c r="H44" s="84"/>
    </row>
    <row r="45" spans="4:8" ht="15.6">
      <c r="D45" s="84"/>
      <c r="E45" s="84"/>
      <c r="F45" s="84"/>
      <c r="G45" s="84"/>
      <c r="H45" s="84"/>
    </row>
    <row r="46" spans="4:8" ht="15.6">
      <c r="D46" s="84"/>
      <c r="E46" s="84"/>
      <c r="F46" s="84"/>
      <c r="G46" s="84"/>
      <c r="H46" s="84"/>
    </row>
    <row r="47" spans="4:8" ht="15.6">
      <c r="D47" s="84"/>
      <c r="E47" s="84"/>
      <c r="F47" s="84"/>
      <c r="G47" s="84"/>
      <c r="H47" s="84"/>
    </row>
    <row r="48" spans="4:8" ht="15.6">
      <c r="D48" s="84"/>
      <c r="E48" s="84"/>
      <c r="F48" s="84"/>
      <c r="G48" s="84"/>
      <c r="H48" s="84"/>
    </row>
    <row r="49" spans="4:8" ht="15.6">
      <c r="D49" s="84"/>
      <c r="E49" s="84"/>
      <c r="F49" s="84"/>
      <c r="G49" s="84"/>
      <c r="H49" s="84"/>
    </row>
    <row r="50" spans="4:8" ht="15.6">
      <c r="D50" s="84"/>
      <c r="E50" s="84"/>
      <c r="F50" s="84"/>
      <c r="G50" s="84"/>
      <c r="H50" s="84"/>
    </row>
    <row r="51" spans="4:8" ht="15.6">
      <c r="D51" s="84"/>
      <c r="E51" s="84"/>
      <c r="F51" s="84"/>
      <c r="G51" s="84"/>
      <c r="H51" s="84"/>
    </row>
    <row r="52" spans="4:8" ht="15.6">
      <c r="D52" s="84"/>
      <c r="E52" s="84"/>
      <c r="F52" s="84"/>
      <c r="G52" s="84"/>
      <c r="H52" s="84"/>
    </row>
    <row r="53" spans="4:8" ht="15.6">
      <c r="D53" s="84"/>
      <c r="E53" s="84"/>
      <c r="F53" s="84"/>
      <c r="G53" s="84"/>
      <c r="H53" s="84"/>
    </row>
    <row r="54" spans="4:8" ht="15.6">
      <c r="D54" s="84"/>
      <c r="E54" s="84"/>
      <c r="F54" s="84"/>
      <c r="G54" s="84"/>
      <c r="H54" s="84"/>
    </row>
    <row r="55" spans="4:8" ht="15.6">
      <c r="D55" s="84"/>
      <c r="E55" s="84"/>
      <c r="F55" s="84"/>
      <c r="G55" s="84"/>
      <c r="H55" s="84"/>
    </row>
    <row r="56" spans="4:8" ht="15.6">
      <c r="D56" s="84"/>
      <c r="E56" s="84"/>
      <c r="F56" s="84"/>
      <c r="G56" s="84"/>
      <c r="H56" s="84"/>
    </row>
    <row r="57" spans="4:8" ht="15.6">
      <c r="D57" s="84"/>
      <c r="E57" s="84"/>
      <c r="F57" s="84"/>
      <c r="G57" s="84"/>
      <c r="H57" s="84"/>
    </row>
    <row r="58" spans="4:8" ht="15.6">
      <c r="D58" s="84"/>
      <c r="E58" s="84"/>
      <c r="F58" s="84"/>
      <c r="G58" s="84"/>
      <c r="H58" s="84"/>
    </row>
    <row r="59" spans="4:8" ht="15.6">
      <c r="D59" s="84"/>
      <c r="E59" s="84"/>
      <c r="F59" s="84"/>
      <c r="G59" s="84"/>
      <c r="H59" s="84"/>
    </row>
    <row r="60" spans="4:8" ht="15.6">
      <c r="D60" s="84"/>
      <c r="E60" s="84"/>
      <c r="F60" s="84"/>
      <c r="G60" s="84"/>
      <c r="H60" s="84"/>
    </row>
    <row r="61" spans="4:8" ht="15.6">
      <c r="D61" s="84"/>
      <c r="E61" s="84"/>
      <c r="F61" s="84"/>
      <c r="G61" s="84"/>
      <c r="H61" s="84"/>
    </row>
    <row r="62" spans="4:8" ht="15.6">
      <c r="D62" s="84"/>
      <c r="E62" s="84"/>
      <c r="F62" s="84"/>
      <c r="G62" s="84"/>
      <c r="H62" s="84"/>
    </row>
    <row r="63" spans="4:8" ht="15.6">
      <c r="D63" s="84"/>
      <c r="E63" s="84"/>
      <c r="F63" s="84"/>
      <c r="G63" s="84"/>
      <c r="H63" s="84"/>
    </row>
    <row r="64" spans="4:8" ht="15.6">
      <c r="D64" s="84"/>
      <c r="E64" s="84"/>
      <c r="F64" s="84"/>
      <c r="G64" s="84"/>
      <c r="H64" s="84"/>
    </row>
    <row r="65" spans="4:8" ht="15.6">
      <c r="D65" s="84"/>
      <c r="E65" s="84"/>
      <c r="F65" s="84"/>
      <c r="G65" s="84"/>
      <c r="H65" s="84"/>
    </row>
    <row r="66" spans="4:8" ht="15.6">
      <c r="D66" s="84"/>
      <c r="E66" s="84"/>
      <c r="F66" s="84"/>
      <c r="G66" s="84"/>
      <c r="H66" s="84"/>
    </row>
    <row r="67" spans="4:8" ht="15.6">
      <c r="D67" s="84"/>
      <c r="E67" s="84"/>
      <c r="F67" s="84"/>
      <c r="G67" s="84"/>
      <c r="H67" s="84"/>
    </row>
    <row r="68" spans="4:8" ht="15.6">
      <c r="D68" s="84"/>
      <c r="E68" s="84"/>
      <c r="F68" s="84"/>
      <c r="G68" s="84"/>
      <c r="H68" s="84"/>
    </row>
    <row r="69" spans="4:8" ht="15.6">
      <c r="D69" s="84"/>
      <c r="E69" s="84"/>
      <c r="F69" s="84"/>
      <c r="G69" s="84"/>
      <c r="H69" s="84"/>
    </row>
    <row r="70" spans="4:8" ht="15.6">
      <c r="D70" s="84"/>
      <c r="E70" s="84"/>
      <c r="F70" s="84"/>
      <c r="G70" s="84"/>
      <c r="H70" s="84"/>
    </row>
    <row r="71" spans="4:8" ht="15.6">
      <c r="D71" s="84"/>
      <c r="E71" s="84"/>
      <c r="F71" s="84"/>
      <c r="G71" s="84"/>
      <c r="H71" s="84"/>
    </row>
    <row r="72" spans="4:8" ht="15.6">
      <c r="D72" s="84"/>
      <c r="E72" s="84"/>
      <c r="F72" s="84"/>
      <c r="G72" s="84"/>
      <c r="H72" s="84"/>
    </row>
    <row r="73" spans="4:8" ht="15.6">
      <c r="D73" s="84"/>
      <c r="E73" s="84"/>
      <c r="F73" s="84"/>
      <c r="G73" s="84"/>
      <c r="H73" s="84"/>
    </row>
    <row r="74" spans="4:8" ht="15.6">
      <c r="D74" s="84"/>
      <c r="E74" s="84"/>
      <c r="F74" s="84"/>
      <c r="G74" s="84"/>
      <c r="H74" s="84"/>
    </row>
    <row r="75" spans="4:8" ht="15.6">
      <c r="D75" s="84"/>
      <c r="E75" s="84"/>
      <c r="F75" s="84"/>
      <c r="G75" s="84"/>
      <c r="H75" s="84"/>
    </row>
    <row r="76" spans="4:8" ht="15.6">
      <c r="D76" s="84"/>
      <c r="E76" s="84"/>
      <c r="F76" s="84"/>
      <c r="G76" s="84"/>
      <c r="H76" s="84"/>
    </row>
    <row r="77" spans="4:8" ht="15.6">
      <c r="D77" s="84"/>
      <c r="E77" s="84"/>
      <c r="F77" s="84"/>
      <c r="G77" s="84"/>
      <c r="H77" s="84"/>
    </row>
    <row r="78" spans="4:8" ht="15.6">
      <c r="D78" s="84"/>
      <c r="E78" s="84"/>
      <c r="F78" s="84"/>
      <c r="G78" s="84"/>
      <c r="H78" s="84"/>
    </row>
    <row r="79" spans="4:8" ht="15.6">
      <c r="D79" s="84"/>
      <c r="E79" s="84"/>
      <c r="F79" s="84"/>
      <c r="G79" s="84"/>
      <c r="H79" s="84"/>
    </row>
    <row r="80" spans="4:8" ht="15.6">
      <c r="D80" s="84"/>
      <c r="E80" s="84"/>
      <c r="F80" s="84"/>
      <c r="G80" s="84"/>
      <c r="H80" s="84"/>
    </row>
    <row r="81" spans="4:8" ht="15.6">
      <c r="D81" s="84"/>
      <c r="E81" s="84"/>
      <c r="F81" s="84"/>
      <c r="G81" s="84"/>
      <c r="H81" s="84"/>
    </row>
    <row r="82" spans="4:8" ht="15.6">
      <c r="D82" s="84"/>
      <c r="E82" s="84"/>
      <c r="F82" s="84"/>
      <c r="G82" s="84"/>
      <c r="H82" s="84"/>
    </row>
    <row r="83" spans="4:8" ht="15.6">
      <c r="D83" s="84"/>
      <c r="E83" s="84"/>
      <c r="F83" s="84"/>
      <c r="G83" s="84"/>
      <c r="H83" s="84"/>
    </row>
    <row r="84" spans="4:8" ht="15.6">
      <c r="D84" s="84"/>
      <c r="E84" s="84"/>
      <c r="F84" s="84"/>
      <c r="G84" s="84"/>
      <c r="H84" s="84"/>
    </row>
    <row r="85" spans="4:8" ht="15.6">
      <c r="D85" s="84"/>
      <c r="E85" s="84"/>
      <c r="F85" s="84"/>
      <c r="G85" s="84"/>
      <c r="H85" s="84"/>
    </row>
    <row r="86" spans="4:8" ht="15.6">
      <c r="D86" s="84"/>
      <c r="E86" s="84"/>
      <c r="F86" s="84"/>
      <c r="G86" s="84"/>
      <c r="H86" s="84"/>
    </row>
    <row r="87" spans="4:8" ht="15.6">
      <c r="D87" s="84"/>
      <c r="E87" s="84"/>
      <c r="F87" s="84"/>
      <c r="G87" s="84"/>
      <c r="H87" s="84"/>
    </row>
    <row r="88" spans="4:8" ht="15.6">
      <c r="D88" s="84"/>
      <c r="E88" s="84"/>
      <c r="F88" s="84"/>
      <c r="G88" s="84"/>
      <c r="H88" s="84"/>
    </row>
    <row r="89" spans="4:8" ht="15.6">
      <c r="D89" s="84"/>
      <c r="E89" s="84"/>
      <c r="F89" s="84"/>
      <c r="G89" s="84"/>
      <c r="H89" s="84"/>
    </row>
    <row r="90" spans="4:8" ht="15.6">
      <c r="D90" s="84"/>
      <c r="E90" s="84"/>
      <c r="F90" s="84"/>
      <c r="G90" s="84"/>
      <c r="H90" s="84"/>
    </row>
    <row r="91" spans="4:8" ht="15.6">
      <c r="D91" s="84"/>
      <c r="E91" s="84"/>
      <c r="F91" s="84"/>
      <c r="G91" s="84"/>
      <c r="H91" s="84"/>
    </row>
    <row r="92" spans="4:8" ht="15.6">
      <c r="D92" s="84"/>
      <c r="E92" s="84"/>
      <c r="F92" s="84"/>
      <c r="G92" s="84"/>
      <c r="H92" s="84"/>
    </row>
    <row r="93" spans="4:8" ht="15.6">
      <c r="D93" s="84"/>
      <c r="E93" s="84"/>
      <c r="F93" s="84"/>
      <c r="G93" s="84"/>
      <c r="H93" s="84"/>
    </row>
    <row r="94" spans="4:8" ht="15.6">
      <c r="D94" s="84"/>
      <c r="E94" s="84"/>
      <c r="F94" s="84"/>
      <c r="G94" s="84"/>
      <c r="H94" s="84"/>
    </row>
    <row r="95" spans="4:8" ht="15.6">
      <c r="D95" s="84"/>
      <c r="E95" s="84"/>
      <c r="F95" s="84"/>
      <c r="G95" s="84"/>
      <c r="H95" s="84"/>
    </row>
    <row r="96" spans="4:8" ht="15.6">
      <c r="D96" s="84"/>
      <c r="E96" s="84"/>
      <c r="F96" s="84"/>
      <c r="G96" s="84"/>
      <c r="H96" s="84"/>
    </row>
    <row r="97" spans="4:8" ht="15.6">
      <c r="D97" s="84"/>
      <c r="E97" s="84"/>
      <c r="F97" s="84"/>
      <c r="G97" s="84"/>
      <c r="H97" s="84"/>
    </row>
    <row r="98" spans="4:8" ht="15.6">
      <c r="D98" s="84"/>
      <c r="E98" s="84"/>
      <c r="F98" s="84"/>
      <c r="G98" s="84"/>
      <c r="H98" s="84"/>
    </row>
    <row r="99" spans="4:8" ht="15.6">
      <c r="D99" s="84"/>
      <c r="E99" s="84"/>
      <c r="F99" s="84"/>
      <c r="G99" s="84"/>
      <c r="H99" s="84"/>
    </row>
    <row r="100" spans="4:8" ht="15.6">
      <c r="D100" s="84"/>
      <c r="E100" s="84"/>
      <c r="F100" s="84"/>
      <c r="G100" s="84"/>
      <c r="H100" s="84"/>
    </row>
    <row r="101" spans="4:8" ht="15.6">
      <c r="D101" s="84"/>
      <c r="E101" s="84"/>
      <c r="F101" s="84"/>
      <c r="G101" s="84"/>
      <c r="H101" s="84"/>
    </row>
    <row r="102" spans="4:8" ht="15.6">
      <c r="D102" s="84"/>
      <c r="E102" s="84"/>
      <c r="F102" s="84"/>
      <c r="G102" s="84"/>
      <c r="H102" s="84"/>
    </row>
    <row r="103" spans="4:8" ht="15.6">
      <c r="D103" s="84"/>
      <c r="E103" s="84"/>
      <c r="F103" s="84"/>
      <c r="G103" s="84"/>
      <c r="H103" s="84"/>
    </row>
    <row r="104" spans="4:8" ht="15.6">
      <c r="D104" s="84"/>
      <c r="E104" s="84"/>
      <c r="F104" s="84"/>
      <c r="G104" s="84"/>
      <c r="H104" s="84"/>
    </row>
    <row r="105" spans="4:8" ht="15.6">
      <c r="D105" s="84"/>
      <c r="E105" s="84"/>
      <c r="F105" s="84"/>
      <c r="G105" s="84"/>
      <c r="H105" s="84"/>
    </row>
    <row r="106" spans="4:8" ht="15.6">
      <c r="D106" s="84"/>
      <c r="E106" s="84"/>
      <c r="F106" s="84"/>
      <c r="G106" s="84"/>
      <c r="H106" s="84"/>
    </row>
    <row r="107" spans="4:8" ht="15.6">
      <c r="D107" s="84"/>
      <c r="E107" s="84"/>
      <c r="F107" s="84"/>
      <c r="G107" s="84"/>
      <c r="H107" s="84"/>
    </row>
    <row r="108" spans="4:8" ht="15.6">
      <c r="D108" s="84"/>
      <c r="E108" s="84"/>
      <c r="F108" s="84"/>
      <c r="G108" s="84"/>
      <c r="H108" s="84"/>
    </row>
    <row r="109" spans="4:8" ht="15.6">
      <c r="D109" s="84"/>
      <c r="E109" s="84"/>
      <c r="F109" s="84"/>
      <c r="G109" s="84"/>
      <c r="H109" s="84"/>
    </row>
    <row r="110" spans="4:8" ht="15.6">
      <c r="D110" s="84"/>
      <c r="E110" s="84"/>
      <c r="F110" s="84"/>
      <c r="G110" s="84"/>
      <c r="H110" s="84"/>
    </row>
    <row r="111" spans="4:8" ht="15.6">
      <c r="D111" s="84"/>
      <c r="E111" s="84"/>
      <c r="F111" s="84"/>
      <c r="G111" s="84"/>
      <c r="H111" s="84"/>
    </row>
    <row r="112" spans="4:8" ht="15.6">
      <c r="D112" s="84"/>
      <c r="E112" s="84"/>
      <c r="F112" s="84"/>
      <c r="G112" s="84"/>
      <c r="H112" s="84"/>
    </row>
    <row r="113" spans="4:8" ht="15.6">
      <c r="D113" s="84"/>
      <c r="E113" s="84"/>
      <c r="F113" s="84"/>
      <c r="G113" s="84"/>
      <c r="H113" s="84"/>
    </row>
    <row r="114" spans="4:8" ht="15.6">
      <c r="D114" s="84"/>
      <c r="E114" s="84"/>
      <c r="F114" s="84"/>
      <c r="G114" s="84"/>
      <c r="H114" s="84"/>
    </row>
    <row r="115" spans="4:8" ht="15.6">
      <c r="D115" s="84"/>
      <c r="E115" s="84"/>
      <c r="F115" s="84"/>
      <c r="G115" s="84"/>
      <c r="H115" s="84"/>
    </row>
    <row r="116" spans="4:8" ht="15.6">
      <c r="D116" s="84"/>
      <c r="E116" s="84"/>
      <c r="F116" s="84"/>
      <c r="G116" s="84"/>
      <c r="H116" s="84"/>
    </row>
    <row r="117" spans="4:8" ht="15.6">
      <c r="D117" s="84"/>
      <c r="E117" s="84"/>
      <c r="F117" s="84"/>
      <c r="G117" s="84"/>
      <c r="H117" s="84"/>
    </row>
    <row r="118" spans="4:8" ht="15.6">
      <c r="D118" s="84"/>
      <c r="E118" s="84"/>
      <c r="F118" s="84"/>
      <c r="G118" s="84"/>
      <c r="H118" s="84"/>
    </row>
    <row r="119" spans="4:8" ht="15.6">
      <c r="D119" s="84"/>
      <c r="E119" s="84"/>
      <c r="F119" s="84"/>
      <c r="G119" s="84"/>
      <c r="H119" s="84"/>
    </row>
    <row r="120" spans="4:8" ht="15.6">
      <c r="D120" s="84"/>
      <c r="E120" s="84"/>
      <c r="F120" s="84"/>
      <c r="G120" s="84"/>
      <c r="H120" s="84"/>
    </row>
    <row r="121" spans="4:8" ht="15.6">
      <c r="D121" s="84"/>
      <c r="E121" s="84"/>
      <c r="F121" s="84"/>
      <c r="G121" s="84"/>
      <c r="H121" s="84"/>
    </row>
    <row r="122" spans="4:8" ht="15.6">
      <c r="D122" s="84"/>
      <c r="E122" s="84"/>
      <c r="F122" s="84"/>
      <c r="G122" s="84"/>
      <c r="H122" s="84"/>
    </row>
    <row r="123" spans="4:8" ht="15.6">
      <c r="D123" s="84"/>
      <c r="E123" s="84"/>
      <c r="F123" s="84"/>
      <c r="G123" s="84"/>
      <c r="H123" s="84"/>
    </row>
    <row r="124" spans="4:8" ht="15.6">
      <c r="D124" s="84"/>
      <c r="E124" s="84"/>
      <c r="F124" s="84"/>
      <c r="G124" s="84"/>
      <c r="H124" s="84"/>
    </row>
    <row r="125" spans="4:8" ht="15.6">
      <c r="D125" s="84"/>
      <c r="E125" s="84"/>
      <c r="F125" s="84"/>
      <c r="G125" s="84"/>
      <c r="H125" s="84"/>
    </row>
    <row r="126" spans="4:8" ht="15.6">
      <c r="D126" s="84"/>
      <c r="E126" s="84"/>
      <c r="F126" s="84"/>
      <c r="G126" s="84"/>
      <c r="H126" s="84"/>
    </row>
    <row r="127" spans="4:8" ht="15.6">
      <c r="D127" s="84"/>
      <c r="E127" s="84"/>
      <c r="F127" s="84"/>
      <c r="G127" s="84"/>
      <c r="H127" s="84"/>
    </row>
    <row r="128" spans="4:8" ht="15.6">
      <c r="D128" s="84"/>
      <c r="E128" s="84"/>
      <c r="F128" s="84"/>
      <c r="G128" s="84"/>
      <c r="H128" s="84"/>
    </row>
    <row r="129" spans="4:8" ht="15.6">
      <c r="D129" s="84"/>
      <c r="E129" s="84"/>
      <c r="F129" s="84"/>
      <c r="G129" s="84"/>
      <c r="H129" s="84"/>
    </row>
    <row r="130" spans="4:8" ht="15.6">
      <c r="D130" s="84"/>
      <c r="E130" s="84"/>
      <c r="F130" s="84"/>
      <c r="G130" s="84"/>
      <c r="H130" s="84"/>
    </row>
    <row r="131" spans="4:8" ht="15.6">
      <c r="D131" s="84"/>
      <c r="E131" s="84"/>
      <c r="F131" s="84"/>
      <c r="G131" s="84"/>
      <c r="H131" s="84"/>
    </row>
    <row r="132" spans="4:8" ht="15.6">
      <c r="D132" s="84"/>
      <c r="E132" s="84"/>
      <c r="F132" s="84"/>
      <c r="G132" s="84"/>
      <c r="H132" s="84"/>
    </row>
    <row r="133" spans="4:8" ht="15.6">
      <c r="D133" s="84"/>
      <c r="E133" s="84"/>
      <c r="F133" s="84"/>
      <c r="G133" s="84"/>
      <c r="H133" s="84"/>
    </row>
    <row r="134" spans="4:8" ht="15.6">
      <c r="D134" s="84"/>
      <c r="E134" s="84"/>
      <c r="F134" s="84"/>
      <c r="G134" s="84"/>
      <c r="H134" s="84"/>
    </row>
    <row r="135" spans="4:8" ht="15.6">
      <c r="D135" s="84"/>
      <c r="E135" s="84"/>
      <c r="F135" s="84"/>
      <c r="G135" s="84"/>
      <c r="H135" s="84"/>
    </row>
    <row r="136" spans="4:8" ht="15.6">
      <c r="D136" s="84"/>
      <c r="E136" s="84"/>
      <c r="F136" s="84"/>
      <c r="G136" s="84"/>
      <c r="H136" s="84"/>
    </row>
    <row r="137" spans="4:8" ht="15.6">
      <c r="D137" s="84"/>
      <c r="E137" s="84"/>
      <c r="F137" s="84"/>
      <c r="G137" s="84"/>
      <c r="H137" s="84"/>
    </row>
    <row r="138" spans="4:8" ht="15.6">
      <c r="D138" s="84"/>
      <c r="E138" s="84"/>
      <c r="F138" s="84"/>
      <c r="G138" s="84"/>
      <c r="H138" s="84"/>
    </row>
    <row r="139" spans="4:8" ht="15.6">
      <c r="D139" s="84"/>
      <c r="E139" s="84"/>
      <c r="F139" s="84"/>
      <c r="G139" s="84"/>
      <c r="H139" s="84"/>
    </row>
    <row r="140" spans="4:8" ht="15.6">
      <c r="D140" s="84"/>
      <c r="E140" s="84"/>
      <c r="F140" s="84"/>
      <c r="G140" s="84"/>
      <c r="H140" s="84"/>
    </row>
    <row r="141" spans="4:8" ht="15.6">
      <c r="D141" s="84"/>
      <c r="E141" s="84"/>
      <c r="F141" s="84"/>
      <c r="G141" s="84"/>
      <c r="H141" s="84"/>
    </row>
    <row r="142" spans="4:8" ht="15.6">
      <c r="D142" s="84"/>
      <c r="E142" s="84"/>
      <c r="F142" s="84"/>
      <c r="G142" s="84"/>
      <c r="H142" s="84"/>
    </row>
    <row r="143" spans="4:8" ht="15.6">
      <c r="D143" s="84"/>
      <c r="E143" s="84"/>
      <c r="F143" s="84"/>
      <c r="G143" s="84"/>
      <c r="H143" s="84"/>
    </row>
    <row r="144" spans="4:8" ht="15.6">
      <c r="D144" s="84"/>
      <c r="E144" s="84"/>
      <c r="F144" s="84"/>
      <c r="G144" s="84"/>
      <c r="H144" s="84"/>
    </row>
    <row r="145" spans="4:8" ht="15.6">
      <c r="D145" s="84"/>
      <c r="E145" s="84"/>
      <c r="F145" s="84"/>
      <c r="G145" s="84"/>
      <c r="H145" s="84"/>
    </row>
    <row r="146" spans="4:8" ht="15.6">
      <c r="D146" s="84"/>
      <c r="E146" s="84"/>
      <c r="F146" s="84"/>
      <c r="G146" s="84"/>
      <c r="H146" s="84"/>
    </row>
    <row r="147" spans="4:8" ht="15.6">
      <c r="D147" s="84"/>
      <c r="E147" s="84"/>
      <c r="F147" s="84"/>
      <c r="G147" s="84"/>
      <c r="H147" s="84"/>
    </row>
    <row r="148" spans="4:8" ht="15.6">
      <c r="D148" s="84"/>
      <c r="E148" s="84"/>
      <c r="F148" s="84"/>
      <c r="G148" s="84"/>
      <c r="H148" s="84"/>
    </row>
    <row r="149" spans="4:8" ht="15.6">
      <c r="D149" s="84"/>
      <c r="E149" s="84"/>
      <c r="F149" s="84"/>
      <c r="G149" s="84"/>
      <c r="H149" s="84"/>
    </row>
    <row r="150" spans="4:8" ht="15.6">
      <c r="D150" s="84"/>
      <c r="E150" s="84"/>
      <c r="F150" s="84"/>
      <c r="G150" s="84"/>
      <c r="H150" s="84"/>
    </row>
    <row r="151" spans="4:8" ht="15.6">
      <c r="D151" s="84"/>
      <c r="E151" s="84"/>
      <c r="F151" s="84"/>
      <c r="G151" s="84"/>
      <c r="H151" s="84"/>
    </row>
    <row r="152" spans="4:8" ht="15.6">
      <c r="D152" s="84"/>
      <c r="E152" s="84"/>
      <c r="F152" s="84"/>
      <c r="G152" s="84"/>
      <c r="H152" s="84"/>
    </row>
    <row r="153" spans="4:8" ht="15.6">
      <c r="D153" s="84"/>
      <c r="E153" s="84"/>
      <c r="F153" s="84"/>
      <c r="G153" s="84"/>
      <c r="H153" s="84"/>
    </row>
    <row r="154" spans="4:8" ht="15.6">
      <c r="D154" s="84"/>
      <c r="E154" s="84"/>
      <c r="F154" s="84"/>
      <c r="G154" s="84"/>
      <c r="H154" s="84"/>
    </row>
    <row r="155" spans="4:8" ht="15.6">
      <c r="D155" s="84"/>
      <c r="E155" s="84"/>
      <c r="F155" s="84"/>
      <c r="G155" s="84"/>
      <c r="H155" s="84"/>
    </row>
    <row r="156" spans="4:8" ht="15.6">
      <c r="D156" s="84"/>
      <c r="E156" s="84"/>
      <c r="F156" s="84"/>
      <c r="G156" s="84"/>
      <c r="H156" s="84"/>
    </row>
    <row r="157" spans="4:8" ht="15.6">
      <c r="D157" s="84"/>
      <c r="E157" s="84"/>
      <c r="F157" s="84"/>
      <c r="G157" s="84"/>
      <c r="H157" s="84"/>
    </row>
    <row r="158" spans="4:8" ht="15.6">
      <c r="D158" s="84"/>
      <c r="E158" s="84"/>
      <c r="F158" s="84"/>
      <c r="G158" s="84"/>
      <c r="H158" s="84"/>
    </row>
    <row r="159" spans="4:8" ht="15.6">
      <c r="D159" s="84"/>
      <c r="E159" s="84"/>
      <c r="F159" s="84"/>
      <c r="G159" s="84"/>
      <c r="H159" s="84"/>
    </row>
    <row r="160" spans="4:8" ht="15.6">
      <c r="D160" s="84"/>
      <c r="E160" s="84"/>
      <c r="F160" s="84"/>
      <c r="G160" s="84"/>
      <c r="H160" s="84"/>
    </row>
    <row r="161" spans="4:8" ht="15.6">
      <c r="D161" s="84"/>
      <c r="E161" s="84"/>
      <c r="F161" s="84"/>
      <c r="G161" s="84"/>
      <c r="H161" s="84"/>
    </row>
    <row r="162" spans="4:8" ht="15.6">
      <c r="D162" s="84"/>
      <c r="E162" s="84"/>
      <c r="F162" s="84"/>
      <c r="G162" s="84"/>
      <c r="H162" s="84"/>
    </row>
    <row r="163" spans="4:8" ht="15.6">
      <c r="D163" s="84"/>
      <c r="E163" s="84"/>
      <c r="F163" s="84"/>
      <c r="G163" s="84"/>
      <c r="H163" s="84"/>
    </row>
    <row r="164" spans="4:8" ht="15.6">
      <c r="D164" s="84"/>
      <c r="E164" s="84"/>
      <c r="F164" s="84"/>
      <c r="G164" s="84"/>
      <c r="H164" s="84"/>
    </row>
    <row r="165" spans="4:8" ht="15.6">
      <c r="D165" s="84"/>
      <c r="E165" s="84"/>
      <c r="F165" s="84"/>
      <c r="G165" s="84"/>
      <c r="H165" s="84"/>
    </row>
    <row r="166" spans="4:8" ht="15.6">
      <c r="D166" s="84"/>
      <c r="E166" s="84"/>
      <c r="F166" s="84"/>
      <c r="G166" s="84"/>
      <c r="H166" s="84"/>
    </row>
    <row r="167" spans="4:8" ht="15.6">
      <c r="D167" s="84"/>
      <c r="E167" s="84"/>
      <c r="F167" s="84"/>
      <c r="G167" s="84"/>
      <c r="H167" s="84"/>
    </row>
    <row r="168" spans="4:8" ht="15.6">
      <c r="D168" s="84"/>
      <c r="E168" s="84"/>
      <c r="F168" s="84"/>
      <c r="G168" s="84"/>
      <c r="H168" s="84"/>
    </row>
    <row r="169" spans="4:8" ht="15.6">
      <c r="D169" s="84"/>
      <c r="E169" s="84"/>
      <c r="F169" s="84"/>
      <c r="G169" s="84"/>
      <c r="H169" s="84"/>
    </row>
    <row r="170" spans="4:8" ht="15.6">
      <c r="D170" s="84"/>
      <c r="E170" s="84"/>
      <c r="F170" s="84"/>
      <c r="G170" s="84"/>
      <c r="H170" s="84"/>
    </row>
    <row r="171" spans="4:8" ht="15.6">
      <c r="D171" s="84"/>
      <c r="E171" s="84"/>
      <c r="F171" s="84"/>
      <c r="G171" s="84"/>
      <c r="H171" s="84"/>
    </row>
    <row r="172" spans="4:8" ht="15.6">
      <c r="D172" s="84"/>
      <c r="E172" s="84"/>
      <c r="F172" s="84"/>
      <c r="G172" s="84"/>
      <c r="H172" s="84"/>
    </row>
    <row r="173" spans="4:8" ht="15.6">
      <c r="D173" s="84"/>
      <c r="E173" s="84"/>
      <c r="F173" s="84"/>
      <c r="G173" s="84"/>
      <c r="H173" s="84"/>
    </row>
    <row r="174" spans="4:8" ht="15.6">
      <c r="D174" s="84"/>
      <c r="E174" s="84"/>
      <c r="F174" s="84"/>
      <c r="G174" s="84"/>
      <c r="H174" s="84"/>
    </row>
    <row r="175" spans="4:8" ht="15.6">
      <c r="D175" s="84"/>
      <c r="E175" s="84"/>
      <c r="F175" s="84"/>
      <c r="G175" s="84"/>
      <c r="H175" s="84"/>
    </row>
    <row r="176" spans="4:8" ht="15.6">
      <c r="D176" s="84"/>
      <c r="E176" s="84"/>
      <c r="F176" s="84"/>
      <c r="G176" s="84"/>
      <c r="H176" s="84"/>
    </row>
    <row r="177" spans="4:8" ht="15.6">
      <c r="D177" s="84"/>
      <c r="E177" s="84"/>
      <c r="F177" s="84"/>
      <c r="G177" s="84"/>
      <c r="H177" s="84"/>
    </row>
    <row r="178" spans="4:8" ht="15.6">
      <c r="D178" s="84"/>
      <c r="E178" s="84"/>
      <c r="F178" s="84"/>
      <c r="G178" s="84"/>
      <c r="H178" s="84"/>
    </row>
    <row r="179" spans="4:8" ht="15.6">
      <c r="D179" s="84"/>
      <c r="E179" s="84"/>
      <c r="F179" s="84"/>
      <c r="G179" s="84"/>
      <c r="H179" s="84"/>
    </row>
    <row r="180" spans="4:8" ht="15.6">
      <c r="D180" s="84"/>
      <c r="E180" s="84"/>
      <c r="F180" s="84"/>
      <c r="G180" s="84"/>
      <c r="H180" s="84"/>
    </row>
    <row r="181" spans="4:8" ht="15.6">
      <c r="D181" s="84"/>
      <c r="E181" s="84"/>
      <c r="F181" s="84"/>
      <c r="G181" s="84"/>
      <c r="H181" s="84"/>
    </row>
    <row r="182" spans="4:8" ht="15.6">
      <c r="D182" s="84"/>
      <c r="E182" s="84"/>
      <c r="F182" s="84"/>
      <c r="G182" s="84"/>
      <c r="H182" s="84"/>
    </row>
    <row r="183" spans="4:8" ht="15.6">
      <c r="D183" s="84"/>
      <c r="E183" s="84"/>
      <c r="F183" s="84"/>
      <c r="G183" s="84"/>
      <c r="H183" s="84"/>
    </row>
    <row r="184" spans="4:8" ht="15.6">
      <c r="D184" s="84"/>
      <c r="E184" s="84"/>
      <c r="F184" s="84"/>
      <c r="G184" s="84"/>
      <c r="H184" s="84"/>
    </row>
    <row r="185" spans="4:8" ht="15.6">
      <c r="D185" s="84"/>
      <c r="E185" s="84"/>
      <c r="F185" s="84"/>
      <c r="G185" s="84"/>
      <c r="H185" s="84"/>
    </row>
    <row r="186" spans="4:8" ht="15.6">
      <c r="D186" s="84"/>
      <c r="E186" s="84"/>
      <c r="F186" s="84"/>
      <c r="G186" s="84"/>
      <c r="H186" s="84"/>
    </row>
    <row r="187" spans="4:8" ht="15.6">
      <c r="D187" s="84"/>
      <c r="E187" s="84"/>
      <c r="F187" s="84"/>
      <c r="G187" s="84"/>
      <c r="H187" s="84"/>
    </row>
    <row r="188" spans="4:8" ht="15.6">
      <c r="D188" s="84"/>
      <c r="E188" s="84"/>
      <c r="F188" s="84"/>
      <c r="G188" s="84"/>
      <c r="H188" s="84"/>
    </row>
    <row r="189" spans="4:8" ht="15.6">
      <c r="D189" s="84"/>
      <c r="E189" s="84"/>
      <c r="F189" s="84"/>
      <c r="G189" s="84"/>
      <c r="H189" s="84"/>
    </row>
    <row r="190" spans="4:8" ht="15.6">
      <c r="D190" s="84"/>
      <c r="E190" s="84"/>
      <c r="F190" s="84"/>
      <c r="G190" s="84"/>
      <c r="H190" s="84"/>
    </row>
    <row r="191" spans="4:8" ht="15.6">
      <c r="D191" s="84"/>
      <c r="E191" s="84"/>
      <c r="F191" s="84"/>
      <c r="G191" s="84"/>
      <c r="H191" s="84"/>
    </row>
    <row r="192" spans="4:8" ht="15.6">
      <c r="D192" s="84"/>
      <c r="E192" s="84"/>
      <c r="F192" s="84"/>
      <c r="G192" s="84"/>
      <c r="H192" s="84"/>
    </row>
    <row r="193" spans="4:8" ht="15.6">
      <c r="D193" s="84"/>
      <c r="E193" s="84"/>
      <c r="F193" s="84"/>
      <c r="G193" s="84"/>
      <c r="H193" s="84"/>
    </row>
    <row r="194" spans="4:8" ht="15.6">
      <c r="D194" s="84"/>
      <c r="E194" s="84"/>
      <c r="F194" s="84"/>
      <c r="G194" s="84"/>
      <c r="H194" s="84"/>
    </row>
    <row r="195" spans="4:8" ht="15.6">
      <c r="D195" s="84"/>
      <c r="E195" s="84"/>
      <c r="F195" s="84"/>
      <c r="G195" s="84"/>
      <c r="H195" s="84"/>
    </row>
    <row r="196" spans="4:8" ht="15.6">
      <c r="D196" s="84"/>
      <c r="E196" s="84"/>
      <c r="F196" s="84"/>
      <c r="G196" s="84"/>
      <c r="H196" s="84"/>
    </row>
    <row r="197" spans="4:8" ht="15.6">
      <c r="D197" s="84"/>
      <c r="E197" s="84"/>
      <c r="F197" s="84"/>
      <c r="G197" s="84"/>
      <c r="H197" s="84"/>
    </row>
    <row r="198" spans="4:8" ht="15.6">
      <c r="D198" s="84"/>
      <c r="E198" s="84"/>
      <c r="F198" s="84"/>
      <c r="G198" s="84"/>
      <c r="H198" s="84"/>
    </row>
    <row r="199" spans="4:8" ht="15.6">
      <c r="D199" s="84"/>
      <c r="E199" s="84"/>
      <c r="F199" s="84"/>
      <c r="G199" s="84"/>
      <c r="H199" s="84"/>
    </row>
    <row r="200" spans="4:8" ht="15.6">
      <c r="D200" s="84"/>
      <c r="E200" s="84"/>
      <c r="F200" s="84"/>
      <c r="G200" s="84"/>
      <c r="H200" s="84"/>
    </row>
    <row r="201" spans="4:8" ht="15.6">
      <c r="D201" s="84"/>
      <c r="E201" s="84"/>
      <c r="F201" s="84"/>
      <c r="G201" s="84"/>
      <c r="H201" s="84"/>
    </row>
    <row r="202" spans="4:8" ht="15.6">
      <c r="D202" s="84"/>
      <c r="E202" s="84"/>
      <c r="F202" s="84"/>
      <c r="G202" s="84"/>
      <c r="H202" s="84"/>
    </row>
    <row r="203" spans="4:8" ht="15.6">
      <c r="D203" s="84"/>
      <c r="E203" s="84"/>
      <c r="F203" s="84"/>
      <c r="G203" s="84"/>
      <c r="H203" s="84"/>
    </row>
    <row r="204" spans="4:8" ht="15.6">
      <c r="D204" s="84"/>
      <c r="E204" s="84"/>
      <c r="F204" s="84"/>
      <c r="G204" s="84"/>
      <c r="H204" s="84"/>
    </row>
    <row r="205" spans="4:8" ht="15.6">
      <c r="D205" s="84"/>
      <c r="E205" s="84"/>
      <c r="F205" s="84"/>
      <c r="G205" s="84"/>
      <c r="H205" s="84"/>
    </row>
    <row r="206" spans="4:8" ht="15.6">
      <c r="D206" s="84"/>
      <c r="E206" s="84"/>
      <c r="F206" s="84"/>
      <c r="G206" s="84"/>
      <c r="H206" s="84"/>
    </row>
    <row r="207" spans="4:8" ht="15.6">
      <c r="D207" s="84"/>
      <c r="E207" s="84"/>
      <c r="F207" s="84"/>
      <c r="G207" s="84"/>
      <c r="H207" s="84"/>
    </row>
    <row r="208" spans="4:8" ht="15.6">
      <c r="D208" s="84"/>
      <c r="E208" s="84"/>
      <c r="F208" s="84"/>
      <c r="G208" s="84"/>
      <c r="H208" s="84"/>
    </row>
    <row r="209" spans="4:8" ht="15.6">
      <c r="D209" s="84"/>
      <c r="E209" s="84"/>
      <c r="F209" s="84"/>
      <c r="G209" s="84"/>
      <c r="H209" s="84"/>
    </row>
    <row r="210" spans="4:8" ht="15.6">
      <c r="D210" s="84"/>
      <c r="E210" s="84"/>
      <c r="F210" s="84"/>
      <c r="G210" s="84"/>
      <c r="H210" s="84"/>
    </row>
    <row r="211" spans="4:8" ht="15.6">
      <c r="D211" s="84"/>
      <c r="E211" s="84"/>
      <c r="F211" s="84"/>
      <c r="G211" s="84"/>
      <c r="H211" s="84"/>
    </row>
    <row r="212" spans="4:8" ht="15.6">
      <c r="D212" s="84"/>
      <c r="E212" s="84"/>
      <c r="F212" s="84"/>
      <c r="G212" s="84"/>
      <c r="H212" s="84"/>
    </row>
    <row r="213" spans="4:8" ht="15.6">
      <c r="D213" s="84"/>
      <c r="E213" s="84"/>
      <c r="F213" s="84"/>
      <c r="G213" s="84"/>
      <c r="H213" s="84"/>
    </row>
    <row r="214" spans="4:8" ht="15.6">
      <c r="D214" s="84"/>
      <c r="E214" s="84"/>
      <c r="F214" s="84"/>
      <c r="G214" s="84"/>
      <c r="H214" s="84"/>
    </row>
    <row r="215" spans="4:8" ht="15.6">
      <c r="D215" s="84"/>
      <c r="E215" s="84"/>
      <c r="F215" s="84"/>
      <c r="G215" s="84"/>
      <c r="H215" s="84"/>
    </row>
    <row r="216" spans="4:8" ht="15.6">
      <c r="D216" s="84"/>
      <c r="E216" s="84"/>
      <c r="F216" s="84"/>
      <c r="G216" s="84"/>
      <c r="H216" s="84"/>
    </row>
    <row r="217" spans="4:8" ht="15.6">
      <c r="D217" s="84"/>
      <c r="E217" s="84"/>
      <c r="F217" s="84"/>
      <c r="G217" s="84"/>
      <c r="H217" s="84"/>
    </row>
    <row r="218" spans="4:8" ht="15.6">
      <c r="D218" s="84"/>
      <c r="E218" s="84"/>
      <c r="F218" s="84"/>
      <c r="G218" s="84"/>
      <c r="H218" s="84"/>
    </row>
    <row r="219" spans="4:8" ht="15.6">
      <c r="D219" s="84"/>
      <c r="E219" s="84"/>
      <c r="F219" s="84"/>
      <c r="G219" s="84"/>
      <c r="H219" s="84"/>
    </row>
    <row r="220" spans="4:8" ht="15.6">
      <c r="D220" s="84"/>
      <c r="E220" s="84"/>
      <c r="F220" s="84"/>
      <c r="G220" s="84"/>
      <c r="H220" s="84"/>
    </row>
    <row r="221" spans="4:8" ht="15.6">
      <c r="D221" s="84"/>
      <c r="E221" s="84"/>
      <c r="F221" s="84"/>
      <c r="G221" s="84"/>
      <c r="H221" s="84"/>
    </row>
    <row r="222" spans="4:8" ht="15.6">
      <c r="D222" s="84"/>
      <c r="E222" s="84"/>
      <c r="F222" s="84"/>
      <c r="G222" s="84"/>
      <c r="H222" s="84"/>
    </row>
    <row r="223" spans="4:8" ht="15.6">
      <c r="D223" s="84"/>
      <c r="E223" s="84"/>
      <c r="F223" s="84"/>
      <c r="G223" s="84"/>
      <c r="H223" s="84"/>
    </row>
    <row r="224" spans="4:8" ht="15.6">
      <c r="D224" s="84"/>
      <c r="E224" s="84"/>
      <c r="F224" s="84"/>
      <c r="G224" s="84"/>
      <c r="H224" s="84"/>
    </row>
    <row r="225" spans="4:8" ht="15.6">
      <c r="D225" s="84"/>
      <c r="E225" s="84"/>
      <c r="F225" s="84"/>
      <c r="G225" s="84"/>
      <c r="H225" s="84"/>
    </row>
    <row r="226" spans="4:8" ht="15.6">
      <c r="D226" s="84"/>
      <c r="E226" s="84"/>
      <c r="F226" s="84"/>
      <c r="G226" s="84"/>
      <c r="H226" s="84"/>
    </row>
    <row r="227" spans="4:8" ht="15.6">
      <c r="D227" s="84"/>
      <c r="E227" s="84"/>
      <c r="F227" s="84"/>
      <c r="G227" s="84"/>
      <c r="H227" s="84"/>
    </row>
    <row r="228" spans="4:8" ht="15.6">
      <c r="D228" s="84"/>
      <c r="E228" s="84"/>
      <c r="F228" s="84"/>
      <c r="G228" s="84"/>
      <c r="H228" s="84"/>
    </row>
    <row r="229" spans="4:8" ht="15.6">
      <c r="D229" s="84"/>
      <c r="E229" s="84"/>
      <c r="F229" s="84"/>
      <c r="G229" s="84"/>
      <c r="H229" s="84"/>
    </row>
    <row r="230" spans="4:8" ht="15.6">
      <c r="D230" s="84"/>
      <c r="E230" s="84"/>
      <c r="F230" s="84"/>
      <c r="G230" s="84"/>
      <c r="H230" s="84"/>
    </row>
    <row r="231" spans="4:8" ht="15.6">
      <c r="D231" s="84"/>
      <c r="E231" s="84"/>
      <c r="F231" s="84"/>
      <c r="G231" s="84"/>
      <c r="H231" s="84"/>
    </row>
    <row r="232" spans="4:8" ht="15.6">
      <c r="D232" s="84"/>
      <c r="E232" s="84"/>
      <c r="F232" s="84"/>
      <c r="G232" s="84"/>
      <c r="H232" s="84"/>
    </row>
    <row r="233" spans="4:8" ht="15.6">
      <c r="D233" s="84"/>
      <c r="E233" s="84"/>
      <c r="F233" s="84"/>
      <c r="G233" s="84"/>
      <c r="H233" s="84"/>
    </row>
    <row r="234" spans="4:8" ht="15.6">
      <c r="D234" s="84"/>
      <c r="E234" s="84"/>
      <c r="F234" s="84"/>
      <c r="G234" s="84"/>
      <c r="H234" s="84"/>
    </row>
    <row r="235" spans="4:8" ht="15.6">
      <c r="D235" s="84"/>
      <c r="E235" s="84"/>
      <c r="F235" s="84"/>
      <c r="G235" s="84"/>
      <c r="H235" s="84"/>
    </row>
    <row r="236" spans="4:8" ht="15.6">
      <c r="D236" s="84"/>
      <c r="E236" s="84"/>
      <c r="F236" s="84"/>
      <c r="G236" s="84"/>
      <c r="H236" s="84"/>
    </row>
    <row r="237" spans="4:8" ht="15.6">
      <c r="D237" s="84"/>
      <c r="E237" s="84"/>
      <c r="F237" s="84"/>
      <c r="G237" s="84"/>
      <c r="H237" s="84"/>
    </row>
    <row r="238" spans="4:8" ht="15.6">
      <c r="D238" s="84"/>
      <c r="E238" s="84"/>
      <c r="F238" s="84"/>
      <c r="G238" s="84"/>
      <c r="H238" s="84"/>
    </row>
    <row r="239" spans="4:8" ht="15.6">
      <c r="D239" s="84"/>
      <c r="E239" s="84"/>
      <c r="F239" s="84"/>
      <c r="G239" s="84"/>
      <c r="H239" s="84"/>
    </row>
    <row r="240" spans="4:8" ht="15.6">
      <c r="D240" s="84"/>
      <c r="E240" s="84"/>
      <c r="F240" s="84"/>
      <c r="G240" s="84"/>
      <c r="H240" s="84"/>
    </row>
    <row r="241" spans="4:8" ht="15.6">
      <c r="D241" s="84"/>
      <c r="E241" s="84"/>
      <c r="F241" s="84"/>
      <c r="G241" s="84"/>
      <c r="H241" s="84"/>
    </row>
    <row r="242" spans="4:8" ht="15.6">
      <c r="D242" s="84"/>
      <c r="E242" s="84"/>
      <c r="F242" s="84"/>
      <c r="G242" s="84"/>
      <c r="H242" s="84"/>
    </row>
    <row r="243" spans="4:8" ht="15.6">
      <c r="D243" s="84"/>
      <c r="E243" s="84"/>
      <c r="F243" s="84"/>
      <c r="G243" s="84"/>
      <c r="H243" s="84"/>
    </row>
    <row r="244" spans="4:8" ht="15.6">
      <c r="D244" s="84"/>
      <c r="E244" s="84"/>
      <c r="F244" s="84"/>
      <c r="G244" s="84"/>
      <c r="H244" s="84"/>
    </row>
    <row r="245" spans="4:8" ht="15.6">
      <c r="D245" s="84"/>
      <c r="E245" s="84"/>
      <c r="F245" s="84"/>
      <c r="G245" s="84"/>
      <c r="H245" s="84"/>
    </row>
    <row r="246" spans="4:8" ht="15.6">
      <c r="D246" s="84"/>
      <c r="E246" s="84"/>
      <c r="F246" s="84"/>
      <c r="G246" s="84"/>
      <c r="H246" s="84"/>
    </row>
    <row r="247" spans="4:8" ht="15.6">
      <c r="D247" s="84"/>
      <c r="E247" s="84"/>
      <c r="F247" s="84"/>
      <c r="G247" s="84"/>
      <c r="H247" s="84"/>
    </row>
    <row r="248" spans="4:8" ht="15.6">
      <c r="D248" s="84"/>
      <c r="E248" s="84"/>
      <c r="F248" s="84"/>
      <c r="G248" s="84"/>
      <c r="H248" s="84"/>
    </row>
    <row r="249" spans="4:8" ht="15.6">
      <c r="D249" s="84"/>
      <c r="E249" s="84"/>
      <c r="F249" s="84"/>
      <c r="G249" s="84"/>
      <c r="H249" s="84"/>
    </row>
    <row r="250" spans="4:8" ht="15.6">
      <c r="D250" s="84"/>
      <c r="E250" s="84"/>
      <c r="F250" s="84"/>
      <c r="G250" s="84"/>
      <c r="H250" s="84"/>
    </row>
    <row r="251" spans="4:8" ht="15.6">
      <c r="D251" s="84"/>
      <c r="E251" s="84"/>
      <c r="F251" s="84"/>
      <c r="G251" s="84"/>
      <c r="H251" s="84"/>
    </row>
    <row r="252" spans="4:8" ht="15.6">
      <c r="D252" s="84"/>
      <c r="E252" s="84"/>
      <c r="F252" s="84"/>
      <c r="G252" s="84"/>
      <c r="H252" s="84"/>
    </row>
    <row r="253" spans="4:8" ht="15.6">
      <c r="D253" s="84"/>
      <c r="E253" s="84"/>
      <c r="F253" s="84"/>
      <c r="G253" s="84"/>
      <c r="H253" s="84"/>
    </row>
    <row r="254" spans="4:8" ht="15.6">
      <c r="D254" s="84"/>
      <c r="E254" s="84"/>
      <c r="F254" s="84"/>
      <c r="G254" s="84"/>
      <c r="H254" s="84"/>
    </row>
    <row r="255" spans="4:8" ht="15.6">
      <c r="D255" s="84"/>
      <c r="E255" s="84"/>
      <c r="F255" s="84"/>
      <c r="G255" s="84"/>
      <c r="H255" s="84"/>
    </row>
    <row r="256" spans="4:8" ht="15.6">
      <c r="D256" s="84"/>
      <c r="E256" s="84"/>
      <c r="F256" s="84"/>
      <c r="G256" s="84"/>
      <c r="H256" s="84"/>
    </row>
    <row r="257" spans="4:8" ht="15.6">
      <c r="D257" s="84"/>
      <c r="E257" s="84"/>
      <c r="F257" s="84"/>
      <c r="G257" s="84"/>
      <c r="H257" s="84"/>
    </row>
    <row r="258" spans="4:8" ht="15.6">
      <c r="D258" s="84"/>
      <c r="E258" s="84"/>
      <c r="F258" s="84"/>
      <c r="G258" s="84"/>
      <c r="H258" s="84"/>
    </row>
    <row r="259" spans="4:8" ht="15.6">
      <c r="D259" s="84"/>
      <c r="E259" s="84"/>
      <c r="F259" s="84"/>
      <c r="G259" s="84"/>
      <c r="H259" s="84"/>
    </row>
    <row r="260" spans="4:8" ht="15.6">
      <c r="D260" s="84"/>
      <c r="E260" s="84"/>
      <c r="F260" s="84"/>
      <c r="G260" s="84"/>
      <c r="H260" s="84"/>
    </row>
    <row r="261" spans="4:8" ht="15.6">
      <c r="D261" s="84"/>
      <c r="E261" s="84"/>
      <c r="F261" s="84"/>
      <c r="G261" s="84"/>
      <c r="H261" s="84"/>
    </row>
    <row r="262" spans="4:8" ht="15.6">
      <c r="D262" s="84"/>
      <c r="E262" s="84"/>
      <c r="F262" s="84"/>
      <c r="G262" s="84"/>
      <c r="H262" s="84"/>
    </row>
    <row r="263" spans="4:8" ht="15.6">
      <c r="D263" s="84"/>
      <c r="E263" s="84"/>
      <c r="F263" s="84"/>
      <c r="G263" s="84"/>
      <c r="H263" s="84"/>
    </row>
    <row r="264" spans="4:8" ht="15.6">
      <c r="D264" s="84"/>
      <c r="E264" s="84"/>
      <c r="F264" s="84"/>
      <c r="G264" s="84"/>
      <c r="H264" s="84"/>
    </row>
    <row r="265" spans="4:8" ht="15.6">
      <c r="D265" s="84"/>
      <c r="E265" s="84"/>
      <c r="F265" s="84"/>
      <c r="G265" s="84"/>
      <c r="H265" s="84"/>
    </row>
    <row r="266" spans="4:8" ht="15.6">
      <c r="D266" s="84"/>
      <c r="E266" s="84"/>
      <c r="F266" s="84"/>
      <c r="G266" s="84"/>
      <c r="H266" s="84"/>
    </row>
    <row r="267" spans="4:8" ht="15.6">
      <c r="D267" s="84"/>
      <c r="E267" s="84"/>
      <c r="F267" s="84"/>
      <c r="G267" s="84"/>
      <c r="H267" s="84"/>
    </row>
    <row r="268" spans="4:8" ht="15.6">
      <c r="D268" s="84"/>
      <c r="E268" s="84"/>
      <c r="F268" s="84"/>
      <c r="G268" s="84"/>
      <c r="H268" s="84"/>
    </row>
    <row r="269" spans="4:8" ht="15.6">
      <c r="D269" s="84"/>
      <c r="E269" s="84"/>
      <c r="F269" s="84"/>
      <c r="G269" s="84"/>
      <c r="H269" s="84"/>
    </row>
    <row r="270" spans="4:8" ht="15.6">
      <c r="D270" s="84"/>
      <c r="E270" s="84"/>
      <c r="F270" s="84"/>
      <c r="G270" s="84"/>
      <c r="H270" s="84"/>
    </row>
    <row r="271" spans="4:8" ht="15.6">
      <c r="D271" s="84"/>
      <c r="E271" s="84"/>
      <c r="F271" s="84"/>
      <c r="G271" s="84"/>
      <c r="H271" s="84"/>
    </row>
    <row r="272" spans="4:8" ht="15.6">
      <c r="D272" s="84"/>
      <c r="E272" s="84"/>
      <c r="F272" s="84"/>
      <c r="G272" s="84"/>
      <c r="H272" s="84"/>
    </row>
    <row r="273" spans="4:8" ht="15.6">
      <c r="D273" s="84"/>
      <c r="E273" s="84"/>
      <c r="F273" s="84"/>
      <c r="G273" s="84"/>
      <c r="H273" s="84"/>
    </row>
    <row r="274" spans="4:8" ht="15.6">
      <c r="D274" s="84"/>
      <c r="E274" s="84"/>
      <c r="F274" s="84"/>
      <c r="G274" s="84"/>
      <c r="H274" s="84"/>
    </row>
    <row r="275" spans="4:8" ht="15.6">
      <c r="D275" s="84"/>
      <c r="E275" s="84"/>
      <c r="F275" s="84"/>
      <c r="G275" s="84"/>
      <c r="H275" s="84"/>
    </row>
    <row r="276" spans="4:8" ht="15.6">
      <c r="D276" s="84"/>
      <c r="E276" s="84"/>
      <c r="F276" s="84"/>
      <c r="G276" s="84"/>
      <c r="H276" s="84"/>
    </row>
    <row r="277" spans="4:8" ht="15.6">
      <c r="D277" s="84"/>
      <c r="E277" s="84"/>
      <c r="F277" s="84"/>
      <c r="G277" s="84"/>
      <c r="H277" s="84"/>
    </row>
    <row r="278" spans="4:8" ht="15.6">
      <c r="D278" s="84"/>
      <c r="E278" s="84"/>
      <c r="F278" s="84"/>
      <c r="G278" s="84"/>
      <c r="H278" s="84"/>
    </row>
    <row r="279" spans="4:8" ht="15.6">
      <c r="D279" s="84"/>
      <c r="E279" s="84"/>
      <c r="F279" s="84"/>
      <c r="G279" s="84"/>
      <c r="H279" s="84"/>
    </row>
    <row r="280" spans="4:8" ht="15.6">
      <c r="D280" s="84"/>
      <c r="E280" s="84"/>
      <c r="F280" s="84"/>
      <c r="G280" s="84"/>
      <c r="H280" s="84"/>
    </row>
    <row r="281" spans="4:8" ht="15.6">
      <c r="D281" s="84"/>
      <c r="E281" s="84"/>
      <c r="F281" s="84"/>
      <c r="G281" s="84"/>
      <c r="H281" s="84"/>
    </row>
    <row r="282" spans="4:8" ht="15.6">
      <c r="D282" s="84"/>
      <c r="E282" s="84"/>
      <c r="F282" s="84"/>
      <c r="G282" s="84"/>
      <c r="H282" s="84"/>
    </row>
    <row r="283" spans="4:8" ht="15.6">
      <c r="D283" s="84"/>
      <c r="E283" s="84"/>
      <c r="F283" s="84"/>
      <c r="G283" s="84"/>
      <c r="H283" s="84"/>
    </row>
    <row r="284" spans="4:8" ht="15.6">
      <c r="D284" s="84"/>
      <c r="E284" s="84"/>
      <c r="F284" s="84"/>
      <c r="G284" s="84"/>
      <c r="H284" s="84"/>
    </row>
    <row r="285" spans="4:8" ht="15.6">
      <c r="D285" s="84"/>
      <c r="E285" s="84"/>
      <c r="F285" s="84"/>
      <c r="G285" s="84"/>
      <c r="H285" s="84"/>
    </row>
    <row r="286" spans="4:8" ht="15.6">
      <c r="D286" s="84"/>
      <c r="E286" s="84"/>
      <c r="F286" s="84"/>
      <c r="G286" s="84"/>
      <c r="H286" s="84"/>
    </row>
    <row r="287" spans="4:8" ht="15.6">
      <c r="D287" s="84"/>
      <c r="E287" s="84"/>
      <c r="F287" s="84"/>
      <c r="G287" s="84"/>
      <c r="H287" s="84"/>
    </row>
    <row r="288" spans="4:8" ht="15.6">
      <c r="D288" s="84"/>
      <c r="E288" s="84"/>
      <c r="F288" s="84"/>
      <c r="G288" s="84"/>
      <c r="H288" s="84"/>
    </row>
    <row r="289" spans="4:8" ht="15.6">
      <c r="D289" s="84"/>
      <c r="E289" s="84"/>
      <c r="F289" s="84"/>
      <c r="G289" s="84"/>
      <c r="H289" s="84"/>
    </row>
    <row r="290" spans="4:8" ht="15.6">
      <c r="D290" s="84"/>
      <c r="E290" s="84"/>
      <c r="F290" s="84"/>
      <c r="G290" s="84"/>
      <c r="H290" s="84"/>
    </row>
    <row r="291" spans="4:8" ht="15.6">
      <c r="D291" s="84"/>
      <c r="E291" s="84"/>
      <c r="F291" s="84"/>
      <c r="G291" s="84"/>
      <c r="H291" s="84"/>
    </row>
    <row r="292" spans="4:8" ht="15.6">
      <c r="D292" s="84"/>
      <c r="E292" s="84"/>
      <c r="F292" s="84"/>
      <c r="G292" s="84"/>
      <c r="H292" s="84"/>
    </row>
    <row r="293" spans="4:8" ht="15.6">
      <c r="D293" s="84"/>
      <c r="E293" s="84"/>
      <c r="F293" s="84"/>
      <c r="G293" s="84"/>
      <c r="H293" s="84"/>
    </row>
    <row r="294" spans="4:8" ht="15.6">
      <c r="D294" s="84"/>
      <c r="E294" s="84"/>
      <c r="F294" s="84"/>
      <c r="G294" s="84"/>
      <c r="H294" s="84"/>
    </row>
    <row r="295" spans="4:8" ht="15.6">
      <c r="D295" s="84"/>
      <c r="E295" s="84"/>
      <c r="F295" s="84"/>
      <c r="G295" s="84"/>
      <c r="H295" s="84"/>
    </row>
    <row r="296" spans="4:8" ht="15.6">
      <c r="D296" s="84"/>
      <c r="E296" s="84"/>
      <c r="F296" s="84"/>
      <c r="G296" s="84"/>
      <c r="H296" s="84"/>
    </row>
    <row r="297" spans="4:8" ht="15.6">
      <c r="D297" s="84"/>
      <c r="E297" s="84"/>
      <c r="F297" s="84"/>
      <c r="G297" s="84"/>
      <c r="H297" s="84"/>
    </row>
    <row r="298" spans="4:8" ht="15.6">
      <c r="D298" s="84"/>
      <c r="E298" s="84"/>
      <c r="F298" s="84"/>
      <c r="G298" s="84"/>
      <c r="H298" s="84"/>
    </row>
    <row r="299" spans="4:8" ht="15.6">
      <c r="D299" s="84"/>
      <c r="E299" s="84"/>
      <c r="F299" s="84"/>
      <c r="G299" s="84"/>
      <c r="H299" s="84"/>
    </row>
    <row r="300" spans="4:8" ht="15.6">
      <c r="D300" s="84"/>
      <c r="E300" s="84"/>
      <c r="F300" s="84"/>
      <c r="G300" s="84"/>
      <c r="H300" s="84"/>
    </row>
    <row r="301" spans="4:8" ht="15.6">
      <c r="D301" s="84"/>
      <c r="E301" s="84"/>
      <c r="F301" s="84"/>
      <c r="G301" s="84"/>
      <c r="H301" s="84"/>
    </row>
    <row r="302" spans="4:8" ht="15.6">
      <c r="D302" s="84"/>
      <c r="E302" s="84"/>
      <c r="F302" s="84"/>
      <c r="G302" s="84"/>
      <c r="H302" s="84"/>
    </row>
    <row r="303" spans="4:8" ht="15.6">
      <c r="D303" s="84"/>
      <c r="E303" s="84"/>
      <c r="F303" s="84"/>
      <c r="G303" s="84"/>
      <c r="H303" s="84"/>
    </row>
    <row r="304" spans="4:8" ht="15.6">
      <c r="D304" s="84"/>
      <c r="E304" s="84"/>
      <c r="F304" s="84"/>
      <c r="G304" s="84"/>
      <c r="H304" s="84"/>
    </row>
    <row r="305" spans="4:8" ht="15.6">
      <c r="D305" s="84"/>
      <c r="E305" s="84"/>
      <c r="F305" s="84"/>
      <c r="G305" s="84"/>
      <c r="H305" s="84"/>
    </row>
    <row r="306" spans="4:8" ht="15.6">
      <c r="D306" s="84"/>
      <c r="E306" s="84"/>
      <c r="F306" s="84"/>
      <c r="G306" s="84"/>
      <c r="H306" s="84"/>
    </row>
    <row r="307" spans="4:8" ht="15.6">
      <c r="D307" s="84"/>
      <c r="E307" s="84"/>
      <c r="F307" s="84"/>
      <c r="G307" s="84"/>
      <c r="H307" s="84"/>
    </row>
    <row r="308" spans="4:8" ht="15.6">
      <c r="D308" s="84"/>
      <c r="E308" s="84"/>
      <c r="F308" s="84"/>
      <c r="G308" s="84"/>
      <c r="H308" s="84"/>
    </row>
    <row r="309" spans="4:8" ht="15.6">
      <c r="D309" s="84"/>
      <c r="E309" s="84"/>
      <c r="F309" s="84"/>
      <c r="G309" s="84"/>
      <c r="H309" s="84"/>
    </row>
    <row r="310" spans="4:8" ht="15.6">
      <c r="D310" s="84"/>
      <c r="E310" s="84"/>
      <c r="F310" s="84"/>
      <c r="G310" s="84"/>
      <c r="H310" s="84"/>
    </row>
    <row r="311" spans="4:8" ht="15.6">
      <c r="D311" s="84"/>
      <c r="E311" s="84"/>
      <c r="F311" s="84"/>
      <c r="G311" s="84"/>
      <c r="H311" s="84"/>
    </row>
    <row r="312" spans="4:8" ht="15.6">
      <c r="D312" s="84"/>
      <c r="E312" s="84"/>
      <c r="F312" s="84"/>
      <c r="G312" s="84"/>
      <c r="H312" s="84"/>
    </row>
    <row r="313" spans="4:8" ht="15.6">
      <c r="D313" s="84"/>
      <c r="E313" s="84"/>
      <c r="F313" s="84"/>
      <c r="G313" s="84"/>
      <c r="H313" s="84"/>
    </row>
    <row r="314" spans="4:8" ht="15.6">
      <c r="D314" s="84"/>
      <c r="E314" s="84"/>
      <c r="F314" s="84"/>
      <c r="G314" s="84"/>
      <c r="H314" s="84"/>
    </row>
    <row r="315" spans="4:8" ht="15.6">
      <c r="D315" s="84"/>
      <c r="E315" s="84"/>
      <c r="F315" s="84"/>
      <c r="G315" s="84"/>
      <c r="H315" s="84"/>
    </row>
    <row r="316" spans="4:8" ht="15.6">
      <c r="D316" s="84"/>
      <c r="E316" s="84"/>
      <c r="F316" s="84"/>
      <c r="G316" s="84"/>
      <c r="H316" s="84"/>
    </row>
    <row r="317" spans="4:8" ht="15.6">
      <c r="D317" s="84"/>
      <c r="E317" s="84"/>
      <c r="F317" s="84"/>
      <c r="G317" s="84"/>
      <c r="H317" s="84"/>
    </row>
    <row r="318" spans="4:8" ht="15.6">
      <c r="D318" s="84"/>
      <c r="E318" s="84"/>
      <c r="F318" s="84"/>
      <c r="G318" s="84"/>
      <c r="H318" s="84"/>
    </row>
    <row r="319" spans="4:8" ht="15.6">
      <c r="D319" s="84"/>
      <c r="E319" s="84"/>
      <c r="F319" s="84"/>
      <c r="G319" s="84"/>
      <c r="H319" s="84"/>
    </row>
    <row r="320" spans="4:8" ht="15.6">
      <c r="D320" s="84"/>
      <c r="E320" s="84"/>
      <c r="F320" s="84"/>
      <c r="G320" s="84"/>
      <c r="H320" s="84"/>
    </row>
    <row r="321" spans="4:8" ht="15.6">
      <c r="D321" s="84"/>
      <c r="E321" s="84"/>
      <c r="F321" s="84"/>
      <c r="G321" s="84"/>
      <c r="H321" s="84"/>
    </row>
    <row r="322" spans="4:8" ht="15.6">
      <c r="D322" s="84"/>
      <c r="E322" s="84"/>
      <c r="F322" s="84"/>
      <c r="G322" s="84"/>
      <c r="H322" s="84"/>
    </row>
    <row r="323" spans="4:8" ht="15.6">
      <c r="D323" s="84"/>
      <c r="E323" s="84"/>
      <c r="F323" s="84"/>
      <c r="G323" s="84"/>
      <c r="H323" s="84"/>
    </row>
    <row r="324" spans="4:8" ht="15.6">
      <c r="D324" s="84"/>
      <c r="E324" s="84"/>
      <c r="F324" s="84"/>
      <c r="G324" s="84"/>
      <c r="H324" s="84"/>
    </row>
    <row r="325" spans="4:8" ht="15.6">
      <c r="D325" s="84"/>
      <c r="E325" s="84"/>
      <c r="F325" s="84"/>
      <c r="G325" s="84"/>
      <c r="H325" s="84"/>
    </row>
    <row r="326" spans="4:8" ht="15.6">
      <c r="D326" s="84"/>
      <c r="E326" s="84"/>
      <c r="F326" s="84"/>
      <c r="G326" s="84"/>
      <c r="H326" s="84"/>
    </row>
    <row r="327" spans="4:8" ht="15.6">
      <c r="D327" s="84"/>
      <c r="E327" s="84"/>
      <c r="F327" s="84"/>
      <c r="G327" s="84"/>
      <c r="H327" s="84"/>
    </row>
    <row r="328" spans="4:8" ht="15.6">
      <c r="D328" s="84"/>
      <c r="E328" s="84"/>
      <c r="F328" s="84"/>
      <c r="G328" s="84"/>
      <c r="H328" s="84"/>
    </row>
    <row r="329" spans="4:8" ht="15.6">
      <c r="D329" s="84"/>
      <c r="E329" s="84"/>
      <c r="F329" s="84"/>
      <c r="G329" s="84"/>
      <c r="H329" s="84"/>
    </row>
    <row r="330" spans="4:8" ht="15.6">
      <c r="D330" s="84"/>
      <c r="E330" s="84"/>
      <c r="F330" s="84"/>
      <c r="G330" s="84"/>
      <c r="H330" s="84"/>
    </row>
    <row r="331" spans="4:8" ht="15.6">
      <c r="D331" s="84"/>
      <c r="E331" s="84"/>
      <c r="F331" s="84"/>
      <c r="G331" s="84"/>
      <c r="H331" s="84"/>
    </row>
    <row r="332" spans="4:8" ht="15.6">
      <c r="D332" s="84"/>
      <c r="E332" s="84"/>
      <c r="F332" s="84"/>
      <c r="G332" s="84"/>
      <c r="H332" s="84"/>
    </row>
    <row r="333" spans="4:8" ht="15.6">
      <c r="D333" s="84"/>
      <c r="E333" s="84"/>
      <c r="F333" s="84"/>
      <c r="G333" s="84"/>
      <c r="H333" s="84"/>
    </row>
    <row r="334" spans="4:8" ht="15.6">
      <c r="D334" s="84"/>
      <c r="E334" s="84"/>
      <c r="F334" s="84"/>
      <c r="G334" s="84"/>
      <c r="H334" s="84"/>
    </row>
    <row r="335" spans="4:8" ht="15.6">
      <c r="D335" s="84"/>
      <c r="E335" s="84"/>
      <c r="F335" s="84"/>
      <c r="G335" s="84"/>
      <c r="H335" s="84"/>
    </row>
    <row r="336" spans="4:8" ht="15.6">
      <c r="D336" s="84"/>
      <c r="E336" s="84"/>
      <c r="F336" s="84"/>
      <c r="G336" s="84"/>
      <c r="H336" s="84"/>
    </row>
    <row r="337" spans="4:8" ht="15.6">
      <c r="D337" s="84"/>
      <c r="E337" s="84"/>
      <c r="F337" s="84"/>
      <c r="G337" s="84"/>
      <c r="H337" s="84"/>
    </row>
    <row r="338" spans="4:8" ht="15.6">
      <c r="D338" s="84"/>
      <c r="E338" s="84"/>
      <c r="F338" s="84"/>
      <c r="G338" s="84"/>
      <c r="H338" s="84"/>
    </row>
    <row r="339" spans="4:8" ht="15.6">
      <c r="D339" s="84"/>
      <c r="E339" s="84"/>
      <c r="F339" s="84"/>
      <c r="G339" s="84"/>
      <c r="H339" s="84"/>
    </row>
    <row r="340" spans="4:8" ht="15.6">
      <c r="D340" s="84"/>
      <c r="E340" s="84"/>
      <c r="F340" s="84"/>
      <c r="G340" s="84"/>
      <c r="H340" s="84"/>
    </row>
    <row r="341" spans="4:8" ht="15.6">
      <c r="D341" s="84"/>
      <c r="E341" s="84"/>
      <c r="F341" s="84"/>
      <c r="G341" s="84"/>
      <c r="H341" s="84"/>
    </row>
    <row r="342" spans="4:8" ht="15.6">
      <c r="D342" s="84"/>
      <c r="E342" s="84"/>
      <c r="F342" s="84"/>
      <c r="G342" s="84"/>
      <c r="H342" s="84"/>
    </row>
    <row r="343" spans="4:8" ht="15.6">
      <c r="D343" s="84"/>
      <c r="E343" s="84"/>
      <c r="F343" s="84"/>
      <c r="G343" s="84"/>
      <c r="H343" s="84"/>
    </row>
    <row r="344" spans="4:8" ht="15.6">
      <c r="D344" s="84"/>
      <c r="E344" s="84"/>
      <c r="F344" s="84"/>
      <c r="G344" s="84"/>
      <c r="H344" s="84"/>
    </row>
    <row r="345" spans="4:8" ht="15.6">
      <c r="D345" s="84"/>
      <c r="E345" s="84"/>
      <c r="F345" s="84"/>
      <c r="G345" s="84"/>
      <c r="H345" s="84"/>
    </row>
    <row r="346" spans="4:8" ht="15.6">
      <c r="D346" s="84"/>
      <c r="E346" s="84"/>
      <c r="F346" s="84"/>
      <c r="G346" s="84"/>
      <c r="H346" s="84"/>
    </row>
    <row r="347" spans="4:8" ht="15.6">
      <c r="D347" s="84"/>
      <c r="E347" s="84"/>
      <c r="F347" s="84"/>
      <c r="G347" s="84"/>
      <c r="H347" s="84"/>
    </row>
    <row r="348" spans="4:8" ht="15.6">
      <c r="D348" s="84"/>
      <c r="E348" s="84"/>
      <c r="F348" s="84"/>
      <c r="G348" s="84"/>
      <c r="H348" s="84"/>
    </row>
    <row r="349" spans="4:8" ht="15.6">
      <c r="D349" s="84"/>
      <c r="E349" s="84"/>
      <c r="F349" s="84"/>
      <c r="G349" s="84"/>
      <c r="H349" s="84"/>
    </row>
    <row r="350" spans="4:8" ht="15.6">
      <c r="D350" s="84"/>
      <c r="E350" s="84"/>
      <c r="F350" s="84"/>
      <c r="G350" s="84"/>
      <c r="H350" s="84"/>
    </row>
    <row r="351" spans="4:8" ht="15.6">
      <c r="D351" s="84"/>
      <c r="E351" s="84"/>
      <c r="F351" s="84"/>
      <c r="G351" s="84"/>
      <c r="H351" s="84"/>
    </row>
    <row r="352" spans="4:8" ht="15.6">
      <c r="D352" s="84"/>
      <c r="E352" s="84"/>
      <c r="F352" s="84"/>
      <c r="G352" s="84"/>
      <c r="H352" s="84"/>
    </row>
    <row r="353" spans="4:8" ht="15.6">
      <c r="D353" s="84"/>
      <c r="E353" s="84"/>
      <c r="F353" s="84"/>
      <c r="G353" s="84"/>
      <c r="H353" s="84"/>
    </row>
    <row r="354" spans="4:8" ht="15.6">
      <c r="D354" s="84"/>
      <c r="E354" s="84"/>
      <c r="F354" s="84"/>
      <c r="G354" s="84"/>
      <c r="H354" s="84"/>
    </row>
    <row r="355" spans="4:8" ht="15.6">
      <c r="D355" s="84"/>
      <c r="E355" s="84"/>
      <c r="F355" s="84"/>
      <c r="G355" s="84"/>
      <c r="H355" s="84"/>
    </row>
    <row r="356" spans="4:8" ht="15.6">
      <c r="D356" s="84"/>
      <c r="E356" s="84"/>
      <c r="F356" s="84"/>
      <c r="G356" s="84"/>
      <c r="H356" s="84"/>
    </row>
    <row r="357" spans="4:8" ht="15.6">
      <c r="D357" s="84"/>
      <c r="E357" s="84"/>
      <c r="F357" s="84"/>
      <c r="G357" s="84"/>
      <c r="H357" s="84"/>
    </row>
    <row r="358" spans="4:8" ht="15.6">
      <c r="D358" s="84"/>
      <c r="E358" s="84"/>
      <c r="F358" s="84"/>
      <c r="G358" s="84"/>
      <c r="H358" s="84"/>
    </row>
    <row r="359" spans="4:8" ht="15.6">
      <c r="D359" s="84"/>
      <c r="E359" s="84"/>
      <c r="F359" s="84"/>
      <c r="G359" s="84"/>
      <c r="H359" s="84"/>
    </row>
    <row r="360" spans="4:8" ht="15.6">
      <c r="D360" s="84"/>
      <c r="E360" s="84"/>
      <c r="F360" s="84"/>
      <c r="G360" s="84"/>
      <c r="H360" s="84"/>
    </row>
    <row r="361" spans="4:8" ht="15.6">
      <c r="D361" s="84"/>
      <c r="E361" s="84"/>
      <c r="F361" s="84"/>
      <c r="G361" s="84"/>
      <c r="H361" s="84"/>
    </row>
    <row r="362" spans="4:8" ht="15.6">
      <c r="D362" s="84"/>
      <c r="E362" s="84"/>
      <c r="F362" s="84"/>
      <c r="G362" s="84"/>
      <c r="H362" s="84"/>
    </row>
    <row r="363" spans="4:8" ht="15.6">
      <c r="D363" s="84"/>
      <c r="E363" s="84"/>
      <c r="F363" s="84"/>
      <c r="G363" s="84"/>
      <c r="H363" s="84"/>
    </row>
    <row r="364" spans="4:8" ht="15.6">
      <c r="D364" s="84"/>
      <c r="E364" s="84"/>
      <c r="F364" s="84"/>
      <c r="G364" s="84"/>
      <c r="H364" s="84"/>
    </row>
    <row r="365" spans="4:8" ht="15.6">
      <c r="D365" s="84"/>
      <c r="E365" s="84"/>
      <c r="F365" s="84"/>
      <c r="G365" s="84"/>
      <c r="H365" s="84"/>
    </row>
    <row r="366" spans="4:8" ht="15.6">
      <c r="D366" s="84"/>
      <c r="E366" s="84"/>
      <c r="F366" s="84"/>
      <c r="G366" s="84"/>
      <c r="H366" s="84"/>
    </row>
    <row r="367" spans="4:8" ht="15.6">
      <c r="D367" s="84"/>
      <c r="E367" s="84"/>
      <c r="F367" s="84"/>
      <c r="G367" s="84"/>
      <c r="H367" s="84"/>
    </row>
    <row r="368" spans="4:8" ht="15.6">
      <c r="D368" s="84"/>
      <c r="E368" s="84"/>
      <c r="F368" s="84"/>
      <c r="G368" s="84"/>
      <c r="H368" s="84"/>
    </row>
    <row r="369" spans="4:8" ht="15.6">
      <c r="D369" s="84"/>
      <c r="E369" s="84"/>
      <c r="F369" s="84"/>
      <c r="G369" s="84"/>
      <c r="H369" s="84"/>
    </row>
    <row r="370" spans="4:8" ht="15.6">
      <c r="D370" s="84"/>
      <c r="E370" s="84"/>
      <c r="F370" s="84"/>
      <c r="G370" s="84"/>
      <c r="H370" s="84"/>
    </row>
    <row r="371" spans="4:8" ht="15.6">
      <c r="D371" s="84"/>
      <c r="E371" s="84"/>
      <c r="F371" s="84"/>
      <c r="G371" s="84"/>
      <c r="H371" s="84"/>
    </row>
    <row r="372" spans="4:8" ht="15.6">
      <c r="D372" s="84"/>
      <c r="E372" s="84"/>
      <c r="F372" s="84"/>
      <c r="G372" s="84"/>
      <c r="H372" s="84"/>
    </row>
    <row r="373" spans="4:8" ht="15.6">
      <c r="D373" s="84"/>
      <c r="E373" s="84"/>
      <c r="F373" s="84"/>
      <c r="G373" s="84"/>
      <c r="H373" s="84"/>
    </row>
    <row r="374" spans="4:8" ht="15.6">
      <c r="D374" s="84"/>
      <c r="E374" s="84"/>
      <c r="F374" s="84"/>
      <c r="G374" s="84"/>
      <c r="H374" s="84"/>
    </row>
    <row r="375" spans="4:8" ht="15.6">
      <c r="D375" s="84"/>
      <c r="E375" s="84"/>
      <c r="F375" s="84"/>
      <c r="G375" s="84"/>
      <c r="H375" s="84"/>
    </row>
    <row r="376" spans="4:8" ht="15.6">
      <c r="D376" s="84"/>
      <c r="E376" s="84"/>
      <c r="F376" s="84"/>
      <c r="G376" s="84"/>
      <c r="H376" s="84"/>
    </row>
    <row r="377" spans="4:8" ht="15.6">
      <c r="D377" s="84"/>
      <c r="E377" s="84"/>
      <c r="F377" s="84"/>
      <c r="G377" s="84"/>
      <c r="H377" s="84"/>
    </row>
    <row r="378" spans="4:8" ht="15.6">
      <c r="D378" s="84"/>
      <c r="E378" s="84"/>
      <c r="F378" s="84"/>
      <c r="G378" s="84"/>
      <c r="H378" s="84"/>
    </row>
    <row r="379" spans="4:8" ht="15.6">
      <c r="D379" s="84"/>
      <c r="E379" s="84"/>
      <c r="F379" s="84"/>
      <c r="G379" s="84"/>
      <c r="H379" s="84"/>
    </row>
    <row r="380" spans="4:8" ht="15.6">
      <c r="D380" s="84"/>
      <c r="E380" s="84"/>
      <c r="F380" s="84"/>
      <c r="G380" s="84"/>
      <c r="H380" s="84"/>
    </row>
    <row r="381" spans="4:8" ht="15.6">
      <c r="D381" s="84"/>
      <c r="E381" s="84"/>
      <c r="F381" s="84"/>
      <c r="G381" s="84"/>
      <c r="H381" s="84"/>
    </row>
    <row r="382" spans="4:8" ht="15.6">
      <c r="D382" s="84"/>
      <c r="E382" s="84"/>
      <c r="F382" s="84"/>
      <c r="G382" s="84"/>
      <c r="H382" s="84"/>
    </row>
    <row r="383" spans="4:8" ht="15.6">
      <c r="D383" s="84"/>
      <c r="E383" s="84"/>
      <c r="F383" s="84"/>
      <c r="G383" s="84"/>
      <c r="H383" s="84"/>
    </row>
    <row r="384" spans="4:8" ht="15.6">
      <c r="D384" s="84"/>
      <c r="E384" s="84"/>
      <c r="F384" s="84"/>
      <c r="G384" s="84"/>
      <c r="H384" s="84"/>
    </row>
    <row r="385" spans="4:8" ht="15.6">
      <c r="D385" s="84"/>
      <c r="E385" s="84"/>
      <c r="F385" s="84"/>
      <c r="G385" s="84"/>
      <c r="H385" s="84"/>
    </row>
    <row r="386" spans="4:8" ht="15.6">
      <c r="D386" s="84"/>
      <c r="E386" s="84"/>
      <c r="F386" s="84"/>
      <c r="G386" s="84"/>
      <c r="H386" s="84"/>
    </row>
    <row r="387" spans="4:8" ht="15.6">
      <c r="D387" s="84"/>
      <c r="E387" s="84"/>
      <c r="F387" s="84"/>
      <c r="G387" s="84"/>
      <c r="H387" s="84"/>
    </row>
    <row r="388" spans="4:8" ht="15.6">
      <c r="D388" s="84"/>
      <c r="E388" s="84"/>
      <c r="F388" s="84"/>
      <c r="G388" s="84"/>
      <c r="H388" s="84"/>
    </row>
    <row r="389" spans="4:8" ht="15.6">
      <c r="D389" s="84"/>
      <c r="E389" s="84"/>
      <c r="F389" s="84"/>
      <c r="G389" s="84"/>
      <c r="H389" s="84"/>
    </row>
    <row r="390" spans="4:8" ht="15.6">
      <c r="D390" s="84"/>
      <c r="E390" s="84"/>
      <c r="F390" s="84"/>
      <c r="G390" s="84"/>
      <c r="H390" s="84"/>
    </row>
    <row r="391" spans="4:8" ht="15.6">
      <c r="D391" s="84"/>
      <c r="E391" s="84"/>
      <c r="F391" s="84"/>
      <c r="G391" s="84"/>
      <c r="H391" s="84"/>
    </row>
    <row r="392" spans="4:8" ht="15.6">
      <c r="D392" s="84"/>
      <c r="E392" s="84"/>
      <c r="F392" s="84"/>
      <c r="G392" s="84"/>
      <c r="H392" s="84"/>
    </row>
    <row r="393" spans="4:8" ht="15.6">
      <c r="D393" s="84"/>
      <c r="E393" s="84"/>
      <c r="F393" s="84"/>
      <c r="G393" s="84"/>
      <c r="H393" s="84"/>
    </row>
    <row r="394" spans="4:8" ht="15.6">
      <c r="D394" s="84"/>
      <c r="E394" s="84"/>
      <c r="F394" s="84"/>
      <c r="G394" s="84"/>
      <c r="H394" s="84"/>
    </row>
    <row r="395" spans="4:8" ht="15.6">
      <c r="D395" s="84"/>
      <c r="E395" s="84"/>
      <c r="F395" s="84"/>
      <c r="G395" s="84"/>
      <c r="H395" s="84"/>
    </row>
    <row r="396" spans="4:8" ht="15.6">
      <c r="D396" s="84"/>
      <c r="E396" s="84"/>
      <c r="F396" s="84"/>
      <c r="G396" s="84"/>
      <c r="H396" s="84"/>
    </row>
    <row r="397" spans="4:8" ht="15.6">
      <c r="D397" s="84"/>
      <c r="E397" s="84"/>
      <c r="F397" s="84"/>
      <c r="G397" s="84"/>
      <c r="H397" s="84"/>
    </row>
    <row r="398" spans="4:8" ht="15.6">
      <c r="D398" s="84"/>
      <c r="E398" s="84"/>
      <c r="F398" s="84"/>
      <c r="G398" s="84"/>
      <c r="H398" s="84"/>
    </row>
    <row r="399" spans="4:8" ht="15.6">
      <c r="D399" s="84"/>
      <c r="E399" s="84"/>
      <c r="F399" s="84"/>
      <c r="G399" s="84"/>
      <c r="H399" s="84"/>
    </row>
    <row r="400" spans="4:8" ht="15.6">
      <c r="D400" s="84"/>
      <c r="E400" s="84"/>
      <c r="F400" s="84"/>
      <c r="G400" s="84"/>
      <c r="H400" s="84"/>
    </row>
    <row r="401" spans="4:8" ht="15.6">
      <c r="D401" s="84"/>
      <c r="E401" s="84"/>
      <c r="F401" s="84"/>
      <c r="G401" s="84"/>
      <c r="H401" s="84"/>
    </row>
    <row r="402" spans="4:8" ht="15.6">
      <c r="D402" s="84"/>
      <c r="E402" s="84"/>
      <c r="F402" s="84"/>
      <c r="G402" s="84"/>
      <c r="H402" s="84"/>
    </row>
    <row r="403" spans="4:8" ht="15.6">
      <c r="D403" s="84"/>
      <c r="E403" s="84"/>
      <c r="F403" s="84"/>
      <c r="G403" s="84"/>
      <c r="H403" s="84"/>
    </row>
    <row r="404" spans="4:8" ht="15.6">
      <c r="D404" s="84"/>
      <c r="E404" s="84"/>
      <c r="F404" s="84"/>
      <c r="G404" s="84"/>
      <c r="H404" s="84"/>
    </row>
    <row r="405" spans="4:8" ht="15.6">
      <c r="D405" s="84"/>
      <c r="E405" s="84"/>
      <c r="F405" s="84"/>
      <c r="G405" s="84"/>
      <c r="H405" s="84"/>
    </row>
    <row r="406" spans="4:8" ht="15.6">
      <c r="D406" s="84"/>
      <c r="E406" s="84"/>
      <c r="F406" s="84"/>
      <c r="G406" s="84"/>
      <c r="H406" s="84"/>
    </row>
    <row r="407" spans="4:8" ht="15.6">
      <c r="D407" s="84"/>
      <c r="E407" s="84"/>
      <c r="F407" s="84"/>
      <c r="G407" s="84"/>
      <c r="H407" s="84"/>
    </row>
    <row r="408" spans="4:8" ht="15.6">
      <c r="D408" s="84"/>
      <c r="E408" s="84"/>
      <c r="F408" s="84"/>
      <c r="G408" s="84"/>
      <c r="H408" s="84"/>
    </row>
    <row r="409" spans="4:8" ht="15.6">
      <c r="D409" s="84"/>
      <c r="E409" s="84"/>
      <c r="F409" s="84"/>
      <c r="G409" s="84"/>
      <c r="H409" s="84"/>
    </row>
    <row r="410" spans="4:8" ht="15.6">
      <c r="D410" s="84"/>
      <c r="E410" s="84"/>
      <c r="F410" s="84"/>
      <c r="G410" s="84"/>
      <c r="H410" s="84"/>
    </row>
    <row r="411" spans="4:8" ht="15.6">
      <c r="D411" s="84"/>
      <c r="E411" s="84"/>
      <c r="F411" s="84"/>
      <c r="G411" s="84"/>
      <c r="H411" s="84"/>
    </row>
    <row r="412" spans="4:8" ht="15.6">
      <c r="D412" s="84"/>
      <c r="E412" s="84"/>
      <c r="F412" s="84"/>
      <c r="G412" s="84"/>
      <c r="H412" s="84"/>
    </row>
    <row r="413" spans="4:8" ht="15.6">
      <c r="D413" s="84"/>
      <c r="E413" s="84"/>
      <c r="F413" s="84"/>
      <c r="G413" s="84"/>
      <c r="H413" s="84"/>
    </row>
    <row r="414" spans="4:8" ht="15.6">
      <c r="D414" s="84"/>
      <c r="E414" s="84"/>
      <c r="F414" s="84"/>
      <c r="G414" s="84"/>
      <c r="H414" s="84"/>
    </row>
    <row r="415" spans="4:8" ht="15.6">
      <c r="D415" s="84"/>
      <c r="E415" s="84"/>
      <c r="F415" s="84"/>
      <c r="G415" s="84"/>
      <c r="H415" s="84"/>
    </row>
    <row r="416" spans="4:8" ht="15.6">
      <c r="D416" s="84"/>
      <c r="E416" s="84"/>
      <c r="F416" s="84"/>
      <c r="G416" s="84"/>
      <c r="H416" s="84"/>
    </row>
    <row r="417" spans="4:8" ht="15.6">
      <c r="D417" s="84"/>
      <c r="E417" s="84"/>
      <c r="F417" s="84"/>
      <c r="G417" s="84"/>
      <c r="H417" s="84"/>
    </row>
    <row r="418" spans="4:8" ht="15.6">
      <c r="D418" s="84"/>
      <c r="E418" s="84"/>
      <c r="F418" s="84"/>
      <c r="G418" s="84"/>
      <c r="H418" s="84"/>
    </row>
    <row r="419" spans="4:8" ht="15.6">
      <c r="D419" s="84"/>
      <c r="E419" s="84"/>
      <c r="F419" s="84"/>
      <c r="G419" s="84"/>
      <c r="H419" s="84"/>
    </row>
    <row r="420" spans="4:8" ht="15.6">
      <c r="D420" s="84"/>
      <c r="E420" s="84"/>
      <c r="F420" s="84"/>
      <c r="G420" s="84"/>
      <c r="H420" s="84"/>
    </row>
    <row r="421" spans="4:8" ht="15.6">
      <c r="D421" s="84"/>
      <c r="E421" s="84"/>
      <c r="F421" s="84"/>
      <c r="G421" s="84"/>
      <c r="H421" s="84"/>
    </row>
    <row r="422" spans="4:8" ht="15.6">
      <c r="D422" s="84"/>
      <c r="E422" s="84"/>
      <c r="F422" s="84"/>
      <c r="G422" s="84"/>
      <c r="H422" s="84"/>
    </row>
    <row r="423" spans="4:8" ht="15.6">
      <c r="D423" s="84"/>
      <c r="E423" s="84"/>
      <c r="F423" s="84"/>
      <c r="G423" s="84"/>
      <c r="H423" s="84"/>
    </row>
    <row r="424" spans="4:8" ht="15.6">
      <c r="D424" s="84"/>
      <c r="E424" s="84"/>
      <c r="F424" s="84"/>
      <c r="G424" s="84"/>
      <c r="H424" s="84"/>
    </row>
    <row r="425" spans="4:8" ht="15.6">
      <c r="D425" s="84"/>
      <c r="E425" s="84"/>
      <c r="F425" s="84"/>
      <c r="G425" s="84"/>
      <c r="H425" s="84"/>
    </row>
    <row r="426" spans="4:8" ht="15.6">
      <c r="D426" s="84"/>
      <c r="E426" s="84"/>
      <c r="F426" s="84"/>
      <c r="G426" s="84"/>
      <c r="H426" s="84"/>
    </row>
    <row r="427" spans="4:8" ht="15.6">
      <c r="D427" s="84"/>
      <c r="E427" s="84"/>
      <c r="F427" s="84"/>
      <c r="G427" s="84"/>
      <c r="H427" s="84"/>
    </row>
    <row r="428" spans="4:8" ht="15.6">
      <c r="D428" s="84"/>
      <c r="E428" s="84"/>
      <c r="F428" s="84"/>
      <c r="G428" s="84"/>
      <c r="H428" s="84"/>
    </row>
    <row r="429" spans="4:8" ht="15.6">
      <c r="D429" s="84"/>
      <c r="E429" s="84"/>
      <c r="F429" s="84"/>
      <c r="G429" s="84"/>
      <c r="H429" s="84"/>
    </row>
    <row r="430" spans="4:8" ht="15.6">
      <c r="D430" s="84"/>
      <c r="E430" s="84"/>
      <c r="F430" s="84"/>
      <c r="G430" s="84"/>
      <c r="H430" s="84"/>
    </row>
    <row r="431" spans="4:8" ht="15.6">
      <c r="D431" s="84"/>
      <c r="E431" s="84"/>
      <c r="F431" s="84"/>
      <c r="G431" s="84"/>
      <c r="H431" s="84"/>
    </row>
    <row r="432" spans="4:8" ht="15.6">
      <c r="D432" s="84"/>
      <c r="E432" s="84"/>
      <c r="F432" s="84"/>
      <c r="G432" s="84"/>
      <c r="H432" s="84"/>
    </row>
    <row r="433" spans="4:8" ht="15.6">
      <c r="D433" s="84"/>
      <c r="E433" s="84"/>
      <c r="F433" s="84"/>
      <c r="G433" s="84"/>
      <c r="H433" s="84"/>
    </row>
    <row r="434" spans="4:8" ht="15.6">
      <c r="D434" s="84"/>
      <c r="E434" s="84"/>
      <c r="F434" s="84"/>
      <c r="G434" s="84"/>
      <c r="H434" s="84"/>
    </row>
    <row r="435" spans="4:8" ht="15.6">
      <c r="D435" s="84"/>
      <c r="E435" s="84"/>
      <c r="F435" s="84"/>
      <c r="G435" s="84"/>
      <c r="H435" s="84"/>
    </row>
    <row r="436" spans="4:8" ht="15.6">
      <c r="D436" s="84"/>
      <c r="E436" s="84"/>
      <c r="F436" s="84"/>
      <c r="G436" s="84"/>
      <c r="H436" s="84"/>
    </row>
    <row r="437" spans="4:8" ht="15.6">
      <c r="D437" s="84"/>
      <c r="E437" s="84"/>
      <c r="F437" s="84"/>
      <c r="G437" s="84"/>
      <c r="H437" s="84"/>
    </row>
    <row r="438" spans="4:8" ht="15.6">
      <c r="D438" s="84"/>
      <c r="E438" s="84"/>
      <c r="F438" s="84"/>
      <c r="G438" s="84"/>
      <c r="H438" s="84"/>
    </row>
    <row r="439" spans="4:8" ht="15.6">
      <c r="D439" s="84"/>
      <c r="E439" s="84"/>
      <c r="F439" s="84"/>
      <c r="G439" s="84"/>
      <c r="H439" s="84"/>
    </row>
    <row r="440" spans="4:8" ht="15.6">
      <c r="D440" s="84"/>
      <c r="E440" s="84"/>
      <c r="F440" s="84"/>
      <c r="G440" s="84"/>
      <c r="H440" s="84"/>
    </row>
    <row r="441" spans="4:8" ht="15.6">
      <c r="D441" s="84"/>
      <c r="E441" s="84"/>
      <c r="F441" s="84"/>
      <c r="G441" s="84"/>
      <c r="H441" s="84"/>
    </row>
    <row r="442" spans="4:8" ht="15.6">
      <c r="D442" s="84"/>
      <c r="E442" s="84"/>
      <c r="F442" s="84"/>
      <c r="G442" s="84"/>
      <c r="H442" s="84"/>
    </row>
    <row r="443" spans="4:8" ht="15.6">
      <c r="D443" s="84"/>
      <c r="E443" s="84"/>
      <c r="F443" s="84"/>
      <c r="G443" s="84"/>
      <c r="H443" s="84"/>
    </row>
    <row r="444" spans="4:8" ht="15.6">
      <c r="D444" s="84"/>
      <c r="E444" s="84"/>
      <c r="F444" s="84"/>
      <c r="G444" s="84"/>
      <c r="H444" s="84"/>
    </row>
    <row r="445" spans="4:8" ht="15.6">
      <c r="D445" s="84"/>
      <c r="E445" s="84"/>
      <c r="F445" s="84"/>
      <c r="G445" s="84"/>
      <c r="H445" s="84"/>
    </row>
    <row r="446" spans="4:8" ht="15.6">
      <c r="D446" s="84"/>
      <c r="E446" s="84"/>
      <c r="F446" s="84"/>
      <c r="G446" s="84"/>
      <c r="H446" s="84"/>
    </row>
    <row r="447" spans="4:8" ht="15.6">
      <c r="D447" s="84"/>
      <c r="E447" s="84"/>
      <c r="F447" s="84"/>
      <c r="G447" s="84"/>
      <c r="H447" s="84"/>
    </row>
    <row r="448" spans="4:8" ht="15.6">
      <c r="D448" s="84"/>
      <c r="E448" s="84"/>
      <c r="F448" s="84"/>
      <c r="G448" s="84"/>
      <c r="H448" s="84"/>
    </row>
    <row r="449" spans="4:8" ht="15.6">
      <c r="D449" s="84"/>
      <c r="E449" s="84"/>
      <c r="F449" s="84"/>
      <c r="G449" s="84"/>
      <c r="H449" s="84"/>
    </row>
    <row r="450" spans="4:8" ht="15.6">
      <c r="D450" s="84"/>
      <c r="E450" s="84"/>
      <c r="F450" s="84"/>
      <c r="G450" s="84"/>
      <c r="H450" s="84"/>
    </row>
    <row r="451" spans="4:8" ht="15.6">
      <c r="D451" s="84"/>
      <c r="E451" s="84"/>
      <c r="F451" s="84"/>
      <c r="G451" s="84"/>
      <c r="H451" s="84"/>
    </row>
    <row r="452" spans="4:8" ht="15.6">
      <c r="D452" s="84"/>
      <c r="E452" s="84"/>
      <c r="F452" s="84"/>
      <c r="G452" s="84"/>
      <c r="H452" s="84"/>
    </row>
    <row r="453" spans="4:8" ht="15.6">
      <c r="D453" s="84"/>
      <c r="E453" s="84"/>
      <c r="F453" s="84"/>
      <c r="G453" s="84"/>
      <c r="H453" s="84"/>
    </row>
    <row r="454" spans="4:8" ht="15.6">
      <c r="D454" s="84"/>
      <c r="E454" s="84"/>
      <c r="F454" s="84"/>
      <c r="G454" s="84"/>
      <c r="H454" s="84"/>
    </row>
    <row r="455" spans="4:8" ht="15.6">
      <c r="D455" s="84"/>
      <c r="E455" s="84"/>
      <c r="F455" s="84"/>
      <c r="G455" s="84"/>
      <c r="H455" s="84"/>
    </row>
    <row r="456" spans="4:8" ht="15.6">
      <c r="D456" s="84"/>
      <c r="E456" s="84"/>
      <c r="F456" s="84"/>
      <c r="G456" s="84"/>
      <c r="H456" s="84"/>
    </row>
    <row r="457" spans="4:8" ht="15.6">
      <c r="D457" s="84"/>
      <c r="E457" s="84"/>
      <c r="F457" s="84"/>
      <c r="G457" s="84"/>
      <c r="H457" s="84"/>
    </row>
    <row r="458" spans="4:8" ht="15.6">
      <c r="D458" s="84"/>
      <c r="E458" s="84"/>
      <c r="F458" s="84"/>
      <c r="G458" s="84"/>
      <c r="H458" s="84"/>
    </row>
    <row r="459" spans="4:8" ht="15.6">
      <c r="D459" s="84"/>
      <c r="E459" s="84"/>
      <c r="F459" s="84"/>
      <c r="G459" s="84"/>
      <c r="H459" s="84"/>
    </row>
    <row r="460" spans="4:8" ht="15.6">
      <c r="D460" s="84"/>
      <c r="E460" s="84"/>
      <c r="F460" s="84"/>
      <c r="G460" s="84"/>
      <c r="H460" s="84"/>
    </row>
    <row r="461" spans="4:8" ht="15.6">
      <c r="D461" s="84"/>
      <c r="E461" s="84"/>
      <c r="F461" s="84"/>
      <c r="G461" s="84"/>
      <c r="H461" s="84"/>
    </row>
    <row r="462" spans="4:8" ht="15.6">
      <c r="D462" s="84"/>
      <c r="E462" s="84"/>
      <c r="F462" s="84"/>
      <c r="G462" s="84"/>
      <c r="H462" s="84"/>
    </row>
    <row r="463" spans="4:8" ht="15.6">
      <c r="D463" s="84"/>
      <c r="E463" s="84"/>
      <c r="F463" s="84"/>
      <c r="G463" s="84"/>
      <c r="H463" s="84"/>
    </row>
    <row r="464" spans="4:8" ht="15.6">
      <c r="D464" s="84"/>
      <c r="E464" s="84"/>
      <c r="F464" s="84"/>
      <c r="G464" s="84"/>
      <c r="H464" s="84"/>
    </row>
    <row r="465" spans="4:8" ht="15.6">
      <c r="D465" s="84"/>
      <c r="E465" s="84"/>
      <c r="F465" s="84"/>
      <c r="G465" s="84"/>
      <c r="H465" s="84"/>
    </row>
    <row r="466" spans="4:8" ht="15.6">
      <c r="D466" s="84"/>
      <c r="E466" s="84"/>
      <c r="F466" s="84"/>
      <c r="G466" s="84"/>
      <c r="H466" s="84"/>
    </row>
    <row r="467" spans="4:8" ht="15.6">
      <c r="D467" s="84"/>
      <c r="E467" s="84"/>
      <c r="F467" s="84"/>
      <c r="G467" s="84"/>
      <c r="H467" s="84"/>
    </row>
    <row r="468" spans="4:8" ht="15.6">
      <c r="D468" s="84"/>
      <c r="E468" s="84"/>
      <c r="F468" s="84"/>
      <c r="G468" s="84"/>
      <c r="H468" s="84"/>
    </row>
    <row r="469" spans="4:8" ht="15.6">
      <c r="D469" s="84"/>
      <c r="E469" s="84"/>
      <c r="F469" s="84"/>
      <c r="G469" s="84"/>
      <c r="H469" s="84"/>
    </row>
    <row r="470" spans="4:8" ht="15.6">
      <c r="D470" s="84"/>
      <c r="E470" s="84"/>
      <c r="F470" s="84"/>
      <c r="G470" s="84"/>
      <c r="H470" s="84"/>
    </row>
    <row r="471" spans="4:8" ht="15.6">
      <c r="D471" s="84"/>
      <c r="E471" s="84"/>
      <c r="F471" s="84"/>
      <c r="G471" s="84"/>
      <c r="H471" s="84"/>
    </row>
    <row r="472" spans="4:8" ht="15.6">
      <c r="D472" s="84"/>
      <c r="E472" s="84"/>
      <c r="F472" s="84"/>
      <c r="G472" s="84"/>
      <c r="H472" s="84"/>
    </row>
    <row r="473" spans="4:8" ht="15.6">
      <c r="D473" s="84"/>
      <c r="E473" s="84"/>
      <c r="F473" s="84"/>
      <c r="G473" s="84"/>
      <c r="H473" s="84"/>
    </row>
    <row r="474" spans="4:8" ht="15.6">
      <c r="D474" s="84"/>
      <c r="E474" s="84"/>
      <c r="F474" s="84"/>
      <c r="G474" s="84"/>
      <c r="H474" s="84"/>
    </row>
    <row r="475" spans="4:8" ht="15.6">
      <c r="D475" s="84"/>
      <c r="E475" s="84"/>
      <c r="F475" s="84"/>
      <c r="G475" s="84"/>
      <c r="H475" s="84"/>
    </row>
    <row r="476" spans="4:8" ht="15.6">
      <c r="D476" s="84"/>
      <c r="E476" s="84"/>
      <c r="F476" s="84"/>
      <c r="G476" s="84"/>
      <c r="H476" s="84"/>
    </row>
    <row r="477" spans="4:8" ht="15.6">
      <c r="D477" s="84"/>
      <c r="E477" s="84"/>
      <c r="F477" s="84"/>
      <c r="G477" s="84"/>
      <c r="H477" s="84"/>
    </row>
    <row r="478" spans="4:8" ht="15.6">
      <c r="D478" s="84"/>
      <c r="E478" s="84"/>
      <c r="F478" s="84"/>
      <c r="G478" s="84"/>
      <c r="H478" s="84"/>
    </row>
    <row r="479" spans="4:8" ht="15.6">
      <c r="D479" s="84"/>
      <c r="E479" s="84"/>
      <c r="F479" s="84"/>
      <c r="G479" s="84"/>
      <c r="H479" s="84"/>
    </row>
    <row r="480" spans="4:8" ht="15.6">
      <c r="D480" s="84"/>
      <c r="E480" s="84"/>
      <c r="F480" s="84"/>
      <c r="G480" s="84"/>
      <c r="H480" s="84"/>
    </row>
    <row r="481" spans="4:8" ht="15.6">
      <c r="D481" s="84"/>
      <c r="E481" s="84"/>
      <c r="F481" s="84"/>
      <c r="G481" s="84"/>
      <c r="H481" s="84"/>
    </row>
    <row r="482" spans="4:8" ht="15.6">
      <c r="D482" s="84"/>
      <c r="E482" s="84"/>
      <c r="F482" s="84"/>
      <c r="G482" s="84"/>
      <c r="H482" s="84"/>
    </row>
    <row r="483" spans="4:8" ht="15.6">
      <c r="D483" s="84"/>
      <c r="E483" s="84"/>
      <c r="F483" s="84"/>
      <c r="G483" s="84"/>
      <c r="H483" s="84"/>
    </row>
    <row r="484" spans="4:8" ht="15.6">
      <c r="D484" s="84"/>
      <c r="E484" s="84"/>
      <c r="F484" s="84"/>
      <c r="G484" s="84"/>
      <c r="H484" s="84"/>
    </row>
    <row r="485" spans="4:8" ht="15.6">
      <c r="D485" s="84"/>
      <c r="E485" s="84"/>
      <c r="F485" s="84"/>
      <c r="G485" s="84"/>
      <c r="H485" s="84"/>
    </row>
    <row r="486" spans="4:8" ht="15.6">
      <c r="D486" s="84"/>
      <c r="E486" s="84"/>
      <c r="F486" s="84"/>
      <c r="G486" s="84"/>
      <c r="H486" s="84"/>
    </row>
    <row r="487" spans="4:8" ht="15.6">
      <c r="D487" s="84"/>
      <c r="E487" s="84"/>
      <c r="F487" s="84"/>
      <c r="G487" s="84"/>
      <c r="H487" s="84"/>
    </row>
    <row r="488" spans="4:8" ht="15.6">
      <c r="D488" s="84"/>
      <c r="E488" s="84"/>
      <c r="F488" s="84"/>
      <c r="G488" s="84"/>
      <c r="H488" s="84"/>
    </row>
    <row r="489" spans="4:8" ht="15.6">
      <c r="D489" s="84"/>
      <c r="E489" s="84"/>
      <c r="F489" s="84"/>
      <c r="G489" s="84"/>
      <c r="H489" s="84"/>
    </row>
    <row r="490" spans="4:8" ht="15.6">
      <c r="D490" s="84"/>
      <c r="E490" s="84"/>
      <c r="F490" s="84"/>
      <c r="G490" s="84"/>
      <c r="H490" s="84"/>
    </row>
    <row r="491" spans="4:8" ht="15.6">
      <c r="D491" s="84"/>
      <c r="E491" s="84"/>
      <c r="F491" s="84"/>
      <c r="G491" s="84"/>
      <c r="H491" s="84"/>
    </row>
    <row r="492" spans="4:8" ht="15.6">
      <c r="D492" s="84"/>
      <c r="E492" s="84"/>
      <c r="F492" s="84"/>
      <c r="G492" s="84"/>
      <c r="H492" s="84"/>
    </row>
    <row r="493" spans="4:8" ht="15.6">
      <c r="D493" s="84"/>
      <c r="E493" s="84"/>
      <c r="F493" s="84"/>
      <c r="G493" s="84"/>
      <c r="H493" s="84"/>
    </row>
    <row r="494" spans="4:8" ht="15.6">
      <c r="D494" s="84"/>
      <c r="E494" s="84"/>
      <c r="F494" s="84"/>
      <c r="G494" s="84"/>
      <c r="H494" s="84"/>
    </row>
    <row r="495" spans="4:8" ht="15.6">
      <c r="D495" s="84"/>
      <c r="E495" s="84"/>
      <c r="F495" s="84"/>
      <c r="G495" s="84"/>
      <c r="H495" s="84"/>
    </row>
    <row r="496" spans="4:8" ht="15.6">
      <c r="D496" s="84"/>
      <c r="E496" s="84"/>
      <c r="F496" s="84"/>
      <c r="G496" s="84"/>
      <c r="H496" s="84"/>
    </row>
    <row r="497" spans="4:8" ht="15.6">
      <c r="D497" s="84"/>
      <c r="E497" s="84"/>
      <c r="F497" s="84"/>
      <c r="G497" s="84"/>
      <c r="H497" s="84"/>
    </row>
    <row r="498" spans="4:8" ht="15.6">
      <c r="D498" s="84"/>
      <c r="E498" s="84"/>
      <c r="F498" s="84"/>
      <c r="G498" s="84"/>
      <c r="H498" s="84"/>
    </row>
    <row r="499" spans="4:8" ht="15.6">
      <c r="D499" s="84"/>
      <c r="E499" s="84"/>
      <c r="F499" s="84"/>
      <c r="G499" s="84"/>
      <c r="H499" s="84"/>
    </row>
    <row r="500" spans="4:8" ht="15.6">
      <c r="D500" s="84"/>
      <c r="E500" s="84"/>
      <c r="F500" s="84"/>
      <c r="G500" s="84"/>
      <c r="H500" s="84"/>
    </row>
    <row r="501" spans="4:8" ht="15.6">
      <c r="D501" s="84"/>
      <c r="E501" s="84"/>
      <c r="F501" s="84"/>
      <c r="G501" s="84"/>
      <c r="H501" s="84"/>
    </row>
    <row r="502" spans="4:8" ht="15.6">
      <c r="D502" s="84"/>
      <c r="E502" s="84"/>
      <c r="F502" s="84"/>
      <c r="G502" s="84"/>
      <c r="H502" s="84"/>
    </row>
    <row r="503" spans="4:8" ht="15.6">
      <c r="D503" s="84"/>
      <c r="E503" s="84"/>
      <c r="F503" s="84"/>
      <c r="G503" s="84"/>
      <c r="H503" s="84"/>
    </row>
    <row r="504" spans="4:8" ht="15.6">
      <c r="D504" s="84"/>
      <c r="E504" s="84"/>
      <c r="F504" s="84"/>
      <c r="G504" s="84"/>
      <c r="H504" s="84"/>
    </row>
    <row r="505" spans="4:8" ht="15.6">
      <c r="D505" s="84"/>
      <c r="E505" s="84"/>
      <c r="F505" s="84"/>
      <c r="G505" s="84"/>
      <c r="H505" s="84"/>
    </row>
    <row r="506" spans="4:8" ht="15.6">
      <c r="D506" s="84"/>
      <c r="E506" s="84"/>
      <c r="F506" s="84"/>
      <c r="G506" s="84"/>
      <c r="H506" s="84"/>
    </row>
    <row r="507" spans="4:8" ht="15.6">
      <c r="D507" s="84"/>
      <c r="E507" s="84"/>
      <c r="F507" s="84"/>
      <c r="G507" s="84"/>
      <c r="H507" s="84"/>
    </row>
    <row r="508" spans="4:8" ht="15.6">
      <c r="D508" s="84"/>
      <c r="E508" s="84"/>
      <c r="F508" s="84"/>
      <c r="G508" s="84"/>
      <c r="H508" s="84"/>
    </row>
    <row r="509" spans="4:8" ht="15.6">
      <c r="D509" s="84"/>
      <c r="E509" s="84"/>
      <c r="F509" s="84"/>
      <c r="G509" s="84"/>
      <c r="H509" s="84"/>
    </row>
    <row r="510" spans="4:8" ht="15.6">
      <c r="D510" s="84"/>
      <c r="E510" s="84"/>
      <c r="F510" s="84"/>
      <c r="G510" s="84"/>
      <c r="H510" s="84"/>
    </row>
    <row r="511" spans="4:8" ht="15.6">
      <c r="D511" s="84"/>
      <c r="E511" s="84"/>
      <c r="F511" s="84"/>
      <c r="G511" s="84"/>
      <c r="H511" s="84"/>
    </row>
    <row r="512" spans="4:8" ht="15.6">
      <c r="D512" s="84"/>
      <c r="E512" s="84"/>
      <c r="F512" s="84"/>
      <c r="G512" s="84"/>
      <c r="H512" s="84"/>
    </row>
    <row r="513" spans="4:8" ht="15.6">
      <c r="D513" s="84"/>
      <c r="E513" s="84"/>
      <c r="F513" s="84"/>
      <c r="G513" s="84"/>
      <c r="H513" s="84"/>
    </row>
    <row r="514" spans="4:8" ht="15.6">
      <c r="D514" s="84"/>
      <c r="E514" s="84"/>
      <c r="F514" s="84"/>
      <c r="G514" s="84"/>
      <c r="H514" s="84"/>
    </row>
    <row r="515" spans="4:8" ht="15.6">
      <c r="D515" s="84"/>
      <c r="E515" s="84"/>
      <c r="F515" s="84"/>
      <c r="G515" s="84"/>
      <c r="H515" s="84"/>
    </row>
    <row r="516" spans="4:8" ht="15.6">
      <c r="D516" s="84"/>
      <c r="E516" s="84"/>
      <c r="F516" s="84"/>
      <c r="G516" s="84"/>
      <c r="H516" s="84"/>
    </row>
    <row r="517" spans="4:8" ht="15.6">
      <c r="D517" s="84"/>
      <c r="E517" s="84"/>
      <c r="F517" s="84"/>
      <c r="G517" s="84"/>
      <c r="H517" s="84"/>
    </row>
    <row r="518" spans="4:8" ht="15.6">
      <c r="D518" s="84"/>
      <c r="E518" s="84"/>
      <c r="F518" s="84"/>
      <c r="G518" s="84"/>
      <c r="H518" s="84"/>
    </row>
    <row r="519" spans="4:8" ht="15.6">
      <c r="D519" s="84"/>
      <c r="E519" s="84"/>
      <c r="F519" s="84"/>
      <c r="G519" s="84"/>
      <c r="H519" s="84"/>
    </row>
    <row r="520" spans="4:8" ht="15.6">
      <c r="D520" s="84"/>
      <c r="E520" s="84"/>
      <c r="F520" s="84"/>
      <c r="G520" s="84"/>
      <c r="H520" s="84"/>
    </row>
    <row r="521" spans="4:8" ht="15.6">
      <c r="D521" s="84"/>
      <c r="E521" s="84"/>
      <c r="F521" s="84"/>
      <c r="G521" s="84"/>
      <c r="H521" s="84"/>
    </row>
    <row r="522" spans="4:8" ht="15.6">
      <c r="D522" s="84"/>
      <c r="E522" s="84"/>
      <c r="F522" s="84"/>
      <c r="G522" s="84"/>
      <c r="H522" s="84"/>
    </row>
    <row r="523" spans="4:8" ht="15.6">
      <c r="D523" s="84"/>
      <c r="E523" s="84"/>
      <c r="F523" s="84"/>
      <c r="G523" s="84"/>
      <c r="H523" s="84"/>
    </row>
    <row r="524" spans="4:8" ht="15.6">
      <c r="D524" s="84"/>
      <c r="E524" s="84"/>
      <c r="F524" s="84"/>
      <c r="G524" s="84"/>
      <c r="H524" s="84"/>
    </row>
    <row r="525" spans="4:8" ht="15.6">
      <c r="D525" s="84"/>
      <c r="E525" s="84"/>
      <c r="F525" s="84"/>
      <c r="G525" s="84"/>
      <c r="H525" s="84"/>
    </row>
    <row r="526" spans="4:8" ht="15.6">
      <c r="D526" s="84"/>
      <c r="E526" s="84"/>
      <c r="F526" s="84"/>
      <c r="G526" s="84"/>
      <c r="H526" s="84"/>
    </row>
    <row r="527" spans="4:8" ht="15.6">
      <c r="D527" s="84"/>
      <c r="E527" s="84"/>
      <c r="F527" s="84"/>
      <c r="G527" s="84"/>
      <c r="H527" s="84"/>
    </row>
    <row r="528" spans="4:8" ht="15.6">
      <c r="D528" s="84"/>
      <c r="E528" s="84"/>
      <c r="F528" s="84"/>
      <c r="G528" s="84"/>
      <c r="H528" s="84"/>
    </row>
    <row r="529" spans="4:8" ht="15.6">
      <c r="D529" s="84"/>
      <c r="E529" s="84"/>
      <c r="F529" s="84"/>
      <c r="G529" s="84"/>
      <c r="H529" s="84"/>
    </row>
    <row r="530" spans="4:8" ht="15.6">
      <c r="D530" s="84"/>
      <c r="E530" s="84"/>
      <c r="F530" s="84"/>
      <c r="G530" s="84"/>
      <c r="H530" s="84"/>
    </row>
    <row r="531" spans="4:8" ht="15.6">
      <c r="D531" s="84"/>
      <c r="E531" s="84"/>
      <c r="F531" s="84"/>
      <c r="G531" s="84"/>
      <c r="H531" s="84"/>
    </row>
    <row r="532" spans="4:8" ht="15.6">
      <c r="D532" s="84"/>
      <c r="E532" s="84"/>
      <c r="F532" s="84"/>
      <c r="G532" s="84"/>
      <c r="H532" s="84"/>
    </row>
    <row r="533" spans="4:8" ht="15.6">
      <c r="D533" s="84"/>
      <c r="E533" s="84"/>
      <c r="F533" s="84"/>
      <c r="G533" s="84"/>
      <c r="H533" s="84"/>
    </row>
    <row r="534" spans="4:8" ht="15.6">
      <c r="D534" s="84"/>
      <c r="E534" s="84"/>
      <c r="F534" s="84"/>
      <c r="G534" s="84"/>
      <c r="H534" s="84"/>
    </row>
    <row r="535" spans="4:8" ht="15.6">
      <c r="D535" s="84"/>
      <c r="E535" s="84"/>
      <c r="F535" s="84"/>
      <c r="G535" s="84"/>
      <c r="H535" s="84"/>
    </row>
    <row r="536" spans="4:8" ht="15.6">
      <c r="D536" s="84"/>
      <c r="E536" s="84"/>
      <c r="F536" s="84"/>
      <c r="G536" s="84"/>
      <c r="H536" s="84"/>
    </row>
    <row r="537" spans="4:8" ht="15.6">
      <c r="D537" s="84"/>
      <c r="E537" s="84"/>
      <c r="F537" s="84"/>
      <c r="G537" s="84"/>
      <c r="H537" s="84"/>
    </row>
    <row r="538" spans="4:8" ht="15.6">
      <c r="D538" s="84"/>
      <c r="E538" s="84"/>
      <c r="F538" s="84"/>
      <c r="G538" s="84"/>
      <c r="H538" s="84"/>
    </row>
    <row r="539" spans="4:8" ht="15.6">
      <c r="D539" s="84"/>
      <c r="E539" s="84"/>
      <c r="F539" s="84"/>
      <c r="G539" s="84"/>
      <c r="H539" s="84"/>
    </row>
    <row r="540" spans="4:8" ht="15.6">
      <c r="D540" s="84"/>
      <c r="E540" s="84"/>
      <c r="F540" s="84"/>
      <c r="G540" s="84"/>
      <c r="H540" s="84"/>
    </row>
    <row r="541" spans="4:8" ht="15.6">
      <c r="D541" s="84"/>
      <c r="E541" s="84"/>
      <c r="F541" s="84"/>
      <c r="G541" s="84"/>
      <c r="H541" s="84"/>
    </row>
    <row r="542" spans="4:8" ht="15.6">
      <c r="D542" s="84"/>
      <c r="E542" s="84"/>
      <c r="F542" s="84"/>
      <c r="G542" s="84"/>
      <c r="H542" s="84"/>
    </row>
    <row r="543" spans="4:8" ht="15.6">
      <c r="D543" s="84"/>
      <c r="E543" s="84"/>
      <c r="F543" s="84"/>
      <c r="G543" s="84"/>
      <c r="H543" s="84"/>
    </row>
    <row r="544" spans="4:8" ht="15.6">
      <c r="D544" s="84"/>
      <c r="E544" s="84"/>
      <c r="F544" s="84"/>
      <c r="G544" s="84"/>
      <c r="H544" s="84"/>
    </row>
    <row r="545" spans="4:8" ht="15.6">
      <c r="D545" s="84"/>
      <c r="E545" s="84"/>
      <c r="F545" s="84"/>
      <c r="G545" s="84"/>
      <c r="H545" s="84"/>
    </row>
    <row r="546" spans="4:8" ht="15.6">
      <c r="D546" s="84"/>
      <c r="E546" s="84"/>
      <c r="F546" s="84"/>
      <c r="G546" s="84"/>
      <c r="H546" s="84"/>
    </row>
    <row r="547" spans="4:8" ht="15.6">
      <c r="D547" s="84"/>
      <c r="E547" s="84"/>
      <c r="F547" s="84"/>
      <c r="G547" s="84"/>
      <c r="H547" s="84"/>
    </row>
    <row r="548" spans="4:8" ht="15.6">
      <c r="D548" s="84"/>
      <c r="E548" s="84"/>
      <c r="F548" s="84"/>
      <c r="G548" s="84"/>
      <c r="H548" s="84"/>
    </row>
    <row r="549" spans="4:8" ht="15.6">
      <c r="D549" s="84"/>
      <c r="E549" s="84"/>
      <c r="F549" s="84"/>
      <c r="G549" s="84"/>
      <c r="H549" s="84"/>
    </row>
    <row r="550" spans="4:8" ht="15.6">
      <c r="D550" s="84"/>
      <c r="E550" s="84"/>
      <c r="F550" s="84"/>
      <c r="G550" s="84"/>
      <c r="H550" s="84"/>
    </row>
    <row r="551" spans="4:8" ht="15.6">
      <c r="D551" s="84"/>
      <c r="E551" s="84"/>
      <c r="F551" s="84"/>
      <c r="G551" s="84"/>
      <c r="H551" s="84"/>
    </row>
    <row r="552" spans="4:8" ht="15.6">
      <c r="D552" s="84"/>
      <c r="E552" s="84"/>
      <c r="F552" s="84"/>
      <c r="G552" s="84"/>
      <c r="H552" s="84"/>
    </row>
    <row r="553" spans="4:8" ht="15.6">
      <c r="D553" s="84"/>
      <c r="E553" s="84"/>
      <c r="F553" s="84"/>
      <c r="G553" s="84"/>
      <c r="H553" s="84"/>
    </row>
    <row r="554" spans="4:8" ht="15.6">
      <c r="D554" s="84"/>
      <c r="E554" s="84"/>
      <c r="F554" s="84"/>
      <c r="G554" s="84"/>
      <c r="H554" s="84"/>
    </row>
    <row r="555" spans="4:8" ht="15.6">
      <c r="D555" s="84"/>
      <c r="E555" s="84"/>
      <c r="F555" s="84"/>
      <c r="G555" s="84"/>
      <c r="H555" s="84"/>
    </row>
    <row r="556" spans="4:8" ht="15.6">
      <c r="D556" s="84"/>
      <c r="E556" s="84"/>
      <c r="F556" s="84"/>
      <c r="G556" s="84"/>
      <c r="H556" s="84"/>
    </row>
    <row r="557" spans="4:8" ht="15.6">
      <c r="D557" s="84"/>
      <c r="E557" s="84"/>
      <c r="F557" s="84"/>
      <c r="G557" s="84"/>
      <c r="H557" s="84"/>
    </row>
    <row r="558" spans="4:8" ht="15.6">
      <c r="D558" s="84"/>
      <c r="E558" s="84"/>
      <c r="F558" s="84"/>
      <c r="G558" s="84"/>
      <c r="H558" s="84"/>
    </row>
    <row r="559" spans="4:8" ht="15.6">
      <c r="D559" s="84"/>
      <c r="E559" s="84"/>
      <c r="F559" s="84"/>
      <c r="G559" s="84"/>
      <c r="H559" s="84"/>
    </row>
    <row r="560" spans="4:8" ht="15.6">
      <c r="D560" s="84"/>
      <c r="E560" s="84"/>
      <c r="F560" s="84"/>
      <c r="G560" s="84"/>
      <c r="H560" s="84"/>
    </row>
    <row r="561" spans="4:8" ht="15.6">
      <c r="D561" s="84"/>
      <c r="E561" s="84"/>
      <c r="F561" s="84"/>
      <c r="G561" s="84"/>
      <c r="H561" s="84"/>
    </row>
    <row r="562" spans="4:8" ht="15.6">
      <c r="D562" s="84"/>
      <c r="E562" s="84"/>
      <c r="F562" s="84"/>
      <c r="G562" s="84"/>
      <c r="H562" s="84"/>
    </row>
    <row r="563" spans="4:8" ht="15.6">
      <c r="D563" s="84"/>
      <c r="E563" s="84"/>
      <c r="F563" s="84"/>
      <c r="G563" s="84"/>
      <c r="H563" s="84"/>
    </row>
    <row r="564" spans="4:8" ht="15.6">
      <c r="D564" s="84"/>
      <c r="E564" s="84"/>
      <c r="F564" s="84"/>
      <c r="G564" s="84"/>
      <c r="H564" s="84"/>
    </row>
    <row r="565" spans="4:8" ht="15.6">
      <c r="D565" s="84"/>
      <c r="E565" s="84"/>
      <c r="F565" s="84"/>
      <c r="G565" s="84"/>
      <c r="H565" s="84"/>
    </row>
    <row r="566" spans="4:8" ht="15.6">
      <c r="D566" s="84"/>
      <c r="E566" s="84"/>
      <c r="F566" s="84"/>
      <c r="G566" s="84"/>
      <c r="H566" s="84"/>
    </row>
    <row r="567" spans="4:8" ht="15.6">
      <c r="D567" s="84"/>
      <c r="E567" s="84"/>
      <c r="F567" s="84"/>
      <c r="G567" s="84"/>
      <c r="H567" s="84"/>
    </row>
    <row r="568" spans="4:8" ht="15.6">
      <c r="D568" s="84"/>
      <c r="E568" s="84"/>
      <c r="F568" s="84"/>
      <c r="G568" s="84"/>
      <c r="H568" s="84"/>
    </row>
    <row r="569" spans="4:8" ht="15.6">
      <c r="D569" s="84"/>
      <c r="E569" s="84"/>
      <c r="F569" s="84"/>
      <c r="G569" s="84"/>
      <c r="H569" s="84"/>
    </row>
    <row r="570" spans="4:8" ht="15.6">
      <c r="D570" s="84"/>
      <c r="E570" s="84"/>
      <c r="F570" s="84"/>
      <c r="G570" s="84"/>
      <c r="H570" s="84"/>
    </row>
    <row r="571" spans="4:8" ht="15.6">
      <c r="D571" s="84"/>
      <c r="E571" s="84"/>
      <c r="F571" s="84"/>
      <c r="G571" s="84"/>
      <c r="H571" s="84"/>
    </row>
    <row r="572" spans="4:8" ht="15.6">
      <c r="D572" s="84"/>
      <c r="E572" s="84"/>
      <c r="F572" s="84"/>
      <c r="G572" s="84"/>
      <c r="H572" s="84"/>
    </row>
    <row r="573" spans="4:8" ht="15.6">
      <c r="D573" s="84"/>
      <c r="E573" s="84"/>
      <c r="F573" s="84"/>
      <c r="G573" s="84"/>
      <c r="H573" s="84"/>
    </row>
    <row r="574" spans="4:8" ht="15.6">
      <c r="D574" s="84"/>
      <c r="E574" s="84"/>
      <c r="F574" s="84"/>
      <c r="G574" s="84"/>
      <c r="H574" s="84"/>
    </row>
    <row r="575" spans="4:8" ht="15.6">
      <c r="D575" s="84"/>
      <c r="E575" s="84"/>
      <c r="F575" s="84"/>
      <c r="G575" s="84"/>
      <c r="H575" s="84"/>
    </row>
    <row r="576" spans="4:8" ht="15.6">
      <c r="D576" s="84"/>
      <c r="E576" s="84"/>
      <c r="F576" s="84"/>
      <c r="G576" s="84"/>
      <c r="H576" s="84"/>
    </row>
    <row r="577" spans="4:8" ht="15.6">
      <c r="D577" s="84"/>
      <c r="E577" s="84"/>
      <c r="F577" s="84"/>
      <c r="G577" s="84"/>
      <c r="H577" s="84"/>
    </row>
    <row r="578" spans="4:8" ht="15.6">
      <c r="D578" s="84"/>
      <c r="E578" s="84"/>
      <c r="F578" s="84"/>
      <c r="G578" s="84"/>
      <c r="H578" s="84"/>
    </row>
    <row r="579" spans="4:8" ht="15.6">
      <c r="D579" s="84"/>
      <c r="E579" s="84"/>
      <c r="F579" s="84"/>
      <c r="G579" s="84"/>
      <c r="H579" s="84"/>
    </row>
    <row r="580" spans="4:8" ht="15.6">
      <c r="D580" s="84"/>
      <c r="E580" s="84"/>
      <c r="F580" s="84"/>
      <c r="G580" s="84"/>
      <c r="H580" s="84"/>
    </row>
    <row r="581" spans="4:8" ht="15.6">
      <c r="D581" s="84"/>
      <c r="E581" s="84"/>
      <c r="F581" s="84"/>
      <c r="G581" s="84"/>
      <c r="H581" s="84"/>
    </row>
    <row r="582" spans="4:8" ht="15.6">
      <c r="D582" s="84"/>
      <c r="E582" s="84"/>
      <c r="F582" s="84"/>
      <c r="G582" s="84"/>
      <c r="H582" s="84"/>
    </row>
    <row r="583" spans="4:8" ht="15.6">
      <c r="D583" s="84"/>
      <c r="E583" s="84"/>
      <c r="F583" s="84"/>
      <c r="G583" s="84"/>
      <c r="H583" s="84"/>
    </row>
    <row r="584" spans="4:8" ht="15.6">
      <c r="D584" s="84"/>
      <c r="E584" s="84"/>
      <c r="F584" s="84"/>
      <c r="G584" s="84"/>
      <c r="H584" s="84"/>
    </row>
    <row r="585" spans="4:8" ht="15.6">
      <c r="D585" s="84"/>
      <c r="E585" s="84"/>
      <c r="F585" s="84"/>
      <c r="G585" s="84"/>
      <c r="H585" s="84"/>
    </row>
    <row r="586" spans="4:8" ht="15.6">
      <c r="D586" s="84"/>
      <c r="E586" s="84"/>
      <c r="F586" s="84"/>
      <c r="G586" s="84"/>
      <c r="H586" s="84"/>
    </row>
    <row r="587" spans="4:8" ht="15.6">
      <c r="D587" s="84"/>
      <c r="E587" s="84"/>
      <c r="F587" s="84"/>
      <c r="G587" s="84"/>
      <c r="H587" s="84"/>
    </row>
    <row r="588" spans="4:8" ht="15.6">
      <c r="D588" s="84"/>
      <c r="E588" s="84"/>
      <c r="F588" s="84"/>
      <c r="G588" s="84"/>
      <c r="H588" s="84"/>
    </row>
    <row r="589" spans="4:8" ht="15.6">
      <c r="D589" s="84"/>
      <c r="E589" s="84"/>
      <c r="F589" s="84"/>
      <c r="G589" s="84"/>
      <c r="H589" s="84"/>
    </row>
    <row r="590" spans="4:8" ht="15.6">
      <c r="D590" s="84"/>
      <c r="E590" s="84"/>
      <c r="F590" s="84"/>
      <c r="G590" s="84"/>
      <c r="H590" s="84"/>
    </row>
    <row r="591" spans="4:8" ht="15.6">
      <c r="D591" s="84"/>
      <c r="E591" s="84"/>
      <c r="F591" s="84"/>
      <c r="G591" s="84"/>
      <c r="H591" s="84"/>
    </row>
    <row r="592" spans="4:8" ht="15.6">
      <c r="D592" s="84"/>
      <c r="E592" s="84"/>
      <c r="F592" s="84"/>
      <c r="G592" s="84"/>
      <c r="H592" s="84"/>
    </row>
    <row r="593" spans="4:8" ht="15.6">
      <c r="D593" s="84"/>
      <c r="E593" s="84"/>
      <c r="F593" s="84"/>
      <c r="G593" s="84"/>
      <c r="H593" s="84"/>
    </row>
    <row r="594" spans="4:8" ht="15.6">
      <c r="D594" s="84"/>
      <c r="E594" s="84"/>
      <c r="F594" s="84"/>
      <c r="G594" s="84"/>
      <c r="H594" s="84"/>
    </row>
    <row r="595" spans="4:8" ht="15.6">
      <c r="D595" s="84"/>
      <c r="E595" s="84"/>
      <c r="F595" s="84"/>
      <c r="G595" s="84"/>
      <c r="H595" s="84"/>
    </row>
    <row r="596" spans="4:8" ht="15.6">
      <c r="D596" s="84"/>
      <c r="E596" s="84"/>
      <c r="F596" s="84"/>
      <c r="G596" s="84"/>
      <c r="H596" s="84"/>
    </row>
    <row r="597" spans="4:8" ht="15.6">
      <c r="D597" s="84"/>
      <c r="E597" s="84"/>
      <c r="F597" s="84"/>
      <c r="G597" s="84"/>
      <c r="H597" s="84"/>
    </row>
    <row r="598" spans="4:8" ht="15.6">
      <c r="D598" s="84"/>
      <c r="E598" s="84"/>
      <c r="F598" s="84"/>
      <c r="G598" s="84"/>
      <c r="H598" s="84"/>
    </row>
    <row r="599" spans="4:8" ht="15.6">
      <c r="D599" s="84"/>
      <c r="E599" s="84"/>
      <c r="F599" s="84"/>
      <c r="G599" s="84"/>
      <c r="H599" s="84"/>
    </row>
    <row r="600" spans="4:8" ht="15.6">
      <c r="D600" s="84"/>
      <c r="E600" s="84"/>
      <c r="F600" s="84"/>
      <c r="G600" s="84"/>
      <c r="H600" s="84"/>
    </row>
    <row r="601" spans="4:8" ht="15.6">
      <c r="D601" s="84"/>
      <c r="E601" s="84"/>
      <c r="F601" s="84"/>
      <c r="G601" s="84"/>
      <c r="H601" s="84"/>
    </row>
    <row r="602" spans="4:8" ht="15.6">
      <c r="D602" s="84"/>
      <c r="E602" s="84"/>
      <c r="F602" s="84"/>
      <c r="G602" s="84"/>
      <c r="H602" s="84"/>
    </row>
    <row r="603" spans="4:8" ht="15.6">
      <c r="D603" s="84"/>
      <c r="E603" s="84"/>
      <c r="F603" s="84"/>
      <c r="G603" s="84"/>
      <c r="H603" s="84"/>
    </row>
    <row r="604" spans="4:8" ht="15.6">
      <c r="D604" s="84"/>
      <c r="E604" s="84"/>
      <c r="F604" s="84"/>
      <c r="G604" s="84"/>
      <c r="H604" s="84"/>
    </row>
    <row r="605" spans="4:8" ht="15.6">
      <c r="D605" s="84"/>
      <c r="E605" s="84"/>
      <c r="F605" s="84"/>
      <c r="G605" s="84"/>
      <c r="H605" s="84"/>
    </row>
    <row r="606" spans="4:8" ht="15.6">
      <c r="D606" s="84"/>
      <c r="E606" s="84"/>
      <c r="F606" s="84"/>
      <c r="G606" s="84"/>
      <c r="H606" s="84"/>
    </row>
    <row r="607" spans="4:8" ht="15.6">
      <c r="D607" s="84"/>
      <c r="E607" s="84"/>
      <c r="F607" s="84"/>
      <c r="G607" s="84"/>
      <c r="H607" s="84"/>
    </row>
    <row r="608" spans="4:8" ht="15.6">
      <c r="D608" s="84"/>
      <c r="E608" s="84"/>
      <c r="F608" s="84"/>
      <c r="G608" s="84"/>
      <c r="H608" s="84"/>
    </row>
    <row r="609" spans="4:8" ht="15.6">
      <c r="D609" s="84"/>
      <c r="E609" s="84"/>
      <c r="F609" s="84"/>
      <c r="G609" s="84"/>
      <c r="H609" s="84"/>
    </row>
    <row r="610" spans="4:8" ht="15.6">
      <c r="D610" s="84"/>
      <c r="E610" s="84"/>
      <c r="F610" s="84"/>
      <c r="G610" s="84"/>
      <c r="H610" s="84"/>
    </row>
    <row r="611" spans="4:8" ht="15.6">
      <c r="D611" s="84"/>
      <c r="E611" s="84"/>
      <c r="F611" s="84"/>
      <c r="G611" s="84"/>
      <c r="H611" s="84"/>
    </row>
    <row r="612" spans="4:8" ht="15.6">
      <c r="D612" s="84"/>
      <c r="E612" s="84"/>
      <c r="F612" s="84"/>
      <c r="G612" s="84"/>
      <c r="H612" s="84"/>
    </row>
    <row r="613" spans="4:8" ht="15.6">
      <c r="D613" s="84"/>
      <c r="E613" s="84"/>
      <c r="F613" s="84"/>
      <c r="G613" s="84"/>
      <c r="H613" s="84"/>
    </row>
    <row r="614" spans="4:8" ht="15.6">
      <c r="D614" s="84"/>
      <c r="E614" s="84"/>
      <c r="F614" s="84"/>
      <c r="G614" s="84"/>
      <c r="H614" s="84"/>
    </row>
    <row r="615" spans="4:8" ht="15.6">
      <c r="D615" s="84"/>
      <c r="E615" s="84"/>
      <c r="F615" s="84"/>
      <c r="G615" s="84"/>
      <c r="H615" s="84"/>
    </row>
    <row r="616" spans="4:8" ht="15.6">
      <c r="D616" s="84"/>
      <c r="E616" s="84"/>
      <c r="F616" s="84"/>
      <c r="G616" s="84"/>
      <c r="H616" s="84"/>
    </row>
    <row r="617" spans="4:8" ht="15.6">
      <c r="D617" s="84"/>
      <c r="E617" s="84"/>
      <c r="F617" s="84"/>
      <c r="G617" s="84"/>
      <c r="H617" s="84"/>
    </row>
    <row r="618" spans="4:8" ht="15.6">
      <c r="D618" s="84"/>
      <c r="E618" s="84"/>
      <c r="F618" s="84"/>
      <c r="G618" s="84"/>
      <c r="H618" s="84"/>
    </row>
    <row r="619" spans="4:8" ht="15.6">
      <c r="D619" s="84"/>
      <c r="E619" s="84"/>
      <c r="F619" s="84"/>
      <c r="G619" s="84"/>
      <c r="H619" s="84"/>
    </row>
    <row r="620" spans="4:8" ht="15.6">
      <c r="D620" s="84"/>
      <c r="E620" s="84"/>
      <c r="F620" s="84"/>
      <c r="G620" s="84"/>
      <c r="H620" s="84"/>
    </row>
    <row r="621" spans="4:8" ht="15.6">
      <c r="D621" s="84"/>
      <c r="E621" s="84"/>
      <c r="F621" s="84"/>
      <c r="G621" s="84"/>
      <c r="H621" s="84"/>
    </row>
    <row r="622" spans="4:8" ht="15.6">
      <c r="D622" s="84"/>
      <c r="E622" s="84"/>
      <c r="F622" s="84"/>
      <c r="G622" s="84"/>
      <c r="H622" s="84"/>
    </row>
    <row r="623" spans="4:8" ht="15.6">
      <c r="D623" s="84"/>
      <c r="E623" s="84"/>
      <c r="F623" s="84"/>
      <c r="G623" s="84"/>
      <c r="H623" s="84"/>
    </row>
    <row r="624" spans="4:8" ht="15.6">
      <c r="D624" s="84"/>
      <c r="E624" s="84"/>
      <c r="F624" s="84"/>
      <c r="G624" s="84"/>
      <c r="H624" s="84"/>
    </row>
    <row r="625" spans="4:8" ht="15.6">
      <c r="D625" s="84"/>
      <c r="E625" s="84"/>
      <c r="F625" s="84"/>
      <c r="G625" s="84"/>
      <c r="H625" s="84"/>
    </row>
    <row r="626" spans="4:8" ht="15.6">
      <c r="D626" s="84"/>
      <c r="E626" s="84"/>
      <c r="F626" s="84"/>
      <c r="G626" s="84"/>
      <c r="H626" s="84"/>
    </row>
    <row r="627" spans="4:8" ht="15.6">
      <c r="D627" s="84"/>
      <c r="E627" s="84"/>
      <c r="F627" s="84"/>
      <c r="G627" s="84"/>
      <c r="H627" s="84"/>
    </row>
    <row r="628" spans="4:8" ht="15.6">
      <c r="D628" s="84"/>
      <c r="E628" s="84"/>
      <c r="F628" s="84"/>
      <c r="G628" s="84"/>
      <c r="H628" s="84"/>
    </row>
    <row r="629" spans="4:8" ht="15.6">
      <c r="D629" s="84"/>
      <c r="E629" s="84"/>
      <c r="F629" s="84"/>
      <c r="G629" s="84"/>
      <c r="H629" s="84"/>
    </row>
    <row r="630" spans="4:8" ht="15.6">
      <c r="D630" s="84"/>
      <c r="E630" s="84"/>
      <c r="F630" s="84"/>
      <c r="G630" s="84"/>
      <c r="H630" s="84"/>
    </row>
    <row r="631" spans="4:8" ht="15.6">
      <c r="D631" s="84"/>
      <c r="E631" s="84"/>
      <c r="F631" s="84"/>
      <c r="G631" s="84"/>
      <c r="H631" s="84"/>
    </row>
    <row r="632" spans="4:8" ht="15.6">
      <c r="D632" s="84"/>
      <c r="E632" s="84"/>
      <c r="F632" s="84"/>
      <c r="G632" s="84"/>
      <c r="H632" s="84"/>
    </row>
    <row r="633" spans="4:8" ht="15.6">
      <c r="D633" s="84"/>
      <c r="E633" s="84"/>
      <c r="F633" s="84"/>
      <c r="G633" s="84"/>
      <c r="H633" s="84"/>
    </row>
    <row r="634" spans="4:8" ht="15.6">
      <c r="D634" s="84"/>
      <c r="E634" s="84"/>
      <c r="F634" s="84"/>
      <c r="G634" s="84"/>
      <c r="H634" s="84"/>
    </row>
    <row r="635" spans="4:8" ht="15.6">
      <c r="D635" s="84"/>
      <c r="E635" s="84"/>
      <c r="F635" s="84"/>
      <c r="G635" s="84"/>
      <c r="H635" s="84"/>
    </row>
    <row r="636" spans="4:8" ht="15.6">
      <c r="D636" s="84"/>
      <c r="E636" s="84"/>
      <c r="F636" s="84"/>
      <c r="G636" s="84"/>
      <c r="H636" s="84"/>
    </row>
    <row r="637" spans="4:8" ht="15.6">
      <c r="D637" s="84"/>
      <c r="E637" s="84"/>
      <c r="F637" s="84"/>
      <c r="G637" s="84"/>
      <c r="H637" s="84"/>
    </row>
    <row r="638" spans="4:8" ht="15.6">
      <c r="D638" s="84"/>
      <c r="E638" s="84"/>
      <c r="F638" s="84"/>
      <c r="G638" s="84"/>
      <c r="H638" s="84"/>
    </row>
    <row r="639" spans="4:8" ht="15.6">
      <c r="D639" s="84"/>
      <c r="E639" s="84"/>
      <c r="F639" s="84"/>
      <c r="G639" s="84"/>
      <c r="H639" s="84"/>
    </row>
    <row r="640" spans="4:8" ht="15.6">
      <c r="D640" s="84"/>
      <c r="E640" s="84"/>
      <c r="F640" s="84"/>
      <c r="G640" s="84"/>
      <c r="H640" s="84"/>
    </row>
    <row r="641" spans="4:8" ht="15.6">
      <c r="D641" s="84"/>
      <c r="E641" s="84"/>
      <c r="F641" s="84"/>
      <c r="G641" s="84"/>
      <c r="H641" s="84"/>
    </row>
    <row r="642" spans="4:8" ht="15.6">
      <c r="D642" s="84"/>
      <c r="E642" s="84"/>
      <c r="F642" s="84"/>
      <c r="G642" s="84"/>
      <c r="H642" s="84"/>
    </row>
    <row r="643" spans="4:8" ht="15.6">
      <c r="D643" s="84"/>
      <c r="E643" s="84"/>
      <c r="F643" s="84"/>
      <c r="G643" s="84"/>
      <c r="H643" s="84"/>
    </row>
    <row r="644" spans="4:8" ht="15.6">
      <c r="D644" s="84"/>
      <c r="E644" s="84"/>
      <c r="F644" s="84"/>
      <c r="G644" s="84"/>
      <c r="H644" s="84"/>
    </row>
    <row r="645" spans="4:8" ht="15.6">
      <c r="D645" s="84"/>
      <c r="E645" s="84"/>
      <c r="F645" s="84"/>
      <c r="G645" s="84"/>
      <c r="H645" s="84"/>
    </row>
    <row r="646" spans="4:8" ht="15.6">
      <c r="D646" s="84"/>
      <c r="E646" s="84"/>
      <c r="F646" s="84"/>
      <c r="G646" s="84"/>
      <c r="H646" s="84"/>
    </row>
    <row r="647" spans="4:8" ht="15.6">
      <c r="D647" s="84"/>
      <c r="E647" s="84"/>
      <c r="F647" s="84"/>
      <c r="G647" s="84"/>
      <c r="H647" s="84"/>
    </row>
    <row r="648" spans="4:8" ht="15.6">
      <c r="D648" s="84"/>
      <c r="E648" s="84"/>
      <c r="F648" s="84"/>
      <c r="G648" s="84"/>
      <c r="H648" s="84"/>
    </row>
    <row r="649" spans="4:8" ht="15.6">
      <c r="D649" s="84"/>
      <c r="E649" s="84"/>
      <c r="F649" s="84"/>
      <c r="G649" s="84"/>
      <c r="H649" s="84"/>
    </row>
    <row r="650" spans="4:8" ht="15.6">
      <c r="D650" s="84"/>
      <c r="E650" s="84"/>
      <c r="F650" s="84"/>
      <c r="G650" s="84"/>
      <c r="H650" s="84"/>
    </row>
    <row r="651" spans="4:8" ht="15.6">
      <c r="D651" s="84"/>
      <c r="E651" s="84"/>
      <c r="F651" s="84"/>
      <c r="G651" s="84"/>
      <c r="H651" s="84"/>
    </row>
    <row r="652" spans="4:8" ht="15.6">
      <c r="D652" s="84"/>
      <c r="E652" s="84"/>
      <c r="F652" s="84"/>
      <c r="G652" s="84"/>
      <c r="H652" s="84"/>
    </row>
    <row r="653" spans="4:8" ht="15.6">
      <c r="D653" s="84"/>
      <c r="E653" s="84"/>
      <c r="F653" s="84"/>
      <c r="G653" s="84"/>
      <c r="H653" s="84"/>
    </row>
    <row r="654" spans="4:8" ht="15.6">
      <c r="D654" s="84"/>
      <c r="E654" s="84"/>
      <c r="F654" s="84"/>
      <c r="G654" s="84"/>
      <c r="H654" s="84"/>
    </row>
    <row r="655" spans="4:8" ht="15.6">
      <c r="D655" s="84"/>
      <c r="E655" s="84"/>
      <c r="F655" s="84"/>
      <c r="G655" s="84"/>
      <c r="H655" s="84"/>
    </row>
    <row r="656" spans="4:8" ht="15.6">
      <c r="D656" s="84"/>
      <c r="E656" s="84"/>
      <c r="F656" s="84"/>
      <c r="G656" s="84"/>
      <c r="H656" s="84"/>
    </row>
    <row r="657" spans="4:8" ht="15.6">
      <c r="D657" s="84"/>
      <c r="E657" s="84"/>
      <c r="F657" s="84"/>
      <c r="G657" s="84"/>
      <c r="H657" s="84"/>
    </row>
    <row r="658" spans="4:8" ht="15.6">
      <c r="D658" s="84"/>
      <c r="E658" s="84"/>
      <c r="F658" s="84"/>
      <c r="G658" s="84"/>
      <c r="H658" s="84"/>
    </row>
    <row r="659" spans="4:8" ht="15.6">
      <c r="D659" s="84"/>
      <c r="E659" s="84"/>
      <c r="F659" s="84"/>
      <c r="G659" s="84"/>
      <c r="H659" s="84"/>
    </row>
    <row r="660" spans="4:8" ht="15.6">
      <c r="D660" s="84"/>
      <c r="E660" s="84"/>
      <c r="F660" s="84"/>
      <c r="G660" s="84"/>
      <c r="H660" s="84"/>
    </row>
    <row r="661" spans="4:8" ht="15.6">
      <c r="D661" s="84"/>
      <c r="E661" s="84"/>
      <c r="F661" s="84"/>
      <c r="G661" s="84"/>
      <c r="H661" s="84"/>
    </row>
    <row r="662" spans="4:8" ht="15.6">
      <c r="D662" s="84"/>
      <c r="E662" s="84"/>
      <c r="F662" s="84"/>
      <c r="G662" s="84"/>
      <c r="H662" s="84"/>
    </row>
    <row r="663" spans="4:8" ht="15.6">
      <c r="D663" s="84"/>
      <c r="E663" s="84"/>
      <c r="F663" s="84"/>
      <c r="G663" s="84"/>
      <c r="H663" s="84"/>
    </row>
    <row r="664" spans="4:8" ht="15.6">
      <c r="D664" s="84"/>
      <c r="E664" s="84"/>
      <c r="F664" s="84"/>
      <c r="G664" s="84"/>
      <c r="H664" s="84"/>
    </row>
    <row r="665" spans="4:8" ht="15.6">
      <c r="D665" s="84"/>
      <c r="E665" s="84"/>
      <c r="F665" s="84"/>
      <c r="G665" s="84"/>
      <c r="H665" s="84"/>
    </row>
    <row r="666" spans="4:8" ht="15.6">
      <c r="D666" s="84"/>
      <c r="E666" s="84"/>
      <c r="F666" s="84"/>
      <c r="G666" s="84"/>
      <c r="H666" s="84"/>
    </row>
    <row r="667" spans="4:8" ht="15.6">
      <c r="D667" s="84"/>
      <c r="E667" s="84"/>
      <c r="F667" s="84"/>
      <c r="G667" s="84"/>
      <c r="H667" s="84"/>
    </row>
    <row r="668" spans="4:8" ht="15.6">
      <c r="D668" s="84"/>
      <c r="E668" s="84"/>
      <c r="F668" s="84"/>
      <c r="G668" s="84"/>
      <c r="H668" s="84"/>
    </row>
    <row r="669" spans="4:8" ht="15.6">
      <c r="D669" s="84"/>
      <c r="E669" s="84"/>
      <c r="F669" s="84"/>
      <c r="G669" s="84"/>
      <c r="H669" s="84"/>
    </row>
    <row r="670" spans="4:8" ht="15.6">
      <c r="D670" s="84"/>
      <c r="E670" s="84"/>
      <c r="F670" s="84"/>
      <c r="G670" s="84"/>
      <c r="H670" s="84"/>
    </row>
    <row r="671" spans="4:8" ht="15.6">
      <c r="D671" s="84"/>
      <c r="E671" s="84"/>
      <c r="F671" s="84"/>
      <c r="G671" s="84"/>
      <c r="H671" s="84"/>
    </row>
    <row r="672" spans="4:8" ht="15.6">
      <c r="D672" s="84"/>
      <c r="E672" s="84"/>
      <c r="F672" s="84"/>
      <c r="G672" s="84"/>
      <c r="H672" s="84"/>
    </row>
    <row r="673" spans="4:8" ht="15.6">
      <c r="D673" s="84"/>
      <c r="E673" s="84"/>
      <c r="F673" s="84"/>
      <c r="G673" s="84"/>
      <c r="H673" s="84"/>
    </row>
    <row r="674" spans="4:8" ht="15.6">
      <c r="D674" s="84"/>
      <c r="E674" s="84"/>
      <c r="F674" s="84"/>
      <c r="G674" s="84"/>
      <c r="H674" s="84"/>
    </row>
    <row r="675" spans="4:8" ht="15.6">
      <c r="D675" s="84"/>
      <c r="E675" s="84"/>
      <c r="F675" s="84"/>
      <c r="G675" s="84"/>
      <c r="H675" s="84"/>
    </row>
    <row r="676" spans="4:8" ht="15.6">
      <c r="D676" s="84"/>
      <c r="E676" s="84"/>
      <c r="F676" s="84"/>
      <c r="G676" s="84"/>
      <c r="H676" s="84"/>
    </row>
    <row r="677" spans="4:8" ht="15.6">
      <c r="D677" s="84"/>
      <c r="E677" s="84"/>
      <c r="F677" s="84"/>
      <c r="G677" s="84"/>
      <c r="H677" s="84"/>
    </row>
    <row r="678" spans="4:8" ht="15.6">
      <c r="D678" s="84"/>
      <c r="E678" s="84"/>
      <c r="F678" s="84"/>
      <c r="G678" s="84"/>
      <c r="H678" s="84"/>
    </row>
    <row r="679" spans="4:8" ht="15.6">
      <c r="D679" s="84"/>
      <c r="E679" s="84"/>
      <c r="F679" s="84"/>
      <c r="G679" s="84"/>
      <c r="H679" s="84"/>
    </row>
    <row r="680" spans="4:8" ht="15.6">
      <c r="D680" s="84"/>
      <c r="E680" s="84"/>
      <c r="F680" s="84"/>
      <c r="G680" s="84"/>
      <c r="H680" s="84"/>
    </row>
    <row r="681" spans="4:8" ht="15.6">
      <c r="D681" s="84"/>
      <c r="E681" s="84"/>
      <c r="F681" s="84"/>
      <c r="G681" s="84"/>
      <c r="H681" s="84"/>
    </row>
    <row r="682" spans="4:8" ht="15.6">
      <c r="D682" s="84"/>
      <c r="E682" s="84"/>
      <c r="F682" s="84"/>
      <c r="G682" s="84"/>
      <c r="H682" s="84"/>
    </row>
    <row r="683" spans="4:8" ht="15.6">
      <c r="D683" s="84"/>
      <c r="E683" s="84"/>
      <c r="F683" s="84"/>
      <c r="G683" s="84"/>
      <c r="H683" s="84"/>
    </row>
    <row r="684" spans="4:8" ht="15.6">
      <c r="D684" s="84"/>
      <c r="E684" s="84"/>
      <c r="F684" s="84"/>
      <c r="G684" s="84"/>
      <c r="H684" s="84"/>
    </row>
    <row r="685" spans="4:8" ht="15.6">
      <c r="D685" s="84"/>
      <c r="E685" s="84"/>
      <c r="F685" s="84"/>
      <c r="G685" s="84"/>
      <c r="H685" s="84"/>
    </row>
    <row r="686" spans="4:8" ht="15.6">
      <c r="D686" s="84"/>
      <c r="E686" s="84"/>
      <c r="F686" s="84"/>
      <c r="G686" s="84"/>
      <c r="H686" s="84"/>
    </row>
    <row r="687" spans="4:8" ht="15.6">
      <c r="D687" s="84"/>
      <c r="E687" s="84"/>
      <c r="F687" s="84"/>
      <c r="G687" s="84"/>
      <c r="H687" s="84"/>
    </row>
    <row r="688" spans="4:8" ht="15.6">
      <c r="D688" s="84"/>
      <c r="E688" s="84"/>
      <c r="F688" s="84"/>
      <c r="G688" s="84"/>
      <c r="H688" s="84"/>
    </row>
    <row r="689" spans="4:8" ht="15.6">
      <c r="D689" s="84"/>
      <c r="E689" s="84"/>
      <c r="F689" s="84"/>
      <c r="G689" s="84"/>
      <c r="H689" s="84"/>
    </row>
    <row r="690" spans="4:8" ht="15.6">
      <c r="D690" s="84"/>
      <c r="E690" s="84"/>
      <c r="F690" s="84"/>
      <c r="G690" s="84"/>
      <c r="H690" s="84"/>
    </row>
    <row r="691" spans="4:8" ht="15.6">
      <c r="D691" s="84"/>
      <c r="E691" s="84"/>
      <c r="F691" s="84"/>
      <c r="G691" s="84"/>
      <c r="H691" s="84"/>
    </row>
    <row r="692" spans="4:8" ht="15.6">
      <c r="D692" s="84"/>
      <c r="E692" s="84"/>
      <c r="F692" s="84"/>
      <c r="G692" s="84"/>
      <c r="H692" s="84"/>
    </row>
    <row r="693" spans="4:8" ht="15.6">
      <c r="D693" s="84"/>
      <c r="E693" s="84"/>
      <c r="F693" s="84"/>
      <c r="G693" s="84"/>
      <c r="H693" s="84"/>
    </row>
    <row r="694" spans="4:8" ht="15.6">
      <c r="D694" s="84"/>
      <c r="E694" s="84"/>
      <c r="F694" s="84"/>
      <c r="G694" s="84"/>
      <c r="H694" s="84"/>
    </row>
    <row r="695" spans="4:8" ht="15.6">
      <c r="D695" s="84"/>
      <c r="E695" s="84"/>
      <c r="F695" s="84"/>
      <c r="G695" s="84"/>
      <c r="H695" s="84"/>
    </row>
    <row r="696" spans="4:8" ht="15.6">
      <c r="D696" s="84"/>
      <c r="E696" s="84"/>
      <c r="F696" s="84"/>
      <c r="G696" s="84"/>
      <c r="H696" s="84"/>
    </row>
    <row r="697" spans="4:8" ht="15.6">
      <c r="D697" s="84"/>
      <c r="E697" s="84"/>
      <c r="F697" s="84"/>
      <c r="G697" s="84"/>
      <c r="H697" s="84"/>
    </row>
    <row r="698" spans="4:8" ht="15.6">
      <c r="D698" s="84"/>
      <c r="E698" s="84"/>
      <c r="F698" s="84"/>
      <c r="G698" s="84"/>
      <c r="H698" s="84"/>
    </row>
    <row r="699" spans="4:8" ht="15.6">
      <c r="D699" s="84"/>
      <c r="E699" s="84"/>
      <c r="F699" s="84"/>
      <c r="G699" s="84"/>
      <c r="H699" s="84"/>
    </row>
    <row r="700" spans="4:8" ht="15.6">
      <c r="D700" s="84"/>
      <c r="E700" s="84"/>
      <c r="F700" s="84"/>
      <c r="G700" s="84"/>
      <c r="H700" s="84"/>
    </row>
    <row r="701" spans="4:8" ht="15.6">
      <c r="D701" s="84"/>
      <c r="E701" s="84"/>
      <c r="F701" s="84"/>
      <c r="G701" s="84"/>
      <c r="H701" s="84"/>
    </row>
    <row r="702" spans="4:8" ht="15.6">
      <c r="D702" s="84"/>
      <c r="E702" s="84"/>
      <c r="F702" s="84"/>
      <c r="G702" s="84"/>
      <c r="H702" s="84"/>
    </row>
    <row r="703" spans="4:8" ht="15.6">
      <c r="D703" s="84"/>
      <c r="E703" s="84"/>
      <c r="F703" s="84"/>
      <c r="G703" s="84"/>
      <c r="H703" s="84"/>
    </row>
    <row r="704" spans="4:8" ht="15.6">
      <c r="D704" s="84"/>
      <c r="E704" s="84"/>
      <c r="F704" s="84"/>
      <c r="G704" s="84"/>
      <c r="H704" s="84"/>
    </row>
    <row r="705" spans="4:8" ht="15.6">
      <c r="D705" s="84"/>
      <c r="E705" s="84"/>
      <c r="F705" s="84"/>
      <c r="G705" s="84"/>
      <c r="H705" s="84"/>
    </row>
    <row r="706" spans="4:8" ht="15.6">
      <c r="D706" s="84"/>
      <c r="E706" s="84"/>
      <c r="F706" s="84"/>
      <c r="G706" s="84"/>
      <c r="H706" s="84"/>
    </row>
    <row r="707" spans="4:8" ht="15.6">
      <c r="D707" s="84"/>
      <c r="E707" s="84"/>
      <c r="F707" s="84"/>
      <c r="G707" s="84"/>
      <c r="H707" s="84"/>
    </row>
    <row r="708" spans="4:8" ht="15.6">
      <c r="D708" s="84"/>
      <c r="E708" s="84"/>
      <c r="F708" s="84"/>
      <c r="G708" s="84"/>
      <c r="H708" s="84"/>
    </row>
    <row r="709" spans="4:8" ht="15.6">
      <c r="D709" s="84"/>
      <c r="E709" s="84"/>
      <c r="F709" s="84"/>
      <c r="G709" s="84"/>
      <c r="H709" s="84"/>
    </row>
    <row r="710" spans="4:8" ht="15.6">
      <c r="D710" s="84"/>
      <c r="E710" s="84"/>
      <c r="F710" s="84"/>
      <c r="G710" s="84"/>
      <c r="H710" s="84"/>
    </row>
    <row r="711" spans="4:8" ht="15.6">
      <c r="D711" s="84"/>
      <c r="E711" s="84"/>
      <c r="F711" s="84"/>
      <c r="G711" s="84"/>
      <c r="H711" s="84"/>
    </row>
    <row r="712" spans="4:8" ht="15.6">
      <c r="D712" s="84"/>
      <c r="E712" s="84"/>
      <c r="F712" s="84"/>
      <c r="G712" s="84"/>
      <c r="H712" s="84"/>
    </row>
    <row r="713" spans="4:8" ht="15.6">
      <c r="D713" s="84"/>
      <c r="E713" s="84"/>
      <c r="F713" s="84"/>
      <c r="G713" s="84"/>
      <c r="H713" s="84"/>
    </row>
    <row r="714" spans="4:8" ht="15.6">
      <c r="D714" s="84"/>
      <c r="E714" s="84"/>
      <c r="F714" s="84"/>
      <c r="G714" s="84"/>
      <c r="H714" s="84"/>
    </row>
    <row r="715" spans="4:8" ht="15.6">
      <c r="D715" s="84"/>
      <c r="E715" s="84"/>
      <c r="F715" s="84"/>
      <c r="G715" s="84"/>
      <c r="H715" s="84"/>
    </row>
    <row r="716" spans="4:8" ht="15.6">
      <c r="D716" s="84"/>
      <c r="E716" s="84"/>
      <c r="F716" s="84"/>
      <c r="G716" s="84"/>
      <c r="H716" s="84"/>
    </row>
    <row r="717" spans="4:8" ht="15.6">
      <c r="D717" s="84"/>
      <c r="E717" s="84"/>
      <c r="F717" s="84"/>
      <c r="G717" s="84"/>
      <c r="H717" s="84"/>
    </row>
    <row r="718" spans="4:8" ht="15.6">
      <c r="D718" s="84"/>
      <c r="E718" s="84"/>
      <c r="F718" s="84"/>
      <c r="G718" s="84"/>
      <c r="H718" s="84"/>
    </row>
    <row r="719" spans="4:8" ht="15.6">
      <c r="D719" s="84"/>
      <c r="E719" s="84"/>
      <c r="F719" s="84"/>
      <c r="G719" s="84"/>
      <c r="H719" s="84"/>
    </row>
    <row r="720" spans="4:8" ht="15.6">
      <c r="D720" s="84"/>
      <c r="E720" s="84"/>
      <c r="F720" s="84"/>
      <c r="G720" s="84"/>
      <c r="H720" s="84"/>
    </row>
    <row r="721" spans="4:8" ht="15.6">
      <c r="D721" s="84"/>
      <c r="E721" s="84"/>
      <c r="F721" s="84"/>
      <c r="G721" s="84"/>
      <c r="H721" s="84"/>
    </row>
    <row r="722" spans="4:8" ht="15.6">
      <c r="D722" s="84"/>
      <c r="E722" s="84"/>
      <c r="F722" s="84"/>
      <c r="G722" s="84"/>
      <c r="H722" s="84"/>
    </row>
    <row r="723" spans="4:8" ht="15.6">
      <c r="D723" s="84"/>
      <c r="E723" s="84"/>
      <c r="F723" s="84"/>
      <c r="G723" s="84"/>
      <c r="H723" s="84"/>
    </row>
    <row r="724" spans="4:8" ht="15.6">
      <c r="D724" s="84"/>
      <c r="E724" s="84"/>
      <c r="F724" s="84"/>
      <c r="G724" s="84"/>
      <c r="H724" s="84"/>
    </row>
    <row r="725" spans="4:8" ht="15.6">
      <c r="D725" s="84"/>
      <c r="E725" s="84"/>
      <c r="F725" s="84"/>
      <c r="G725" s="84"/>
      <c r="H725" s="84"/>
    </row>
    <row r="726" spans="4:8" ht="15.6">
      <c r="D726" s="84"/>
      <c r="E726" s="84"/>
      <c r="F726" s="84"/>
      <c r="G726" s="84"/>
      <c r="H726" s="84"/>
    </row>
    <row r="727" spans="4:8" ht="15.6">
      <c r="D727" s="84"/>
      <c r="E727" s="84"/>
      <c r="F727" s="84"/>
      <c r="G727" s="84"/>
      <c r="H727" s="84"/>
    </row>
    <row r="728" spans="4:8" ht="15.6">
      <c r="D728" s="84"/>
      <c r="E728" s="84"/>
      <c r="F728" s="84"/>
      <c r="G728" s="84"/>
      <c r="H728" s="84"/>
    </row>
    <row r="729" spans="4:8" ht="15.6">
      <c r="D729" s="84"/>
      <c r="E729" s="84"/>
      <c r="F729" s="84"/>
      <c r="G729" s="84"/>
      <c r="H729" s="84"/>
    </row>
    <row r="730" spans="4:8" ht="15.6">
      <c r="D730" s="84"/>
      <c r="E730" s="84"/>
      <c r="F730" s="84"/>
      <c r="G730" s="84"/>
      <c r="H730" s="84"/>
    </row>
    <row r="731" spans="4:8" ht="15.6">
      <c r="D731" s="84"/>
      <c r="E731" s="84"/>
      <c r="F731" s="84"/>
      <c r="G731" s="84"/>
      <c r="H731" s="84"/>
    </row>
    <row r="732" spans="4:8" ht="15.6">
      <c r="D732" s="84"/>
      <c r="E732" s="84"/>
      <c r="F732" s="84"/>
      <c r="G732" s="84"/>
      <c r="H732" s="84"/>
    </row>
    <row r="733" spans="4:8" ht="15.6">
      <c r="D733" s="84"/>
      <c r="E733" s="84"/>
      <c r="F733" s="84"/>
      <c r="G733" s="84"/>
      <c r="H733" s="84"/>
    </row>
    <row r="734" spans="4:8" ht="15.6">
      <c r="D734" s="84"/>
      <c r="E734" s="84"/>
      <c r="F734" s="84"/>
      <c r="G734" s="84"/>
      <c r="H734" s="84"/>
    </row>
    <row r="735" spans="4:8" ht="15.6">
      <c r="D735" s="84"/>
      <c r="E735" s="84"/>
      <c r="F735" s="84"/>
      <c r="G735" s="84"/>
      <c r="H735" s="84"/>
    </row>
    <row r="736" spans="4:8" ht="15.6">
      <c r="D736" s="84"/>
      <c r="E736" s="84"/>
      <c r="F736" s="84"/>
      <c r="G736" s="84"/>
      <c r="H736" s="84"/>
    </row>
    <row r="737" spans="4:8" ht="15.6">
      <c r="D737" s="84"/>
      <c r="E737" s="84"/>
      <c r="F737" s="84"/>
      <c r="G737" s="84"/>
      <c r="H737" s="84"/>
    </row>
    <row r="738" spans="4:8" ht="15.6">
      <c r="D738" s="84"/>
      <c r="E738" s="84"/>
      <c r="F738" s="84"/>
      <c r="G738" s="84"/>
      <c r="H738" s="84"/>
    </row>
    <row r="739" spans="4:8" ht="15.6">
      <c r="D739" s="84"/>
      <c r="E739" s="84"/>
      <c r="F739" s="84"/>
      <c r="G739" s="84"/>
      <c r="H739" s="84"/>
    </row>
    <row r="740" spans="4:8" ht="15.6">
      <c r="D740" s="84"/>
      <c r="E740" s="84"/>
      <c r="F740" s="84"/>
      <c r="G740" s="84"/>
      <c r="H740" s="84"/>
    </row>
    <row r="741" spans="4:8" ht="15.6">
      <c r="D741" s="84"/>
      <c r="E741" s="84"/>
      <c r="F741" s="84"/>
      <c r="G741" s="84"/>
      <c r="H741" s="84"/>
    </row>
    <row r="742" spans="4:8" ht="15.6">
      <c r="D742" s="84"/>
      <c r="E742" s="84"/>
      <c r="F742" s="84"/>
      <c r="G742" s="84"/>
      <c r="H742" s="84"/>
    </row>
    <row r="743" spans="4:8" ht="15.6">
      <c r="D743" s="84"/>
      <c r="E743" s="84"/>
      <c r="F743" s="84"/>
      <c r="G743" s="84"/>
      <c r="H743" s="84"/>
    </row>
    <row r="744" spans="4:8" ht="15.6">
      <c r="D744" s="84"/>
      <c r="E744" s="84"/>
      <c r="F744" s="84"/>
      <c r="G744" s="84"/>
      <c r="H744" s="84"/>
    </row>
    <row r="745" spans="4:8" ht="15.6">
      <c r="D745" s="84"/>
      <c r="E745" s="84"/>
      <c r="F745" s="84"/>
      <c r="G745" s="84"/>
      <c r="H745" s="84"/>
    </row>
    <row r="746" spans="4:8" ht="15.6">
      <c r="D746" s="84"/>
      <c r="E746" s="84"/>
      <c r="F746" s="84"/>
      <c r="G746" s="84"/>
      <c r="H746" s="84"/>
    </row>
    <row r="747" spans="4:8" ht="15.6">
      <c r="D747" s="84"/>
      <c r="E747" s="84"/>
      <c r="F747" s="84"/>
      <c r="G747" s="84"/>
      <c r="H747" s="84"/>
    </row>
    <row r="748" spans="4:8" ht="15.6">
      <c r="D748" s="84"/>
      <c r="E748" s="84"/>
      <c r="F748" s="84"/>
      <c r="G748" s="84"/>
      <c r="H748" s="84"/>
    </row>
    <row r="749" spans="4:8" ht="15.6">
      <c r="D749" s="84"/>
      <c r="E749" s="84"/>
      <c r="F749" s="84"/>
      <c r="G749" s="84"/>
      <c r="H749" s="84"/>
    </row>
    <row r="750" spans="4:8" ht="15.6">
      <c r="D750" s="84"/>
      <c r="E750" s="84"/>
      <c r="F750" s="84"/>
      <c r="G750" s="84"/>
      <c r="H750" s="84"/>
    </row>
    <row r="751" spans="4:8" ht="15.6">
      <c r="D751" s="84"/>
      <c r="E751" s="84"/>
      <c r="F751" s="84"/>
      <c r="G751" s="84"/>
      <c r="H751" s="84"/>
    </row>
    <row r="752" spans="4:8" ht="15.6">
      <c r="D752" s="84"/>
      <c r="E752" s="84"/>
      <c r="F752" s="84"/>
      <c r="G752" s="84"/>
      <c r="H752" s="84"/>
    </row>
    <row r="753" spans="4:8" ht="15.6">
      <c r="D753" s="84"/>
      <c r="E753" s="84"/>
      <c r="F753" s="84"/>
      <c r="G753" s="84"/>
      <c r="H753" s="84"/>
    </row>
    <row r="754" spans="4:8" ht="15.6">
      <c r="D754" s="84"/>
      <c r="E754" s="84"/>
      <c r="F754" s="84"/>
      <c r="G754" s="84"/>
      <c r="H754" s="84"/>
    </row>
    <row r="755" spans="4:8" ht="15.6">
      <c r="D755" s="84"/>
      <c r="E755" s="84"/>
      <c r="F755" s="84"/>
      <c r="G755" s="84"/>
      <c r="H755" s="84"/>
    </row>
    <row r="756" spans="4:8" ht="15.6">
      <c r="D756" s="84"/>
      <c r="E756" s="84"/>
      <c r="F756" s="84"/>
      <c r="G756" s="84"/>
      <c r="H756" s="84"/>
    </row>
    <row r="757" spans="4:8" ht="15.6">
      <c r="D757" s="84"/>
      <c r="E757" s="84"/>
      <c r="F757" s="84"/>
      <c r="G757" s="84"/>
      <c r="H757" s="84"/>
    </row>
    <row r="758" spans="4:8" ht="15.6">
      <c r="D758" s="84"/>
      <c r="E758" s="84"/>
      <c r="F758" s="84"/>
      <c r="G758" s="84"/>
      <c r="H758" s="84"/>
    </row>
    <row r="759" spans="4:8" ht="15.6">
      <c r="D759" s="84"/>
      <c r="E759" s="84"/>
      <c r="F759" s="84"/>
      <c r="G759" s="84"/>
      <c r="H759" s="84"/>
    </row>
    <row r="760" spans="4:8" ht="15.6">
      <c r="D760" s="84"/>
      <c r="E760" s="84"/>
      <c r="F760" s="84"/>
      <c r="G760" s="84"/>
      <c r="H760" s="84"/>
    </row>
    <row r="761" spans="4:8" ht="15.6">
      <c r="D761" s="84"/>
      <c r="E761" s="84"/>
      <c r="F761" s="84"/>
      <c r="G761" s="84"/>
      <c r="H761" s="84"/>
    </row>
    <row r="762" spans="4:8" ht="15.6">
      <c r="D762" s="84"/>
      <c r="E762" s="84"/>
      <c r="F762" s="84"/>
      <c r="G762" s="84"/>
      <c r="H762" s="84"/>
    </row>
    <row r="763" spans="4:8" ht="15.6">
      <c r="D763" s="84"/>
      <c r="E763" s="84"/>
      <c r="F763" s="84"/>
      <c r="G763" s="84"/>
      <c r="H763" s="84"/>
    </row>
    <row r="764" spans="4:8" ht="15.6">
      <c r="D764" s="84"/>
      <c r="E764" s="84"/>
      <c r="F764" s="84"/>
      <c r="G764" s="84"/>
      <c r="H764" s="84"/>
    </row>
    <row r="765" spans="4:8" ht="15.6">
      <c r="D765" s="84"/>
      <c r="E765" s="84"/>
      <c r="F765" s="84"/>
      <c r="G765" s="84"/>
      <c r="H765" s="84"/>
    </row>
    <row r="766" spans="4:8" ht="15.6">
      <c r="D766" s="84"/>
      <c r="E766" s="84"/>
      <c r="F766" s="84"/>
      <c r="G766" s="84"/>
      <c r="H766" s="84"/>
    </row>
    <row r="767" spans="4:8" ht="15.6">
      <c r="D767" s="84"/>
      <c r="E767" s="84"/>
      <c r="F767" s="84"/>
      <c r="G767" s="84"/>
      <c r="H767" s="84"/>
    </row>
    <row r="768" spans="4:8" ht="15.6">
      <c r="D768" s="84"/>
      <c r="E768" s="84"/>
      <c r="F768" s="84"/>
      <c r="G768" s="84"/>
      <c r="H768" s="84"/>
    </row>
    <row r="769" spans="4:8" ht="15.6">
      <c r="D769" s="84"/>
      <c r="E769" s="84"/>
      <c r="F769" s="84"/>
      <c r="G769" s="84"/>
      <c r="H769" s="84"/>
    </row>
    <row r="770" spans="4:8" ht="15.6">
      <c r="D770" s="84"/>
      <c r="E770" s="84"/>
      <c r="F770" s="84"/>
      <c r="G770" s="84"/>
      <c r="H770" s="84"/>
    </row>
    <row r="771" spans="4:8" ht="15.6">
      <c r="D771" s="84"/>
      <c r="E771" s="84"/>
      <c r="F771" s="84"/>
      <c r="G771" s="84"/>
      <c r="H771" s="84"/>
    </row>
    <row r="772" spans="4:8" ht="15.6">
      <c r="D772" s="84"/>
      <c r="E772" s="84"/>
      <c r="F772" s="84"/>
      <c r="G772" s="84"/>
      <c r="H772" s="84"/>
    </row>
    <row r="773" spans="4:8" ht="15.6">
      <c r="D773" s="84"/>
      <c r="E773" s="84"/>
      <c r="F773" s="84"/>
      <c r="G773" s="84"/>
      <c r="H773" s="84"/>
    </row>
    <row r="774" spans="4:8" ht="15.6">
      <c r="D774" s="84"/>
      <c r="E774" s="84"/>
      <c r="F774" s="84"/>
      <c r="G774" s="84"/>
      <c r="H774" s="84"/>
    </row>
    <row r="775" spans="4:8" ht="15.6">
      <c r="D775" s="84"/>
      <c r="E775" s="84"/>
      <c r="F775" s="84"/>
      <c r="G775" s="84"/>
      <c r="H775" s="84"/>
    </row>
    <row r="776" spans="4:8" ht="15.6">
      <c r="D776" s="84"/>
      <c r="E776" s="84"/>
      <c r="F776" s="84"/>
      <c r="G776" s="84"/>
      <c r="H776" s="84"/>
    </row>
    <row r="777" spans="4:8" ht="15.6">
      <c r="D777" s="84"/>
      <c r="E777" s="84"/>
      <c r="F777" s="84"/>
      <c r="G777" s="84"/>
      <c r="H777" s="84"/>
    </row>
    <row r="778" spans="4:8" ht="15.6">
      <c r="D778" s="84"/>
      <c r="E778" s="84"/>
      <c r="F778" s="84"/>
      <c r="G778" s="84"/>
      <c r="H778" s="84"/>
    </row>
    <row r="779" spans="4:8" ht="15.6">
      <c r="D779" s="84"/>
      <c r="E779" s="84"/>
      <c r="F779" s="84"/>
      <c r="G779" s="84"/>
      <c r="H779" s="84"/>
    </row>
    <row r="780" spans="4:8" ht="15.6">
      <c r="D780" s="84"/>
      <c r="E780" s="84"/>
      <c r="F780" s="84"/>
      <c r="G780" s="84"/>
      <c r="H780" s="84"/>
    </row>
    <row r="781" spans="4:8" ht="15.6">
      <c r="D781" s="84"/>
      <c r="E781" s="84"/>
      <c r="F781" s="84"/>
      <c r="G781" s="84"/>
      <c r="H781" s="84"/>
    </row>
    <row r="782" spans="4:8" ht="15.6">
      <c r="D782" s="84"/>
      <c r="E782" s="84"/>
      <c r="F782" s="84"/>
      <c r="G782" s="84"/>
      <c r="H782" s="84"/>
    </row>
    <row r="783" spans="4:8" ht="15.6">
      <c r="D783" s="84"/>
      <c r="E783" s="84"/>
      <c r="F783" s="84"/>
      <c r="G783" s="84"/>
      <c r="H783" s="84"/>
    </row>
    <row r="784" spans="4:8" ht="15.6">
      <c r="D784" s="84"/>
      <c r="E784" s="84"/>
      <c r="F784" s="84"/>
      <c r="G784" s="84"/>
      <c r="H784" s="84"/>
    </row>
    <row r="785" spans="4:8" ht="15.6">
      <c r="D785" s="84"/>
      <c r="E785" s="84"/>
      <c r="F785" s="84"/>
      <c r="G785" s="84"/>
      <c r="H785" s="84"/>
    </row>
    <row r="786" spans="4:8" ht="15.6">
      <c r="D786" s="84"/>
      <c r="E786" s="84"/>
      <c r="F786" s="84"/>
      <c r="G786" s="84"/>
      <c r="H786" s="84"/>
    </row>
    <row r="787" spans="4:8" ht="15.6">
      <c r="D787" s="84"/>
      <c r="E787" s="84"/>
      <c r="F787" s="84"/>
      <c r="G787" s="84"/>
      <c r="H787" s="84"/>
    </row>
    <row r="788" spans="4:8" ht="15.6">
      <c r="D788" s="84"/>
      <c r="E788" s="84"/>
      <c r="F788" s="84"/>
      <c r="G788" s="84"/>
      <c r="H788" s="84"/>
    </row>
    <row r="789" spans="4:8" ht="15.6">
      <c r="D789" s="84"/>
      <c r="E789" s="84"/>
      <c r="F789" s="84"/>
      <c r="G789" s="84"/>
      <c r="H789" s="84"/>
    </row>
    <row r="790" spans="4:8" ht="15.6">
      <c r="D790" s="84"/>
      <c r="E790" s="84"/>
      <c r="F790" s="84"/>
      <c r="G790" s="84"/>
      <c r="H790" s="84"/>
    </row>
    <row r="791" spans="4:8" ht="15.6">
      <c r="D791" s="84"/>
      <c r="E791" s="84"/>
      <c r="F791" s="84"/>
      <c r="G791" s="84"/>
      <c r="H791" s="84"/>
    </row>
    <row r="792" spans="4:8" ht="15.6">
      <c r="D792" s="84"/>
      <c r="E792" s="84"/>
      <c r="F792" s="84"/>
      <c r="G792" s="84"/>
      <c r="H792" s="84"/>
    </row>
    <row r="793" spans="4:8" ht="15.6">
      <c r="D793" s="84"/>
      <c r="E793" s="84"/>
      <c r="F793" s="84"/>
      <c r="G793" s="84"/>
      <c r="H793" s="84"/>
    </row>
    <row r="794" spans="4:8" ht="15.6">
      <c r="D794" s="84"/>
      <c r="E794" s="84"/>
      <c r="F794" s="84"/>
      <c r="G794" s="84"/>
      <c r="H794" s="84"/>
    </row>
    <row r="795" spans="4:8" ht="15.6">
      <c r="D795" s="84"/>
      <c r="E795" s="84"/>
      <c r="F795" s="84"/>
      <c r="G795" s="84"/>
      <c r="H795" s="84"/>
    </row>
    <row r="796" spans="4:8" ht="15.6">
      <c r="D796" s="84"/>
      <c r="E796" s="84"/>
      <c r="F796" s="84"/>
      <c r="G796" s="84"/>
      <c r="H796" s="84"/>
    </row>
    <row r="797" spans="4:8" ht="15.6">
      <c r="D797" s="84"/>
      <c r="E797" s="84"/>
      <c r="F797" s="84"/>
      <c r="G797" s="84"/>
      <c r="H797" s="84"/>
    </row>
    <row r="798" spans="4:8" ht="15.6">
      <c r="D798" s="84"/>
      <c r="E798" s="84"/>
      <c r="F798" s="84"/>
      <c r="G798" s="84"/>
      <c r="H798" s="84"/>
    </row>
    <row r="799" spans="4:8" ht="15.6">
      <c r="D799" s="84"/>
      <c r="E799" s="84"/>
      <c r="F799" s="84"/>
      <c r="G799" s="84"/>
      <c r="H799" s="84"/>
    </row>
    <row r="800" spans="4:8" ht="15.6">
      <c r="D800" s="84"/>
      <c r="E800" s="84"/>
      <c r="F800" s="84"/>
      <c r="G800" s="84"/>
      <c r="H800" s="84"/>
    </row>
    <row r="801" spans="4:8" ht="15.6">
      <c r="D801" s="84"/>
      <c r="E801" s="84"/>
      <c r="F801" s="84"/>
      <c r="G801" s="84"/>
      <c r="H801" s="84"/>
    </row>
    <row r="802" spans="4:8" ht="15.6">
      <c r="D802" s="84"/>
      <c r="E802" s="84"/>
      <c r="F802" s="84"/>
      <c r="G802" s="84"/>
      <c r="H802" s="84"/>
    </row>
    <row r="803" spans="4:8" ht="15.6">
      <c r="D803" s="84"/>
      <c r="E803" s="84"/>
      <c r="F803" s="84"/>
      <c r="G803" s="84"/>
      <c r="H803" s="84"/>
    </row>
    <row r="804" spans="4:8" ht="15.6">
      <c r="D804" s="84"/>
      <c r="E804" s="84"/>
      <c r="F804" s="84"/>
      <c r="G804" s="84"/>
      <c r="H804" s="84"/>
    </row>
    <row r="805" spans="4:8" ht="15.6">
      <c r="D805" s="84"/>
      <c r="E805" s="84"/>
      <c r="F805" s="84"/>
      <c r="G805" s="84"/>
      <c r="H805" s="84"/>
    </row>
    <row r="806" spans="4:8" ht="15.6">
      <c r="D806" s="84"/>
      <c r="E806" s="84"/>
      <c r="F806" s="84"/>
      <c r="G806" s="84"/>
      <c r="H806" s="84"/>
    </row>
    <row r="807" spans="4:8" ht="15.6">
      <c r="D807" s="84"/>
      <c r="E807" s="84"/>
      <c r="F807" s="84"/>
      <c r="G807" s="84"/>
      <c r="H807" s="84"/>
    </row>
    <row r="808" spans="4:8" ht="15.6">
      <c r="D808" s="84"/>
      <c r="E808" s="84"/>
      <c r="F808" s="84"/>
      <c r="G808" s="84"/>
      <c r="H808" s="84"/>
    </row>
    <row r="809" spans="4:8" ht="15.6">
      <c r="D809" s="84"/>
      <c r="E809" s="84"/>
      <c r="F809" s="84"/>
      <c r="G809" s="84"/>
      <c r="H809" s="84"/>
    </row>
    <row r="810" spans="4:8" ht="15.6">
      <c r="D810" s="84"/>
      <c r="E810" s="84"/>
      <c r="F810" s="84"/>
      <c r="G810" s="84"/>
      <c r="H810" s="84"/>
    </row>
    <row r="811" spans="4:8" ht="15.6">
      <c r="D811" s="84"/>
      <c r="E811" s="84"/>
      <c r="F811" s="84"/>
      <c r="G811" s="84"/>
      <c r="H811" s="84"/>
    </row>
    <row r="812" spans="4:8" ht="15.6">
      <c r="D812" s="84"/>
      <c r="E812" s="84"/>
      <c r="F812" s="84"/>
      <c r="G812" s="84"/>
      <c r="H812" s="84"/>
    </row>
    <row r="813" spans="4:8" ht="15.6">
      <c r="D813" s="84"/>
      <c r="E813" s="84"/>
      <c r="F813" s="84"/>
      <c r="G813" s="84"/>
      <c r="H813" s="84"/>
    </row>
    <row r="814" spans="4:8" ht="15.6">
      <c r="D814" s="84"/>
      <c r="E814" s="84"/>
      <c r="F814" s="84"/>
      <c r="G814" s="84"/>
      <c r="H814" s="84"/>
    </row>
    <row r="815" spans="4:8" ht="15.6">
      <c r="D815" s="84"/>
      <c r="E815" s="84"/>
      <c r="F815" s="84"/>
      <c r="G815" s="84"/>
      <c r="H815" s="84"/>
    </row>
    <row r="816" spans="4:8" ht="15.6">
      <c r="D816" s="84"/>
      <c r="E816" s="84"/>
      <c r="F816" s="84"/>
      <c r="G816" s="84"/>
      <c r="H816" s="84"/>
    </row>
    <row r="817" spans="4:8" ht="15.6">
      <c r="D817" s="84"/>
      <c r="E817" s="84"/>
      <c r="F817" s="84"/>
      <c r="G817" s="84"/>
      <c r="H817" s="84"/>
    </row>
    <row r="818" spans="4:8" ht="15.6">
      <c r="D818" s="84"/>
      <c r="E818" s="84"/>
      <c r="F818" s="84"/>
      <c r="G818" s="84"/>
      <c r="H818" s="84"/>
    </row>
    <row r="819" spans="4:8" ht="15.6">
      <c r="D819" s="84"/>
      <c r="E819" s="84"/>
      <c r="F819" s="84"/>
      <c r="G819" s="84"/>
      <c r="H819" s="84"/>
    </row>
    <row r="820" spans="4:8" ht="15.6">
      <c r="D820" s="84"/>
      <c r="E820" s="84"/>
      <c r="F820" s="84"/>
      <c r="G820" s="84"/>
      <c r="H820" s="84"/>
    </row>
    <row r="821" spans="4:8" ht="15.6">
      <c r="D821" s="84"/>
      <c r="E821" s="84"/>
      <c r="F821" s="84"/>
      <c r="G821" s="84"/>
      <c r="H821" s="84"/>
    </row>
    <row r="822" spans="4:8" ht="15.6">
      <c r="D822" s="84"/>
      <c r="E822" s="84"/>
      <c r="F822" s="84"/>
      <c r="G822" s="84"/>
      <c r="H822" s="84"/>
    </row>
    <row r="823" spans="4:8" ht="15.6">
      <c r="D823" s="84"/>
      <c r="E823" s="84"/>
      <c r="F823" s="84"/>
      <c r="G823" s="84"/>
      <c r="H823" s="84"/>
    </row>
    <row r="824" spans="4:8" ht="15.6">
      <c r="D824" s="84"/>
      <c r="E824" s="84"/>
      <c r="F824" s="84"/>
      <c r="G824" s="84"/>
      <c r="H824" s="84"/>
    </row>
    <row r="825" spans="4:8" ht="15.6">
      <c r="D825" s="84"/>
      <c r="E825" s="84"/>
      <c r="F825" s="84"/>
      <c r="G825" s="84"/>
      <c r="H825" s="84"/>
    </row>
    <row r="826" spans="4:8" ht="15.6">
      <c r="D826" s="84"/>
      <c r="E826" s="84"/>
      <c r="F826" s="84"/>
      <c r="G826" s="84"/>
      <c r="H826" s="84"/>
    </row>
    <row r="827" spans="4:8" ht="15.6">
      <c r="D827" s="84"/>
      <c r="E827" s="84"/>
      <c r="F827" s="84"/>
      <c r="G827" s="84"/>
      <c r="H827" s="84"/>
    </row>
    <row r="828" spans="4:8" ht="15.6">
      <c r="D828" s="84"/>
      <c r="E828" s="84"/>
      <c r="F828" s="84"/>
      <c r="G828" s="84"/>
      <c r="H828" s="84"/>
    </row>
    <row r="829" spans="4:8" ht="15.6">
      <c r="D829" s="84"/>
      <c r="E829" s="84"/>
      <c r="F829" s="84"/>
      <c r="G829" s="84"/>
      <c r="H829" s="84"/>
    </row>
    <row r="830" spans="4:8" ht="15.6">
      <c r="D830" s="84"/>
      <c r="E830" s="84"/>
      <c r="F830" s="84"/>
      <c r="G830" s="84"/>
      <c r="H830" s="84"/>
    </row>
    <row r="831" spans="4:8" ht="15.6">
      <c r="D831" s="84"/>
      <c r="E831" s="84"/>
      <c r="F831" s="84"/>
      <c r="G831" s="84"/>
      <c r="H831" s="84"/>
    </row>
    <row r="832" spans="4:8" ht="15.6">
      <c r="D832" s="84"/>
      <c r="E832" s="84"/>
      <c r="F832" s="84"/>
      <c r="G832" s="84"/>
      <c r="H832" s="84"/>
    </row>
    <row r="833" spans="4:8" ht="15.6">
      <c r="D833" s="84"/>
      <c r="E833" s="84"/>
      <c r="F833" s="84"/>
      <c r="G833" s="84"/>
      <c r="H833" s="84"/>
    </row>
    <row r="834" spans="4:8" ht="15.6">
      <c r="D834" s="84"/>
      <c r="E834" s="84"/>
      <c r="F834" s="84"/>
      <c r="G834" s="84"/>
      <c r="H834" s="84"/>
    </row>
    <row r="835" spans="4:8" ht="15.6">
      <c r="D835" s="84"/>
      <c r="E835" s="84"/>
      <c r="F835" s="84"/>
      <c r="G835" s="84"/>
      <c r="H835" s="84"/>
    </row>
    <row r="836" spans="4:8" ht="15.6">
      <c r="D836" s="84"/>
      <c r="E836" s="84"/>
      <c r="F836" s="84"/>
      <c r="G836" s="84"/>
      <c r="H836" s="84"/>
    </row>
    <row r="837" spans="4:8" ht="15.6">
      <c r="D837" s="84"/>
      <c r="E837" s="84"/>
      <c r="F837" s="84"/>
      <c r="G837" s="84"/>
      <c r="H837" s="84"/>
    </row>
    <row r="838" spans="4:8" ht="15.6">
      <c r="D838" s="84"/>
      <c r="E838" s="84"/>
      <c r="F838" s="84"/>
      <c r="G838" s="84"/>
      <c r="H838" s="84"/>
    </row>
    <row r="839" spans="4:8" ht="15.6">
      <c r="D839" s="84"/>
      <c r="E839" s="84"/>
      <c r="F839" s="84"/>
      <c r="G839" s="84"/>
      <c r="H839" s="84"/>
    </row>
    <row r="840" spans="4:8" ht="15.6">
      <c r="D840" s="84"/>
      <c r="E840" s="84"/>
      <c r="F840" s="84"/>
      <c r="G840" s="84"/>
      <c r="H840" s="84"/>
    </row>
    <row r="841" spans="4:8" ht="15.6">
      <c r="D841" s="84"/>
      <c r="E841" s="84"/>
      <c r="F841" s="84"/>
      <c r="G841" s="84"/>
      <c r="H841" s="84"/>
    </row>
    <row r="842" spans="4:8" ht="15.6">
      <c r="D842" s="84"/>
      <c r="E842" s="84"/>
      <c r="F842" s="84"/>
      <c r="G842" s="84"/>
      <c r="H842" s="84"/>
    </row>
    <row r="843" spans="4:8" ht="15.6">
      <c r="D843" s="84"/>
      <c r="E843" s="84"/>
      <c r="F843" s="84"/>
      <c r="G843" s="84"/>
      <c r="H843" s="84"/>
    </row>
    <row r="844" spans="4:8" ht="15.6">
      <c r="D844" s="84"/>
      <c r="E844" s="84"/>
      <c r="F844" s="84"/>
      <c r="G844" s="84"/>
      <c r="H844" s="84"/>
    </row>
    <row r="845" spans="4:8" ht="15.6">
      <c r="D845" s="84"/>
      <c r="E845" s="84"/>
      <c r="F845" s="84"/>
      <c r="G845" s="84"/>
      <c r="H845" s="84"/>
    </row>
    <row r="846" spans="4:8" ht="15.6">
      <c r="D846" s="84"/>
      <c r="E846" s="84"/>
      <c r="F846" s="84"/>
      <c r="G846" s="84"/>
      <c r="H846" s="84"/>
    </row>
    <row r="847" spans="4:8" ht="15.6">
      <c r="D847" s="84"/>
      <c r="E847" s="84"/>
      <c r="F847" s="84"/>
      <c r="G847" s="84"/>
      <c r="H847" s="84"/>
    </row>
    <row r="848" spans="4:8" ht="15.6">
      <c r="D848" s="84"/>
      <c r="E848" s="84"/>
      <c r="F848" s="84"/>
      <c r="G848" s="84"/>
      <c r="H848" s="84"/>
    </row>
    <row r="849" spans="4:8" ht="15.6">
      <c r="D849" s="84"/>
      <c r="E849" s="84"/>
      <c r="F849" s="84"/>
      <c r="G849" s="84"/>
      <c r="H849" s="84"/>
    </row>
    <row r="850" spans="4:8" ht="15.6">
      <c r="D850" s="84"/>
      <c r="E850" s="84"/>
      <c r="F850" s="84"/>
      <c r="G850" s="84"/>
      <c r="H850" s="84"/>
    </row>
    <row r="851" spans="4:8" ht="15.6">
      <c r="D851" s="84"/>
      <c r="E851" s="84"/>
      <c r="F851" s="84"/>
      <c r="G851" s="84"/>
      <c r="H851" s="84"/>
    </row>
    <row r="852" spans="4:8" ht="15.6">
      <c r="D852" s="84"/>
      <c r="E852" s="84"/>
      <c r="F852" s="84"/>
      <c r="G852" s="84"/>
      <c r="H852" s="84"/>
    </row>
    <row r="853" spans="4:8" ht="15.6">
      <c r="D853" s="84"/>
      <c r="E853" s="84"/>
      <c r="F853" s="84"/>
      <c r="G853" s="84"/>
      <c r="H853" s="84"/>
    </row>
    <row r="854" spans="4:8" ht="15.6">
      <c r="D854" s="84"/>
      <c r="E854" s="84"/>
      <c r="F854" s="84"/>
      <c r="G854" s="84"/>
      <c r="H854" s="84"/>
    </row>
    <row r="855" spans="4:8" ht="15.6">
      <c r="D855" s="84"/>
      <c r="E855" s="84"/>
      <c r="F855" s="84"/>
      <c r="G855" s="84"/>
      <c r="H855" s="84"/>
    </row>
    <row r="856" spans="4:8" ht="15.6">
      <c r="D856" s="84"/>
      <c r="E856" s="84"/>
      <c r="F856" s="84"/>
      <c r="G856" s="84"/>
      <c r="H856" s="84"/>
    </row>
    <row r="857" spans="4:8" ht="15.6">
      <c r="D857" s="84"/>
      <c r="E857" s="84"/>
      <c r="F857" s="84"/>
      <c r="G857" s="84"/>
      <c r="H857" s="84"/>
    </row>
    <row r="858" spans="4:8" ht="15.6">
      <c r="D858" s="84"/>
      <c r="E858" s="84"/>
      <c r="F858" s="84"/>
      <c r="G858" s="84"/>
      <c r="H858" s="84"/>
    </row>
    <row r="859" spans="4:8" ht="15.6">
      <c r="D859" s="84"/>
      <c r="E859" s="84"/>
      <c r="F859" s="84"/>
      <c r="G859" s="84"/>
      <c r="H859" s="84"/>
    </row>
    <row r="860" spans="4:8" ht="15.6">
      <c r="D860" s="84"/>
      <c r="E860" s="84"/>
      <c r="F860" s="84"/>
      <c r="G860" s="84"/>
      <c r="H860" s="84"/>
    </row>
    <row r="861" spans="4:8" ht="15.6">
      <c r="D861" s="84"/>
      <c r="E861" s="84"/>
      <c r="F861" s="84"/>
      <c r="G861" s="84"/>
      <c r="H861" s="84"/>
    </row>
    <row r="862" spans="4:8" ht="15.6">
      <c r="D862" s="84"/>
      <c r="E862" s="84"/>
      <c r="F862" s="84"/>
      <c r="G862" s="84"/>
      <c r="H862" s="84"/>
    </row>
    <row r="863" spans="4:8" ht="15.6">
      <c r="D863" s="84"/>
      <c r="E863" s="84"/>
      <c r="F863" s="84"/>
      <c r="G863" s="84"/>
      <c r="H863" s="84"/>
    </row>
    <row r="864" spans="4:8" ht="15.6">
      <c r="D864" s="84"/>
      <c r="E864" s="84"/>
      <c r="F864" s="84"/>
      <c r="G864" s="84"/>
      <c r="H864" s="84"/>
    </row>
    <row r="865" spans="4:8" ht="15.6">
      <c r="D865" s="84"/>
      <c r="E865" s="84"/>
      <c r="F865" s="84"/>
      <c r="G865" s="84"/>
      <c r="H865" s="84"/>
    </row>
    <row r="866" spans="4:8" ht="15.6">
      <c r="D866" s="84"/>
      <c r="E866" s="84"/>
      <c r="F866" s="84"/>
      <c r="G866" s="84"/>
      <c r="H866" s="84"/>
    </row>
    <row r="867" spans="4:8" ht="15.6">
      <c r="D867" s="84"/>
      <c r="E867" s="84"/>
      <c r="F867" s="84"/>
      <c r="G867" s="84"/>
      <c r="H867" s="84"/>
    </row>
    <row r="868" spans="4:8" ht="15.6">
      <c r="D868" s="84"/>
      <c r="E868" s="84"/>
      <c r="F868" s="84"/>
      <c r="G868" s="84"/>
      <c r="H868" s="84"/>
    </row>
    <row r="869" spans="4:8" ht="15.6">
      <c r="D869" s="84"/>
      <c r="E869" s="84"/>
      <c r="F869" s="84"/>
      <c r="G869" s="84"/>
      <c r="H869" s="84"/>
    </row>
    <row r="870" spans="4:8" ht="15.6">
      <c r="D870" s="84"/>
      <c r="E870" s="84"/>
      <c r="F870" s="84"/>
      <c r="G870" s="84"/>
      <c r="H870" s="84"/>
    </row>
    <row r="871" spans="4:8" ht="15.6">
      <c r="D871" s="84"/>
      <c r="E871" s="84"/>
      <c r="F871" s="84"/>
      <c r="G871" s="84"/>
      <c r="H871" s="84"/>
    </row>
    <row r="872" spans="4:8" ht="15.6">
      <c r="D872" s="84"/>
      <c r="E872" s="84"/>
      <c r="F872" s="84"/>
      <c r="G872" s="84"/>
      <c r="H872" s="84"/>
    </row>
    <row r="873" spans="4:8" ht="15.6">
      <c r="D873" s="84"/>
      <c r="E873" s="84"/>
      <c r="F873" s="84"/>
      <c r="G873" s="84"/>
      <c r="H873" s="84"/>
    </row>
    <row r="874" spans="4:8" ht="15.6">
      <c r="D874" s="84"/>
      <c r="E874" s="84"/>
      <c r="F874" s="84"/>
      <c r="G874" s="84"/>
      <c r="H874" s="84"/>
    </row>
    <row r="875" spans="4:8" ht="15.6">
      <c r="D875" s="84"/>
      <c r="E875" s="84"/>
      <c r="F875" s="84"/>
      <c r="G875" s="84"/>
      <c r="H875" s="84"/>
    </row>
    <row r="876" spans="4:8" ht="15.6">
      <c r="D876" s="84"/>
      <c r="E876" s="84"/>
      <c r="F876" s="84"/>
      <c r="G876" s="84"/>
      <c r="H876" s="84"/>
    </row>
    <row r="877" spans="4:8" ht="15.6">
      <c r="D877" s="84"/>
      <c r="E877" s="84"/>
      <c r="F877" s="84"/>
      <c r="G877" s="84"/>
      <c r="H877" s="84"/>
    </row>
    <row r="878" spans="4:8" ht="15.6">
      <c r="D878" s="84"/>
      <c r="E878" s="84"/>
      <c r="F878" s="84"/>
      <c r="G878" s="84"/>
      <c r="H878" s="84"/>
    </row>
    <row r="879" spans="4:8" ht="15.6">
      <c r="D879" s="84"/>
      <c r="E879" s="84"/>
      <c r="F879" s="84"/>
      <c r="G879" s="84"/>
      <c r="H879" s="84"/>
    </row>
    <row r="880" spans="4:8" ht="15.6">
      <c r="D880" s="84"/>
      <c r="E880" s="84"/>
      <c r="F880" s="84"/>
      <c r="G880" s="84"/>
      <c r="H880" s="84"/>
    </row>
    <row r="881" spans="4:8" ht="15.6">
      <c r="D881" s="84"/>
      <c r="E881" s="84"/>
      <c r="F881" s="84"/>
      <c r="G881" s="84"/>
      <c r="H881" s="84"/>
    </row>
    <row r="882" spans="4:8" ht="15.6">
      <c r="D882" s="84"/>
      <c r="E882" s="84"/>
      <c r="F882" s="84"/>
      <c r="G882" s="84"/>
      <c r="H882" s="84"/>
    </row>
    <row r="883" spans="4:8" ht="15.6">
      <c r="D883" s="84"/>
      <c r="E883" s="84"/>
      <c r="F883" s="84"/>
      <c r="G883" s="84"/>
      <c r="H883" s="84"/>
    </row>
    <row r="884" spans="4:8" ht="15.6">
      <c r="D884" s="84"/>
      <c r="E884" s="84"/>
      <c r="F884" s="84"/>
      <c r="G884" s="84"/>
      <c r="H884" s="84"/>
    </row>
    <row r="885" spans="4:8" ht="15.6">
      <c r="D885" s="84"/>
      <c r="E885" s="84"/>
      <c r="F885" s="84"/>
      <c r="G885" s="84"/>
      <c r="H885" s="84"/>
    </row>
    <row r="886" spans="4:8" ht="15.6">
      <c r="D886" s="84"/>
      <c r="E886" s="84"/>
      <c r="F886" s="84"/>
      <c r="G886" s="84"/>
      <c r="H886" s="84"/>
    </row>
    <row r="887" spans="4:8" ht="15.6">
      <c r="D887" s="84"/>
      <c r="E887" s="84"/>
      <c r="F887" s="84"/>
      <c r="G887" s="84"/>
      <c r="H887" s="84"/>
    </row>
    <row r="888" spans="4:8" ht="15.6">
      <c r="D888" s="84"/>
      <c r="E888" s="84"/>
      <c r="F888" s="84"/>
      <c r="G888" s="84"/>
      <c r="H888" s="84"/>
    </row>
    <row r="889" spans="4:8" ht="15.6">
      <c r="D889" s="84"/>
      <c r="E889" s="84"/>
      <c r="F889" s="84"/>
      <c r="G889" s="84"/>
      <c r="H889" s="84"/>
    </row>
    <row r="890" spans="4:8" ht="15.6">
      <c r="D890" s="84"/>
      <c r="E890" s="84"/>
      <c r="F890" s="84"/>
      <c r="G890" s="84"/>
      <c r="H890" s="84"/>
    </row>
    <row r="891" spans="4:8" ht="15.6">
      <c r="D891" s="84"/>
      <c r="E891" s="84"/>
      <c r="F891" s="84"/>
      <c r="G891" s="84"/>
      <c r="H891" s="84"/>
    </row>
    <row r="892" spans="4:8" ht="15.6">
      <c r="D892" s="84"/>
      <c r="E892" s="84"/>
      <c r="F892" s="84"/>
      <c r="G892" s="84"/>
      <c r="H892" s="84"/>
    </row>
    <row r="893" spans="4:8" ht="15.6">
      <c r="D893" s="84"/>
      <c r="E893" s="84"/>
      <c r="F893" s="84"/>
      <c r="G893" s="84"/>
      <c r="H893" s="84"/>
    </row>
    <row r="894" spans="4:8" ht="15.6">
      <c r="D894" s="84"/>
      <c r="E894" s="84"/>
      <c r="F894" s="84"/>
      <c r="G894" s="84"/>
      <c r="H894" s="84"/>
    </row>
    <row r="895" spans="4:8" ht="15.6">
      <c r="D895" s="84"/>
      <c r="E895" s="84"/>
      <c r="F895" s="84"/>
      <c r="G895" s="84"/>
      <c r="H895" s="84"/>
    </row>
    <row r="896" spans="4:8" ht="15.6">
      <c r="D896" s="84"/>
      <c r="E896" s="84"/>
      <c r="F896" s="84"/>
      <c r="G896" s="84"/>
      <c r="H896" s="84"/>
    </row>
    <row r="897" spans="4:8" ht="15.6">
      <c r="D897" s="84"/>
      <c r="E897" s="84"/>
      <c r="F897" s="84"/>
      <c r="G897" s="84"/>
      <c r="H897" s="84"/>
    </row>
    <row r="898" spans="4:8" ht="15.6">
      <c r="D898" s="84"/>
      <c r="E898" s="84"/>
      <c r="F898" s="84"/>
      <c r="G898" s="84"/>
      <c r="H898" s="84"/>
    </row>
    <row r="899" spans="4:8" ht="15.6">
      <c r="D899" s="84"/>
      <c r="E899" s="84"/>
      <c r="F899" s="84"/>
      <c r="G899" s="84"/>
      <c r="H899" s="84"/>
    </row>
    <row r="900" spans="4:8" ht="15.6">
      <c r="D900" s="84"/>
      <c r="E900" s="84"/>
      <c r="F900" s="84"/>
      <c r="G900" s="84"/>
      <c r="H900" s="84"/>
    </row>
    <row r="901" spans="4:8" ht="15.6">
      <c r="D901" s="84"/>
      <c r="E901" s="84"/>
      <c r="F901" s="84"/>
      <c r="G901" s="84"/>
      <c r="H901" s="84"/>
    </row>
    <row r="902" spans="4:8" ht="15.6">
      <c r="D902" s="84"/>
      <c r="E902" s="84"/>
      <c r="F902" s="84"/>
      <c r="G902" s="84"/>
      <c r="H902" s="84"/>
    </row>
    <row r="903" spans="4:8" ht="15.6">
      <c r="D903" s="84"/>
      <c r="E903" s="84"/>
      <c r="F903" s="84"/>
      <c r="G903" s="84"/>
      <c r="H903" s="84"/>
    </row>
    <row r="904" spans="4:8" ht="15.6">
      <c r="D904" s="84"/>
      <c r="E904" s="84"/>
      <c r="F904" s="84"/>
      <c r="G904" s="84"/>
      <c r="H904" s="84"/>
    </row>
    <row r="905" spans="4:8" ht="15.6">
      <c r="D905" s="84"/>
      <c r="E905" s="84"/>
      <c r="F905" s="84"/>
      <c r="G905" s="84"/>
      <c r="H905" s="84"/>
    </row>
    <row r="906" spans="4:8" ht="15.6">
      <c r="D906" s="84"/>
      <c r="E906" s="84"/>
      <c r="F906" s="84"/>
      <c r="G906" s="84"/>
      <c r="H906" s="84"/>
    </row>
    <row r="907" spans="4:8" ht="15.6">
      <c r="D907" s="84"/>
      <c r="E907" s="84"/>
      <c r="F907" s="84"/>
      <c r="G907" s="84"/>
      <c r="H907" s="84"/>
    </row>
    <row r="908" spans="4:8" ht="15.6">
      <c r="D908" s="84"/>
      <c r="E908" s="84"/>
      <c r="F908" s="84"/>
      <c r="G908" s="84"/>
      <c r="H908" s="84"/>
    </row>
    <row r="909" spans="4:8" ht="15.6">
      <c r="D909" s="84"/>
      <c r="E909" s="84"/>
      <c r="F909" s="84"/>
      <c r="G909" s="84"/>
      <c r="H909" s="84"/>
    </row>
    <row r="910" spans="4:8" ht="15.6">
      <c r="D910" s="84"/>
      <c r="E910" s="84"/>
      <c r="F910" s="84"/>
      <c r="G910" s="84"/>
      <c r="H910" s="84"/>
    </row>
    <row r="911" spans="4:8" ht="15.6">
      <c r="D911" s="84"/>
      <c r="E911" s="84"/>
      <c r="F911" s="84"/>
      <c r="G911" s="84"/>
      <c r="H911" s="84"/>
    </row>
    <row r="912" spans="4:8" ht="15.6">
      <c r="D912" s="84"/>
      <c r="E912" s="84"/>
      <c r="F912" s="84"/>
      <c r="G912" s="84"/>
      <c r="H912" s="84"/>
    </row>
    <row r="913" spans="4:8" ht="15.6">
      <c r="D913" s="84"/>
      <c r="E913" s="84"/>
      <c r="F913" s="84"/>
      <c r="G913" s="84"/>
      <c r="H913" s="84"/>
    </row>
    <row r="914" spans="4:8" ht="15.6">
      <c r="D914" s="84"/>
      <c r="E914" s="84"/>
      <c r="F914" s="84"/>
      <c r="G914" s="84"/>
      <c r="H914" s="84"/>
    </row>
    <row r="915" spans="4:8" ht="15.6">
      <c r="D915" s="84"/>
      <c r="E915" s="84"/>
      <c r="F915" s="84"/>
      <c r="G915" s="84"/>
      <c r="H915" s="84"/>
    </row>
    <row r="916" spans="4:8" ht="15.6">
      <c r="D916" s="84"/>
      <c r="E916" s="84"/>
      <c r="F916" s="84"/>
      <c r="G916" s="84"/>
      <c r="H916" s="84"/>
    </row>
    <row r="917" spans="4:8" ht="15.6">
      <c r="D917" s="84"/>
      <c r="E917" s="84"/>
      <c r="F917" s="84"/>
      <c r="G917" s="84"/>
      <c r="H917" s="84"/>
    </row>
    <row r="918" spans="4:8" ht="15.6">
      <c r="D918" s="84"/>
      <c r="E918" s="84"/>
      <c r="F918" s="84"/>
      <c r="G918" s="84"/>
      <c r="H918" s="84"/>
    </row>
    <row r="919" spans="4:8" ht="15.6">
      <c r="D919" s="84"/>
      <c r="E919" s="84"/>
      <c r="F919" s="84"/>
      <c r="G919" s="84"/>
      <c r="H919" s="84"/>
    </row>
    <row r="920" spans="4:8" ht="15.6">
      <c r="D920" s="84"/>
      <c r="E920" s="84"/>
      <c r="F920" s="84"/>
      <c r="G920" s="84"/>
      <c r="H920" s="84"/>
    </row>
    <row r="921" spans="4:8" ht="15.6">
      <c r="D921" s="84"/>
      <c r="E921" s="84"/>
      <c r="F921" s="84"/>
      <c r="G921" s="84"/>
      <c r="H921" s="84"/>
    </row>
    <row r="922" spans="4:8" ht="15.6">
      <c r="D922" s="84"/>
      <c r="E922" s="84"/>
      <c r="F922" s="84"/>
      <c r="G922" s="84"/>
      <c r="H922" s="84"/>
    </row>
    <row r="923" spans="4:8" ht="15.6">
      <c r="D923" s="84"/>
      <c r="E923" s="84"/>
      <c r="F923" s="84"/>
      <c r="G923" s="84"/>
      <c r="H923" s="84"/>
    </row>
    <row r="924" spans="4:8" ht="15.6">
      <c r="D924" s="84"/>
      <c r="E924" s="84"/>
      <c r="F924" s="84"/>
      <c r="G924" s="84"/>
      <c r="H924" s="84"/>
    </row>
    <row r="925" spans="4:8" ht="15.6">
      <c r="D925" s="84"/>
      <c r="E925" s="84"/>
      <c r="F925" s="84"/>
      <c r="G925" s="84"/>
      <c r="H925" s="84"/>
    </row>
    <row r="926" spans="4:8" ht="15.6">
      <c r="D926" s="84"/>
      <c r="E926" s="84"/>
      <c r="F926" s="84"/>
      <c r="G926" s="84"/>
      <c r="H926" s="84"/>
    </row>
    <row r="927" spans="4:8" ht="15.6">
      <c r="D927" s="84"/>
      <c r="E927" s="84"/>
      <c r="F927" s="84"/>
      <c r="G927" s="84"/>
      <c r="H927" s="84"/>
    </row>
    <row r="928" spans="4:8" ht="15.6">
      <c r="D928" s="84"/>
      <c r="E928" s="84"/>
      <c r="F928" s="84"/>
      <c r="G928" s="84"/>
      <c r="H928" s="84"/>
    </row>
    <row r="929" spans="4:8" ht="15.6">
      <c r="D929" s="84"/>
      <c r="E929" s="84"/>
      <c r="F929" s="84"/>
      <c r="G929" s="84"/>
      <c r="H929" s="84"/>
    </row>
    <row r="930" spans="4:8" ht="15.6">
      <c r="D930" s="84"/>
      <c r="E930" s="84"/>
      <c r="F930" s="84"/>
      <c r="G930" s="84"/>
      <c r="H930" s="84"/>
    </row>
    <row r="931" spans="4:8" ht="15.6">
      <c r="D931" s="84"/>
      <c r="E931" s="84"/>
      <c r="F931" s="84"/>
      <c r="G931" s="84"/>
      <c r="H931" s="84"/>
    </row>
    <row r="932" spans="4:8" ht="15.6">
      <c r="D932" s="84"/>
      <c r="E932" s="84"/>
      <c r="F932" s="84"/>
      <c r="G932" s="84"/>
      <c r="H932" s="84"/>
    </row>
    <row r="933" spans="4:8" ht="15.6">
      <c r="D933" s="84"/>
      <c r="E933" s="84"/>
      <c r="F933" s="84"/>
      <c r="G933" s="84"/>
      <c r="H933" s="84"/>
    </row>
    <row r="934" spans="4:8" ht="15.6">
      <c r="D934" s="84"/>
      <c r="E934" s="84"/>
      <c r="F934" s="84"/>
      <c r="G934" s="84"/>
      <c r="H934" s="84"/>
    </row>
    <row r="935" spans="4:8" ht="15.6">
      <c r="D935" s="84"/>
      <c r="E935" s="84"/>
      <c r="F935" s="84"/>
      <c r="G935" s="84"/>
      <c r="H935" s="84"/>
    </row>
    <row r="936" spans="4:8" ht="15.6">
      <c r="D936" s="84"/>
      <c r="E936" s="84"/>
      <c r="F936" s="84"/>
      <c r="G936" s="84"/>
      <c r="H936" s="84"/>
    </row>
    <row r="937" spans="4:8" ht="15.6">
      <c r="D937" s="84"/>
      <c r="E937" s="84"/>
      <c r="F937" s="84"/>
      <c r="G937" s="84"/>
      <c r="H937" s="84"/>
    </row>
    <row r="938" spans="4:8" ht="15.6">
      <c r="D938" s="84"/>
      <c r="E938" s="84"/>
      <c r="F938" s="84"/>
      <c r="G938" s="84"/>
      <c r="H938" s="84"/>
    </row>
    <row r="939" spans="4:8" ht="15.6">
      <c r="D939" s="84"/>
      <c r="E939" s="84"/>
      <c r="F939" s="84"/>
      <c r="G939" s="84"/>
      <c r="H939" s="84"/>
    </row>
    <row r="940" spans="4:8" ht="15.6">
      <c r="D940" s="84"/>
      <c r="E940" s="84"/>
      <c r="F940" s="84"/>
      <c r="G940" s="84"/>
      <c r="H940" s="84"/>
    </row>
    <row r="941" spans="4:8" ht="15.6">
      <c r="D941" s="84"/>
      <c r="E941" s="84"/>
      <c r="F941" s="84"/>
      <c r="G941" s="84"/>
      <c r="H941" s="84"/>
    </row>
    <row r="942" spans="4:8" ht="15.6">
      <c r="D942" s="84"/>
      <c r="E942" s="84"/>
      <c r="F942" s="84"/>
      <c r="G942" s="84"/>
      <c r="H942" s="84"/>
    </row>
    <row r="943" spans="4:8" ht="15.6">
      <c r="D943" s="84"/>
      <c r="E943" s="84"/>
      <c r="F943" s="84"/>
      <c r="G943" s="84"/>
      <c r="H943" s="84"/>
    </row>
    <row r="944" spans="4:8" ht="15.6">
      <c r="D944" s="84"/>
      <c r="E944" s="84"/>
      <c r="F944" s="84"/>
      <c r="G944" s="84"/>
      <c r="H944" s="84"/>
    </row>
    <row r="945" spans="4:8" ht="15.6">
      <c r="D945" s="84"/>
      <c r="E945" s="84"/>
      <c r="F945" s="84"/>
      <c r="G945" s="84"/>
      <c r="H945" s="84"/>
    </row>
    <row r="946" spans="4:8" ht="15.6">
      <c r="D946" s="84"/>
      <c r="E946" s="84"/>
      <c r="F946" s="84"/>
      <c r="G946" s="84"/>
      <c r="H946" s="84"/>
    </row>
    <row r="947" spans="4:8" ht="15.6">
      <c r="D947" s="84"/>
      <c r="E947" s="84"/>
      <c r="F947" s="84"/>
      <c r="G947" s="84"/>
      <c r="H947" s="84"/>
    </row>
    <row r="948" spans="4:8" ht="15.6">
      <c r="D948" s="84"/>
      <c r="E948" s="84"/>
      <c r="F948" s="84"/>
      <c r="G948" s="84"/>
      <c r="H948" s="84"/>
    </row>
    <row r="949" spans="4:8" ht="15.6">
      <c r="D949" s="84"/>
      <c r="E949" s="84"/>
      <c r="F949" s="84"/>
      <c r="G949" s="84"/>
      <c r="H949" s="84"/>
    </row>
    <row r="950" spans="4:8" ht="15.6">
      <c r="D950" s="84"/>
      <c r="E950" s="84"/>
      <c r="F950" s="84"/>
      <c r="G950" s="84"/>
      <c r="H950" s="84"/>
    </row>
    <row r="951" spans="4:8" ht="15.6">
      <c r="D951" s="84"/>
      <c r="E951" s="84"/>
      <c r="F951" s="84"/>
      <c r="G951" s="84"/>
      <c r="H951" s="84"/>
    </row>
    <row r="952" spans="4:8" ht="15.6">
      <c r="D952" s="84"/>
      <c r="E952" s="84"/>
      <c r="F952" s="84"/>
      <c r="G952" s="84"/>
      <c r="H952" s="84"/>
    </row>
    <row r="953" spans="4:8" ht="15.6">
      <c r="D953" s="84"/>
      <c r="E953" s="84"/>
      <c r="F953" s="84"/>
      <c r="G953" s="84"/>
      <c r="H953" s="84"/>
    </row>
    <row r="954" spans="4:8" ht="15.6">
      <c r="D954" s="84"/>
      <c r="E954" s="84"/>
      <c r="F954" s="84"/>
      <c r="G954" s="84"/>
      <c r="H954" s="84"/>
    </row>
    <row r="955" spans="4:8" ht="15.6">
      <c r="D955" s="84"/>
      <c r="E955" s="84"/>
      <c r="F955" s="84"/>
      <c r="G955" s="84"/>
      <c r="H955" s="84"/>
    </row>
    <row r="956" spans="4:8" ht="15.6">
      <c r="D956" s="84"/>
      <c r="E956" s="84"/>
      <c r="F956" s="84"/>
      <c r="G956" s="84"/>
      <c r="H956" s="84"/>
    </row>
    <row r="957" spans="4:8" ht="15.6">
      <c r="D957" s="84"/>
      <c r="E957" s="84"/>
      <c r="F957" s="84"/>
      <c r="G957" s="84"/>
      <c r="H957" s="84"/>
    </row>
    <row r="958" spans="4:8" ht="15.6">
      <c r="D958" s="84"/>
      <c r="E958" s="84"/>
      <c r="F958" s="84"/>
      <c r="G958" s="84"/>
      <c r="H958" s="84"/>
    </row>
    <row r="959" spans="4:8" ht="15.6">
      <c r="D959" s="84"/>
      <c r="E959" s="84"/>
      <c r="F959" s="84"/>
      <c r="G959" s="84"/>
      <c r="H959" s="84"/>
    </row>
    <row r="960" spans="4:8" ht="15.6">
      <c r="D960" s="84"/>
      <c r="E960" s="84"/>
      <c r="F960" s="84"/>
      <c r="G960" s="84"/>
      <c r="H960" s="84"/>
    </row>
    <row r="961" spans="4:8" ht="15.6">
      <c r="D961" s="84"/>
      <c r="E961" s="84"/>
      <c r="F961" s="84"/>
      <c r="G961" s="84"/>
      <c r="H961" s="84"/>
    </row>
    <row r="962" spans="4:8" ht="15.6">
      <c r="D962" s="84"/>
      <c r="E962" s="84"/>
      <c r="F962" s="84"/>
      <c r="G962" s="84"/>
      <c r="H962" s="84"/>
    </row>
    <row r="963" spans="4:8" ht="15.6">
      <c r="D963" s="84"/>
      <c r="E963" s="84"/>
      <c r="F963" s="84"/>
      <c r="G963" s="84"/>
      <c r="H963" s="84"/>
    </row>
    <row r="964" spans="4:8" ht="15.6">
      <c r="D964" s="84"/>
      <c r="E964" s="84"/>
      <c r="F964" s="84"/>
      <c r="G964" s="84"/>
      <c r="H964" s="84"/>
    </row>
    <row r="965" spans="4:8" ht="15.6">
      <c r="D965" s="84"/>
      <c r="E965" s="84"/>
      <c r="F965" s="84"/>
      <c r="G965" s="84"/>
      <c r="H965" s="84"/>
    </row>
    <row r="966" spans="4:8" ht="15.6">
      <c r="D966" s="84"/>
      <c r="E966" s="84"/>
      <c r="F966" s="84"/>
      <c r="G966" s="84"/>
      <c r="H966" s="84"/>
    </row>
    <row r="967" spans="4:8" ht="15.6">
      <c r="D967" s="84"/>
      <c r="E967" s="84"/>
      <c r="F967" s="84"/>
      <c r="G967" s="84"/>
      <c r="H967" s="84"/>
    </row>
    <row r="968" spans="4:8" ht="15.6">
      <c r="D968" s="84"/>
      <c r="E968" s="84"/>
      <c r="F968" s="84"/>
      <c r="G968" s="84"/>
      <c r="H968" s="84"/>
    </row>
    <row r="969" spans="4:8" ht="15.6">
      <c r="D969" s="84"/>
      <c r="E969" s="84"/>
      <c r="F969" s="84"/>
      <c r="G969" s="84"/>
      <c r="H969" s="84"/>
    </row>
    <row r="970" spans="4:8" ht="15.6">
      <c r="D970" s="84"/>
      <c r="E970" s="84"/>
      <c r="F970" s="84"/>
      <c r="G970" s="84"/>
      <c r="H970" s="84"/>
    </row>
    <row r="971" spans="4:8" ht="15.6">
      <c r="D971" s="84"/>
      <c r="E971" s="84"/>
      <c r="F971" s="84"/>
      <c r="G971" s="84"/>
      <c r="H971" s="84"/>
    </row>
    <row r="972" spans="4:8" ht="15.6">
      <c r="D972" s="84"/>
      <c r="E972" s="84"/>
      <c r="F972" s="84"/>
      <c r="G972" s="84"/>
      <c r="H972" s="84"/>
    </row>
    <row r="973" spans="4:8" ht="15.6">
      <c r="D973" s="84"/>
      <c r="E973" s="84"/>
      <c r="F973" s="84"/>
      <c r="G973" s="84"/>
      <c r="H973" s="84"/>
    </row>
    <row r="974" spans="4:8" ht="15.6">
      <c r="D974" s="84"/>
      <c r="E974" s="84"/>
      <c r="F974" s="84"/>
      <c r="G974" s="84"/>
      <c r="H974" s="84"/>
    </row>
    <row r="975" spans="4:8" ht="15.6">
      <c r="D975" s="84"/>
      <c r="E975" s="84"/>
      <c r="F975" s="84"/>
      <c r="G975" s="84"/>
      <c r="H975" s="84"/>
    </row>
    <row r="976" spans="4:8" ht="15.6">
      <c r="D976" s="84"/>
      <c r="E976" s="84"/>
      <c r="F976" s="84"/>
      <c r="G976" s="84"/>
      <c r="H976" s="84"/>
    </row>
    <row r="977" spans="4:8" ht="15.6">
      <c r="D977" s="84"/>
      <c r="E977" s="84"/>
      <c r="F977" s="84"/>
      <c r="G977" s="84"/>
      <c r="H977" s="84"/>
    </row>
    <row r="978" spans="4:8" ht="15.6">
      <c r="D978" s="84"/>
      <c r="E978" s="84"/>
      <c r="F978" s="84"/>
      <c r="G978" s="84"/>
      <c r="H978" s="84"/>
    </row>
    <row r="979" spans="4:8" ht="15.6">
      <c r="D979" s="84"/>
      <c r="E979" s="84"/>
      <c r="F979" s="84"/>
      <c r="G979" s="84"/>
      <c r="H979" s="84"/>
    </row>
    <row r="980" spans="4:8" ht="15.6">
      <c r="D980" s="84"/>
      <c r="E980" s="84"/>
      <c r="F980" s="84"/>
      <c r="G980" s="84"/>
      <c r="H980" s="84"/>
    </row>
    <row r="981" spans="4:8" ht="15.6">
      <c r="D981" s="84"/>
      <c r="E981" s="84"/>
      <c r="F981" s="84"/>
      <c r="G981" s="84"/>
      <c r="H981" s="84"/>
    </row>
    <row r="982" spans="4:8" ht="15.6">
      <c r="D982" s="84"/>
      <c r="E982" s="84"/>
      <c r="F982" s="84"/>
      <c r="G982" s="84"/>
      <c r="H982" s="84"/>
    </row>
    <row r="983" spans="4:8" ht="15.6">
      <c r="D983" s="84"/>
      <c r="E983" s="84"/>
      <c r="F983" s="84"/>
      <c r="G983" s="84"/>
      <c r="H983" s="84"/>
    </row>
    <row r="984" spans="4:8" ht="15.6">
      <c r="D984" s="84"/>
      <c r="E984" s="84"/>
      <c r="F984" s="84"/>
      <c r="G984" s="84"/>
      <c r="H984" s="84"/>
    </row>
    <row r="985" spans="4:8" ht="15.6">
      <c r="D985" s="84"/>
      <c r="E985" s="84"/>
      <c r="F985" s="84"/>
      <c r="G985" s="84"/>
      <c r="H985" s="84"/>
    </row>
    <row r="986" spans="4:8" ht="15.6">
      <c r="D986" s="84"/>
      <c r="E986" s="84"/>
      <c r="F986" s="84"/>
      <c r="G986" s="84"/>
      <c r="H986" s="84"/>
    </row>
    <row r="987" spans="4:8" ht="15.6">
      <c r="D987" s="84"/>
      <c r="E987" s="84"/>
      <c r="F987" s="84"/>
      <c r="G987" s="84"/>
      <c r="H987" s="84"/>
    </row>
    <row r="988" spans="4:8" ht="15.6">
      <c r="D988" s="84"/>
      <c r="E988" s="84"/>
      <c r="F988" s="84"/>
      <c r="G988" s="84"/>
      <c r="H988" s="84"/>
    </row>
    <row r="989" spans="4:8" ht="15.6">
      <c r="D989" s="84"/>
      <c r="E989" s="84"/>
      <c r="F989" s="84"/>
      <c r="G989" s="84"/>
      <c r="H989" s="84"/>
    </row>
    <row r="990" spans="4:8" ht="15.6">
      <c r="D990" s="84"/>
      <c r="E990" s="84"/>
      <c r="F990" s="84"/>
      <c r="G990" s="84"/>
      <c r="H990" s="84"/>
    </row>
    <row r="991" spans="4:8" ht="15.6">
      <c r="D991" s="84"/>
      <c r="E991" s="84"/>
      <c r="F991" s="84"/>
      <c r="G991" s="84"/>
      <c r="H991" s="84"/>
    </row>
    <row r="992" spans="4:8" ht="15.6">
      <c r="D992" s="84"/>
      <c r="E992" s="84"/>
      <c r="F992" s="84"/>
      <c r="G992" s="84"/>
      <c r="H992" s="84"/>
    </row>
    <row r="993" spans="4:8" ht="15.6">
      <c r="D993" s="84"/>
      <c r="E993" s="84"/>
      <c r="F993" s="84"/>
      <c r="G993" s="84"/>
      <c r="H993" s="84"/>
    </row>
    <row r="994" spans="4:8" ht="15.6">
      <c r="D994" s="84"/>
      <c r="E994" s="84"/>
      <c r="F994" s="84"/>
      <c r="G994" s="84"/>
      <c r="H994" s="84"/>
    </row>
    <row r="995" spans="4:8" ht="15.6">
      <c r="D995" s="84"/>
      <c r="E995" s="84"/>
      <c r="F995" s="84"/>
      <c r="G995" s="84"/>
      <c r="H995" s="84"/>
    </row>
    <row r="996" spans="4:8" ht="15.6">
      <c r="D996" s="84"/>
      <c r="E996" s="84"/>
      <c r="F996" s="84"/>
      <c r="G996" s="84"/>
      <c r="H996" s="84"/>
    </row>
    <row r="997" spans="4:8" ht="15.6">
      <c r="D997" s="84"/>
      <c r="E997" s="84"/>
      <c r="F997" s="84"/>
      <c r="G997" s="84"/>
      <c r="H997" s="84"/>
    </row>
    <row r="998" spans="4:8" ht="15.6">
      <c r="D998" s="84"/>
      <c r="E998" s="84"/>
      <c r="F998" s="84"/>
      <c r="G998" s="84"/>
      <c r="H998" s="84"/>
    </row>
    <row r="999" spans="4:8" ht="15.6">
      <c r="D999" s="84"/>
      <c r="E999" s="84"/>
      <c r="F999" s="84"/>
      <c r="G999" s="84"/>
      <c r="H999" s="84"/>
    </row>
    <row r="1000" spans="4:8" ht="15.6">
      <c r="D1000" s="84"/>
      <c r="E1000" s="84"/>
      <c r="F1000" s="84"/>
      <c r="G1000" s="84"/>
      <c r="H1000" s="84"/>
    </row>
  </sheetData>
  <mergeCells count="1">
    <mergeCell ref="E1:H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254</v>
      </c>
      <c r="D1" s="68"/>
      <c r="E1" s="139" t="s">
        <v>255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298.4692</v>
      </c>
      <c r="F4" s="75">
        <v>301</v>
      </c>
      <c r="G4" s="75">
        <v>276.39999999999998</v>
      </c>
      <c r="H4" s="75">
        <v>22.069230000000001</v>
      </c>
    </row>
    <row r="5" spans="1:8" ht="15" customHeight="1">
      <c r="D5" s="68"/>
      <c r="E5" s="74">
        <v>297.98270000000002</v>
      </c>
      <c r="F5" s="75">
        <v>775</v>
      </c>
      <c r="G5" s="75">
        <v>276.7</v>
      </c>
      <c r="H5" s="75">
        <v>21.282699999999998</v>
      </c>
    </row>
    <row r="6" spans="1:8" ht="15" customHeight="1">
      <c r="D6" s="68"/>
      <c r="E6" s="74">
        <v>298.15280000000001</v>
      </c>
      <c r="F6" s="75">
        <v>1250</v>
      </c>
      <c r="G6" s="75">
        <v>276.10000000000002</v>
      </c>
      <c r="H6" s="75">
        <v>22.052820000000001</v>
      </c>
    </row>
    <row r="7" spans="1:8" ht="15" customHeight="1">
      <c r="D7" s="68"/>
      <c r="E7" s="74">
        <v>298.97919999999999</v>
      </c>
      <c r="F7" s="75">
        <v>1722</v>
      </c>
      <c r="G7" s="75">
        <v>276.10000000000002</v>
      </c>
      <c r="H7" s="75">
        <v>22.87923</v>
      </c>
    </row>
    <row r="8" spans="1:8" ht="15" customHeight="1">
      <c r="D8" s="68"/>
      <c r="E8" s="74">
        <v>302.495</v>
      </c>
      <c r="F8" s="75">
        <v>2196</v>
      </c>
      <c r="G8" s="75">
        <v>278.5</v>
      </c>
      <c r="H8" s="75">
        <v>23.995010000000001</v>
      </c>
    </row>
    <row r="9" spans="1:8" ht="15" customHeight="1">
      <c r="D9" s="68"/>
      <c r="E9" s="74">
        <v>306.52910000000003</v>
      </c>
      <c r="F9" s="75">
        <v>2669</v>
      </c>
      <c r="G9" s="75">
        <v>281.60000000000002</v>
      </c>
      <c r="H9" s="75">
        <v>24.929120000000001</v>
      </c>
    </row>
    <row r="10" spans="1:8" ht="15" customHeight="1">
      <c r="D10" s="68"/>
      <c r="E10" s="19">
        <v>309.68</v>
      </c>
      <c r="F10" s="20">
        <v>3142</v>
      </c>
      <c r="G10" s="20">
        <v>283.2</v>
      </c>
      <c r="H10" s="20">
        <v>26.48</v>
      </c>
    </row>
    <row r="11" spans="1:8" ht="15" customHeight="1">
      <c r="D11" s="68" t="s">
        <v>107</v>
      </c>
      <c r="E11" s="19">
        <v>312.82389999999998</v>
      </c>
      <c r="F11" s="20">
        <v>3616</v>
      </c>
      <c r="G11" s="20">
        <v>285.7</v>
      </c>
      <c r="H11" s="20">
        <v>27.123919999999998</v>
      </c>
    </row>
    <row r="12" spans="1:8" ht="15" customHeight="1">
      <c r="D12" s="68"/>
      <c r="E12" s="19">
        <v>313.8426</v>
      </c>
      <c r="F12" s="20">
        <v>4089</v>
      </c>
      <c r="G12" s="20">
        <v>298.60000000000002</v>
      </c>
      <c r="H12" s="20">
        <v>15.242559999999999</v>
      </c>
    </row>
    <row r="13" spans="1:8" ht="15" customHeight="1">
      <c r="D13" s="68"/>
      <c r="E13" s="74">
        <v>314.98700000000002</v>
      </c>
      <c r="F13" s="75">
        <v>4563</v>
      </c>
      <c r="G13" s="75">
        <v>302.39999999999998</v>
      </c>
      <c r="H13" s="75">
        <v>12.586970000000001</v>
      </c>
    </row>
    <row r="14" spans="1:8" ht="15" customHeight="1">
      <c r="D14" s="68"/>
      <c r="E14" s="74">
        <v>317.70870000000002</v>
      </c>
      <c r="F14" s="75">
        <v>5035</v>
      </c>
      <c r="G14" s="75">
        <v>305</v>
      </c>
      <c r="H14" s="75">
        <v>12.708690000000001</v>
      </c>
    </row>
    <row r="15" spans="1:8" ht="15" customHeight="1">
      <c r="D15" s="68"/>
      <c r="E15" s="74">
        <v>318.21859999999998</v>
      </c>
      <c r="F15" s="75">
        <v>5509</v>
      </c>
      <c r="G15" s="75">
        <v>305.89999999999998</v>
      </c>
      <c r="H15" s="75">
        <v>12.31856</v>
      </c>
    </row>
    <row r="16" spans="1:8" ht="15" customHeight="1">
      <c r="D16" s="68"/>
      <c r="E16" s="74">
        <v>315.92140000000001</v>
      </c>
      <c r="F16" s="75">
        <v>5981</v>
      </c>
      <c r="G16" s="75">
        <v>304.3</v>
      </c>
      <c r="H16" s="75">
        <v>11.621420000000001</v>
      </c>
    </row>
    <row r="17" spans="4:8" ht="15" customHeight="1">
      <c r="D17" s="68"/>
      <c r="E17" s="74">
        <v>316.51139999999998</v>
      </c>
      <c r="F17" s="75">
        <v>6456</v>
      </c>
      <c r="G17" s="75">
        <v>305.10000000000002</v>
      </c>
      <c r="H17" s="75">
        <v>11.411440000000001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I18"/>
  <sheetViews>
    <sheetView workbookViewId="0"/>
  </sheetViews>
  <sheetFormatPr defaultColWidth="11.19921875" defaultRowHeight="15" customHeight="1"/>
  <sheetData>
    <row r="1" spans="1:9" ht="15" customHeight="1">
      <c r="A1" s="106" t="s">
        <v>256</v>
      </c>
      <c r="D1" s="68"/>
      <c r="E1" s="139" t="s">
        <v>257</v>
      </c>
      <c r="F1" s="140"/>
      <c r="G1" s="140"/>
      <c r="H1" s="140"/>
    </row>
    <row r="2" spans="1:9" ht="15" customHeight="1">
      <c r="A2" s="81" t="s">
        <v>90</v>
      </c>
      <c r="D2" s="68"/>
      <c r="E2" s="68"/>
      <c r="F2" s="68"/>
      <c r="G2" s="68"/>
      <c r="H2" s="68"/>
    </row>
    <row r="3" spans="1:9" ht="15" customHeight="1">
      <c r="A3" s="82" t="s">
        <v>111</v>
      </c>
      <c r="D3" s="68"/>
      <c r="E3" s="71" t="s">
        <v>10</v>
      </c>
      <c r="F3" s="71" t="s">
        <v>11</v>
      </c>
      <c r="G3" s="71" t="s">
        <v>12</v>
      </c>
      <c r="H3" s="120" t="s">
        <v>85</v>
      </c>
    </row>
    <row r="4" spans="1:9" ht="15" customHeight="1">
      <c r="A4" s="82" t="s">
        <v>118</v>
      </c>
      <c r="D4" s="68" t="s">
        <v>95</v>
      </c>
      <c r="E4" s="121">
        <v>298.89080000000001</v>
      </c>
      <c r="F4" s="121">
        <v>393</v>
      </c>
      <c r="G4" s="121">
        <v>290.60000000000002</v>
      </c>
      <c r="H4" s="121">
        <v>8.2907799999999998</v>
      </c>
      <c r="I4" s="90"/>
    </row>
    <row r="5" spans="1:9" ht="15" customHeight="1">
      <c r="D5" s="68"/>
      <c r="E5" s="121">
        <v>298.68360000000001</v>
      </c>
      <c r="F5" s="121">
        <v>866</v>
      </c>
      <c r="G5" s="121">
        <v>290.43</v>
      </c>
      <c r="H5" s="121">
        <v>8.2536500000000004</v>
      </c>
      <c r="I5" s="68"/>
    </row>
    <row r="6" spans="1:9" ht="15" customHeight="1">
      <c r="D6" s="68"/>
      <c r="E6" s="121">
        <v>298.66989999999998</v>
      </c>
      <c r="F6" s="121">
        <v>1339</v>
      </c>
      <c r="G6" s="121">
        <v>290.27</v>
      </c>
      <c r="H6" s="121">
        <v>8.3998799999999996</v>
      </c>
      <c r="I6" s="68"/>
    </row>
    <row r="7" spans="1:9" ht="15" customHeight="1">
      <c r="D7" s="68"/>
      <c r="E7" s="121">
        <v>298.6696</v>
      </c>
      <c r="F7" s="121">
        <v>1814</v>
      </c>
      <c r="G7" s="121">
        <v>290.16000000000003</v>
      </c>
      <c r="H7" s="121">
        <v>8.5096000000000007</v>
      </c>
      <c r="I7" s="68"/>
    </row>
    <row r="8" spans="1:9" ht="15" customHeight="1">
      <c r="D8" s="68"/>
      <c r="E8" s="121">
        <v>298.37419999999997</v>
      </c>
      <c r="F8" s="121">
        <v>2289</v>
      </c>
      <c r="G8" s="121">
        <v>289.58</v>
      </c>
      <c r="H8" s="121">
        <v>8.7942099999999996</v>
      </c>
      <c r="I8" s="68"/>
    </row>
    <row r="9" spans="1:9" ht="15" customHeight="1">
      <c r="D9" s="68"/>
      <c r="E9" s="121">
        <v>298.54129999999998</v>
      </c>
      <c r="F9" s="121">
        <v>2760</v>
      </c>
      <c r="G9" s="121">
        <v>290.12</v>
      </c>
      <c r="H9" s="121">
        <v>8.4213000000000005</v>
      </c>
      <c r="I9" s="68"/>
    </row>
    <row r="10" spans="1:9" ht="15" customHeight="1">
      <c r="D10" s="68" t="s">
        <v>143</v>
      </c>
      <c r="E10" s="122">
        <v>296.68099999999998</v>
      </c>
      <c r="F10" s="122">
        <v>3234</v>
      </c>
      <c r="G10" s="122">
        <v>288.58999999999997</v>
      </c>
      <c r="H10" s="122">
        <v>8.0910399999999996</v>
      </c>
      <c r="I10" s="90"/>
    </row>
    <row r="11" spans="1:9" ht="15" customHeight="1">
      <c r="D11" s="68"/>
      <c r="E11" s="122">
        <v>297.98899999999998</v>
      </c>
      <c r="F11" s="122">
        <v>3701</v>
      </c>
      <c r="G11" s="122">
        <v>289.93</v>
      </c>
      <c r="H11" s="122">
        <v>8.0589600000000008</v>
      </c>
      <c r="I11" s="68"/>
    </row>
    <row r="12" spans="1:9" ht="15" customHeight="1">
      <c r="D12" s="68"/>
      <c r="E12" s="121">
        <v>297.23489999999998</v>
      </c>
      <c r="F12" s="121">
        <v>4175</v>
      </c>
      <c r="G12" s="121">
        <v>289.33</v>
      </c>
      <c r="H12" s="121">
        <v>7.9048800000000004</v>
      </c>
      <c r="I12" s="68"/>
    </row>
    <row r="13" spans="1:9" ht="15" customHeight="1">
      <c r="D13" s="68"/>
      <c r="E13" s="121">
        <v>297.10820000000001</v>
      </c>
      <c r="F13" s="121">
        <v>4649</v>
      </c>
      <c r="G13" s="121">
        <v>289.31</v>
      </c>
      <c r="H13" s="121">
        <v>7.7981999999999996</v>
      </c>
      <c r="I13" s="68"/>
    </row>
    <row r="14" spans="1:9" ht="15" customHeight="1">
      <c r="D14" s="68"/>
      <c r="E14" s="121">
        <v>297.30739999999997</v>
      </c>
      <c r="F14" s="121">
        <v>5125</v>
      </c>
      <c r="G14" s="121">
        <v>289.08</v>
      </c>
      <c r="H14" s="121">
        <v>8.2273599999999991</v>
      </c>
      <c r="I14" s="68"/>
    </row>
    <row r="15" spans="1:9" ht="15" customHeight="1">
      <c r="D15" s="68"/>
      <c r="E15" s="121">
        <v>297.47539999999998</v>
      </c>
      <c r="F15" s="121">
        <v>5595</v>
      </c>
      <c r="G15" s="121">
        <v>289.39</v>
      </c>
      <c r="H15" s="121">
        <v>8.0853900000000003</v>
      </c>
      <c r="I15" s="68"/>
    </row>
    <row r="16" spans="1:9" ht="15" customHeight="1">
      <c r="D16" s="68"/>
      <c r="E16" s="121">
        <v>297.44299999999998</v>
      </c>
      <c r="F16" s="121">
        <v>6070</v>
      </c>
      <c r="G16" s="121">
        <v>289.33</v>
      </c>
      <c r="H16" s="121">
        <v>8.1130099999999992</v>
      </c>
      <c r="I16" s="68"/>
    </row>
    <row r="17" spans="4:9" ht="15" customHeight="1">
      <c r="D17" s="68"/>
      <c r="E17" s="121">
        <v>297.64819999999997</v>
      </c>
      <c r="F17" s="121">
        <v>6544</v>
      </c>
      <c r="G17" s="121">
        <v>289.79000000000002</v>
      </c>
      <c r="H17" s="121">
        <v>7.8581899999999996</v>
      </c>
      <c r="I17" s="68"/>
    </row>
    <row r="18" spans="4:9" ht="15" customHeight="1">
      <c r="D18" s="68"/>
      <c r="E18" s="121">
        <v>297.54430000000002</v>
      </c>
      <c r="F18" s="121">
        <v>7014</v>
      </c>
      <c r="G18" s="121">
        <v>289.66000000000003</v>
      </c>
      <c r="H18" s="121">
        <v>7.88429</v>
      </c>
      <c r="I18" s="68"/>
    </row>
  </sheetData>
  <mergeCells count="1">
    <mergeCell ref="E1:H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P18"/>
  <sheetViews>
    <sheetView workbookViewId="0"/>
  </sheetViews>
  <sheetFormatPr defaultColWidth="11.19921875" defaultRowHeight="15" customHeight="1"/>
  <sheetData>
    <row r="1" spans="1:16" ht="15" customHeight="1">
      <c r="A1" s="106" t="s">
        <v>258</v>
      </c>
      <c r="D1" s="68"/>
      <c r="E1" s="139" t="s">
        <v>259</v>
      </c>
      <c r="F1" s="140"/>
      <c r="G1" s="140"/>
      <c r="H1" s="140"/>
      <c r="K1" s="68"/>
      <c r="L1" s="139" t="s">
        <v>260</v>
      </c>
      <c r="M1" s="140"/>
      <c r="N1" s="140"/>
      <c r="O1" s="140"/>
    </row>
    <row r="2" spans="1:16" ht="15" customHeight="1">
      <c r="A2" s="81" t="s">
        <v>90</v>
      </c>
      <c r="D2" s="68"/>
      <c r="E2" s="68"/>
      <c r="F2" s="68"/>
      <c r="G2" s="68"/>
      <c r="H2" s="68"/>
      <c r="K2" s="68"/>
      <c r="L2" s="68"/>
      <c r="M2" s="68"/>
      <c r="N2" s="68"/>
      <c r="O2" s="68"/>
    </row>
    <row r="3" spans="1:16" ht="15" customHeight="1">
      <c r="A3" s="82" t="s">
        <v>111</v>
      </c>
      <c r="D3" s="68"/>
      <c r="E3" s="71" t="s">
        <v>10</v>
      </c>
      <c r="F3" s="71" t="s">
        <v>11</v>
      </c>
      <c r="G3" s="71" t="s">
        <v>12</v>
      </c>
      <c r="H3" s="120" t="s">
        <v>85</v>
      </c>
      <c r="K3" s="68"/>
      <c r="L3" s="71" t="s">
        <v>10</v>
      </c>
      <c r="M3" s="71" t="s">
        <v>11</v>
      </c>
      <c r="N3" s="71" t="s">
        <v>12</v>
      </c>
      <c r="O3" s="120" t="s">
        <v>85</v>
      </c>
    </row>
    <row r="4" spans="1:16" ht="15" customHeight="1">
      <c r="A4" s="82" t="s">
        <v>118</v>
      </c>
      <c r="D4" s="123" t="s">
        <v>69</v>
      </c>
      <c r="E4" s="92">
        <v>372.23050000000001</v>
      </c>
      <c r="F4" s="92">
        <v>302</v>
      </c>
      <c r="G4" s="92">
        <v>351.1</v>
      </c>
      <c r="H4" s="92">
        <v>21.130469999999999</v>
      </c>
      <c r="I4" s="90"/>
      <c r="K4" s="123" t="s">
        <v>69</v>
      </c>
      <c r="L4" s="92">
        <v>341.8571</v>
      </c>
      <c r="M4" s="92">
        <v>321</v>
      </c>
      <c r="N4" s="92">
        <v>325.3</v>
      </c>
      <c r="O4" s="92">
        <v>16.557130000000001</v>
      </c>
      <c r="P4" s="90"/>
    </row>
    <row r="5" spans="1:16" ht="15" customHeight="1">
      <c r="D5" s="123"/>
      <c r="E5" s="92">
        <v>369.37110000000001</v>
      </c>
      <c r="F5" s="92">
        <v>775</v>
      </c>
      <c r="G5" s="92">
        <v>349.3</v>
      </c>
      <c r="H5" s="92">
        <v>20.071100000000001</v>
      </c>
      <c r="I5" s="68"/>
      <c r="K5" s="68"/>
      <c r="L5" s="92">
        <v>342.41910000000001</v>
      </c>
      <c r="M5" s="92">
        <v>796</v>
      </c>
      <c r="N5" s="92">
        <v>326.2</v>
      </c>
      <c r="O5" s="92">
        <v>16.21904</v>
      </c>
      <c r="P5" s="68"/>
    </row>
    <row r="6" spans="1:16" ht="15" customHeight="1">
      <c r="D6" s="123"/>
      <c r="E6" s="92">
        <v>367.55860000000001</v>
      </c>
      <c r="F6" s="92">
        <v>1249</v>
      </c>
      <c r="G6" s="92">
        <v>348.5</v>
      </c>
      <c r="H6" s="92">
        <v>19.058589999999999</v>
      </c>
      <c r="I6" s="68"/>
      <c r="K6" s="123"/>
      <c r="L6" s="92">
        <v>341.78890000000001</v>
      </c>
      <c r="M6" s="92">
        <v>1269</v>
      </c>
      <c r="N6" s="92">
        <v>326.5</v>
      </c>
      <c r="O6" s="92">
        <v>15.28889</v>
      </c>
      <c r="P6" s="68"/>
    </row>
    <row r="7" spans="1:16" ht="15" customHeight="1">
      <c r="D7" s="123"/>
      <c r="E7" s="92">
        <v>365.99529999999999</v>
      </c>
      <c r="F7" s="92">
        <v>1722</v>
      </c>
      <c r="G7" s="92">
        <v>346.1</v>
      </c>
      <c r="H7" s="92">
        <v>19.89528</v>
      </c>
      <c r="I7" s="68"/>
      <c r="K7" s="123"/>
      <c r="L7" s="92">
        <v>342.01560000000001</v>
      </c>
      <c r="M7" s="92">
        <v>1741</v>
      </c>
      <c r="N7" s="92">
        <v>326.2</v>
      </c>
      <c r="O7" s="92">
        <v>15.81561</v>
      </c>
      <c r="P7" s="68"/>
    </row>
    <row r="8" spans="1:16" ht="15" customHeight="1">
      <c r="D8" s="68"/>
      <c r="E8" s="92">
        <v>363.6268</v>
      </c>
      <c r="F8" s="92">
        <v>2196</v>
      </c>
      <c r="G8" s="92">
        <v>342.4</v>
      </c>
      <c r="H8" s="92">
        <v>21.226759999999999</v>
      </c>
      <c r="I8" s="68"/>
      <c r="K8" s="68"/>
      <c r="L8" s="92">
        <v>342.58589999999998</v>
      </c>
      <c r="M8" s="92">
        <v>2215</v>
      </c>
      <c r="N8" s="92">
        <v>326.3</v>
      </c>
      <c r="O8" s="92">
        <v>16.28594</v>
      </c>
      <c r="P8" s="68"/>
    </row>
    <row r="9" spans="1:16" ht="15" customHeight="1">
      <c r="D9" s="68"/>
      <c r="E9" s="92">
        <v>363.24880000000002</v>
      </c>
      <c r="F9" s="92">
        <v>2670</v>
      </c>
      <c r="G9" s="92">
        <v>343.8</v>
      </c>
      <c r="H9" s="92">
        <v>19.448810000000002</v>
      </c>
      <c r="I9" s="68"/>
      <c r="K9" s="68"/>
      <c r="L9" s="92">
        <v>341.44760000000002</v>
      </c>
      <c r="M9" s="92">
        <v>2688</v>
      </c>
      <c r="N9" s="92">
        <v>325.7</v>
      </c>
      <c r="O9" s="92">
        <v>15.74761</v>
      </c>
      <c r="P9" s="68"/>
    </row>
    <row r="10" spans="1:16" ht="15" customHeight="1">
      <c r="D10" s="123"/>
      <c r="E10" s="92">
        <v>362.92689999999999</v>
      </c>
      <c r="F10" s="92">
        <v>3143</v>
      </c>
      <c r="G10" s="92">
        <v>343.5</v>
      </c>
      <c r="H10" s="92">
        <v>19.42689</v>
      </c>
      <c r="I10" s="68"/>
      <c r="K10" s="123" t="s">
        <v>66</v>
      </c>
      <c r="L10" s="92">
        <v>340.3492</v>
      </c>
      <c r="M10" s="92">
        <v>3162</v>
      </c>
      <c r="N10" s="92">
        <v>326.39999999999998</v>
      </c>
      <c r="O10" s="92">
        <v>13.949199999999999</v>
      </c>
      <c r="P10" s="90"/>
    </row>
    <row r="11" spans="1:16" ht="15" customHeight="1">
      <c r="D11" s="123" t="s">
        <v>66</v>
      </c>
      <c r="E11" s="92">
        <v>361.13010000000003</v>
      </c>
      <c r="F11" s="92">
        <v>3615</v>
      </c>
      <c r="G11" s="92">
        <v>342.1</v>
      </c>
      <c r="H11" s="92">
        <v>19.03012</v>
      </c>
      <c r="I11" s="90"/>
      <c r="K11" s="68"/>
      <c r="L11" s="92">
        <v>339.82859999999999</v>
      </c>
      <c r="M11" s="92">
        <v>3635</v>
      </c>
      <c r="N11" s="92">
        <v>326.3</v>
      </c>
      <c r="O11" s="92">
        <v>13.52857</v>
      </c>
      <c r="P11" s="68"/>
    </row>
    <row r="12" spans="1:16" ht="15" customHeight="1">
      <c r="D12" s="123"/>
      <c r="E12" s="92">
        <v>359.9871</v>
      </c>
      <c r="F12" s="92">
        <v>4088</v>
      </c>
      <c r="G12" s="92">
        <v>341.2</v>
      </c>
      <c r="H12" s="92">
        <v>18.787109999999998</v>
      </c>
      <c r="I12" s="68"/>
      <c r="K12" s="68"/>
      <c r="L12" s="92">
        <v>338.38589999999999</v>
      </c>
      <c r="M12" s="92">
        <v>4108</v>
      </c>
      <c r="N12" s="92">
        <v>325</v>
      </c>
      <c r="O12" s="92">
        <v>13.385949999999999</v>
      </c>
      <c r="P12" s="68"/>
    </row>
    <row r="13" spans="1:16" ht="15" customHeight="1">
      <c r="D13" s="68"/>
      <c r="E13" s="92">
        <v>359.07960000000003</v>
      </c>
      <c r="F13" s="92">
        <v>4562</v>
      </c>
      <c r="G13" s="92">
        <v>341.3</v>
      </c>
      <c r="H13" s="92">
        <v>17.77956</v>
      </c>
      <c r="I13" s="68"/>
      <c r="K13" s="68"/>
      <c r="L13" s="92">
        <v>336.72539999999998</v>
      </c>
      <c r="M13" s="92">
        <v>4583</v>
      </c>
      <c r="N13" s="92">
        <v>323.10000000000002</v>
      </c>
      <c r="O13" s="92">
        <v>13.625400000000001</v>
      </c>
      <c r="P13" s="68"/>
    </row>
    <row r="14" spans="1:16" ht="15" customHeight="1">
      <c r="D14" s="123"/>
      <c r="E14" s="92">
        <v>358.11720000000003</v>
      </c>
      <c r="F14" s="92">
        <v>5035</v>
      </c>
      <c r="G14" s="92">
        <v>340.9</v>
      </c>
      <c r="H14" s="92">
        <v>17.217210000000001</v>
      </c>
      <c r="I14" s="68"/>
      <c r="K14" s="68"/>
      <c r="L14" s="92">
        <v>337.03910000000002</v>
      </c>
      <c r="M14" s="92">
        <v>5056</v>
      </c>
      <c r="N14" s="92">
        <v>323.39999999999998</v>
      </c>
      <c r="O14" s="92">
        <v>13.63908</v>
      </c>
      <c r="P14" s="68"/>
    </row>
    <row r="15" spans="1:16" ht="15" customHeight="1">
      <c r="D15" s="123"/>
      <c r="E15" s="92">
        <v>356.86559999999997</v>
      </c>
      <c r="F15" s="92">
        <v>5508</v>
      </c>
      <c r="G15" s="92">
        <v>338.6</v>
      </c>
      <c r="H15" s="92">
        <v>18.26558</v>
      </c>
      <c r="I15" s="68"/>
      <c r="K15" s="68"/>
      <c r="L15" s="92">
        <v>335.96510000000001</v>
      </c>
      <c r="M15" s="92">
        <v>5528</v>
      </c>
      <c r="N15" s="92">
        <v>323.39999999999998</v>
      </c>
      <c r="O15" s="92">
        <v>12.56509</v>
      </c>
      <c r="P15" s="68"/>
    </row>
    <row r="16" spans="1:16" ht="15" customHeight="1">
      <c r="D16" s="68"/>
      <c r="E16" s="92">
        <v>354.97199999999998</v>
      </c>
      <c r="F16" s="92">
        <v>5983</v>
      </c>
      <c r="G16" s="92">
        <v>336.8</v>
      </c>
      <c r="H16" s="92">
        <v>18.172029999999999</v>
      </c>
      <c r="I16" s="68"/>
      <c r="K16" s="68"/>
      <c r="L16" s="92">
        <v>336.25</v>
      </c>
      <c r="M16" s="92">
        <v>6003</v>
      </c>
      <c r="N16" s="92">
        <v>322.8</v>
      </c>
      <c r="O16" s="92">
        <v>13.44999</v>
      </c>
      <c r="P16" s="68"/>
    </row>
    <row r="17" spans="4:16" ht="15" customHeight="1">
      <c r="D17" s="123"/>
      <c r="E17" s="92">
        <v>352.96769999999998</v>
      </c>
      <c r="F17" s="92">
        <v>6455</v>
      </c>
      <c r="G17" s="92">
        <v>335.3</v>
      </c>
      <c r="H17" s="92">
        <v>17.667739999999998</v>
      </c>
      <c r="I17" s="68"/>
      <c r="K17" s="123"/>
      <c r="L17" s="90"/>
      <c r="M17" s="90"/>
      <c r="N17" s="90"/>
      <c r="O17" s="90"/>
      <c r="P17" s="68"/>
    </row>
    <row r="18" spans="4:16" ht="15" customHeight="1">
      <c r="D18" s="68"/>
      <c r="I18" s="68"/>
      <c r="K18" s="68"/>
      <c r="L18" s="90"/>
      <c r="M18" s="90"/>
      <c r="N18" s="90"/>
      <c r="O18" s="90"/>
      <c r="P18" s="68"/>
    </row>
  </sheetData>
  <mergeCells count="2">
    <mergeCell ref="E1:H1"/>
    <mergeCell ref="L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261</v>
      </c>
      <c r="D1" s="68"/>
      <c r="E1" s="139" t="s">
        <v>262</v>
      </c>
      <c r="F1" s="140"/>
      <c r="G1" s="140"/>
      <c r="H1" s="140"/>
      <c r="J1" s="68"/>
      <c r="K1" s="139" t="s">
        <v>263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127</v>
      </c>
      <c r="D4" s="68" t="s">
        <v>95</v>
      </c>
      <c r="E4" s="74">
        <v>295.52789999999999</v>
      </c>
      <c r="F4" s="75">
        <v>301</v>
      </c>
      <c r="G4" s="75">
        <v>284.98</v>
      </c>
      <c r="H4" s="75">
        <v>10.54786</v>
      </c>
      <c r="J4" s="68" t="s">
        <v>94</v>
      </c>
      <c r="K4" s="74">
        <v>290.82080000000002</v>
      </c>
      <c r="L4" s="75">
        <v>301</v>
      </c>
      <c r="M4" s="75">
        <v>283.64</v>
      </c>
      <c r="N4" s="75">
        <v>7.1807600000000003</v>
      </c>
    </row>
    <row r="5" spans="1:14" ht="15" customHeight="1">
      <c r="D5" s="68"/>
      <c r="E5" s="74">
        <v>295.32979999999998</v>
      </c>
      <c r="F5" s="75">
        <v>774</v>
      </c>
      <c r="G5" s="75">
        <v>285.42</v>
      </c>
      <c r="H5" s="75">
        <v>9.9097799999999996</v>
      </c>
      <c r="J5" s="68"/>
      <c r="K5" s="74">
        <v>289.82229999999998</v>
      </c>
      <c r="L5" s="75">
        <v>770</v>
      </c>
      <c r="M5" s="75">
        <v>282.91000000000003</v>
      </c>
      <c r="N5" s="75">
        <v>6.9123099999999997</v>
      </c>
    </row>
    <row r="6" spans="1:14" ht="15" customHeight="1">
      <c r="D6" s="68"/>
      <c r="E6" s="74">
        <v>295.2783</v>
      </c>
      <c r="F6" s="75">
        <v>1247</v>
      </c>
      <c r="G6" s="75">
        <v>285.75</v>
      </c>
      <c r="H6" s="75">
        <v>9.5282999999999998</v>
      </c>
      <c r="J6" s="68"/>
      <c r="K6" s="74">
        <v>289.75569999999999</v>
      </c>
      <c r="L6" s="75">
        <v>1243</v>
      </c>
      <c r="M6" s="75">
        <v>282.89</v>
      </c>
      <c r="N6" s="75">
        <v>6.8656499999999996</v>
      </c>
    </row>
    <row r="7" spans="1:14" ht="15" customHeight="1">
      <c r="D7" s="68"/>
      <c r="E7" s="74">
        <v>295.40530000000001</v>
      </c>
      <c r="F7" s="75">
        <v>1719</v>
      </c>
      <c r="G7" s="75">
        <v>285.69</v>
      </c>
      <c r="H7" s="75">
        <v>9.7153200000000002</v>
      </c>
      <c r="J7" s="68"/>
      <c r="K7" s="74">
        <v>290.07920000000001</v>
      </c>
      <c r="L7" s="75">
        <v>1714</v>
      </c>
      <c r="M7" s="75">
        <v>283.16000000000003</v>
      </c>
      <c r="N7" s="75">
        <v>6.9192400000000003</v>
      </c>
    </row>
    <row r="8" spans="1:14" ht="15" customHeight="1">
      <c r="D8" s="68"/>
      <c r="E8" s="74">
        <v>295.65410000000003</v>
      </c>
      <c r="F8" s="75">
        <v>2192</v>
      </c>
      <c r="G8" s="75">
        <v>285.62</v>
      </c>
      <c r="H8" s="75">
        <v>10.034050000000001</v>
      </c>
      <c r="J8" s="68"/>
      <c r="K8" s="74">
        <v>290.07420000000002</v>
      </c>
      <c r="L8" s="75">
        <v>2189</v>
      </c>
      <c r="M8" s="75">
        <v>283.07</v>
      </c>
      <c r="N8" s="75">
        <v>7.0042299999999997</v>
      </c>
    </row>
    <row r="9" spans="1:14" ht="15" customHeight="1">
      <c r="D9" s="68"/>
      <c r="E9" s="74">
        <v>295.63619999999997</v>
      </c>
      <c r="F9" s="75">
        <v>2666</v>
      </c>
      <c r="G9" s="75">
        <v>285.64999999999998</v>
      </c>
      <c r="H9" s="75">
        <v>9.9861799999999992</v>
      </c>
      <c r="J9" s="68"/>
      <c r="K9" s="74">
        <v>289.834</v>
      </c>
      <c r="L9" s="75">
        <v>2663</v>
      </c>
      <c r="M9" s="75">
        <v>282.86</v>
      </c>
      <c r="N9" s="75">
        <v>6.9740399999999996</v>
      </c>
    </row>
    <row r="10" spans="1:14" ht="15" customHeight="1">
      <c r="D10" s="68" t="s">
        <v>119</v>
      </c>
      <c r="E10" s="74">
        <v>294.14699999999999</v>
      </c>
      <c r="F10" s="75">
        <v>3137</v>
      </c>
      <c r="G10" s="75">
        <v>285.75</v>
      </c>
      <c r="H10" s="75">
        <v>8.3970199999999995</v>
      </c>
      <c r="J10" s="68" t="s">
        <v>107</v>
      </c>
      <c r="K10" s="19">
        <v>290.1105</v>
      </c>
      <c r="L10" s="20">
        <v>3137</v>
      </c>
      <c r="M10" s="20">
        <v>285.19</v>
      </c>
      <c r="N10" s="20">
        <v>4.9204600000000003</v>
      </c>
    </row>
    <row r="11" spans="1:14" ht="15" customHeight="1">
      <c r="D11" s="68"/>
      <c r="E11" s="74">
        <v>294.20530000000002</v>
      </c>
      <c r="F11" s="75">
        <v>3611</v>
      </c>
      <c r="G11" s="75">
        <v>285.56</v>
      </c>
      <c r="H11" s="75">
        <v>8.6453199999999999</v>
      </c>
      <c r="J11" s="68"/>
      <c r="K11" s="74">
        <v>290.47820000000002</v>
      </c>
      <c r="L11" s="75">
        <v>3612</v>
      </c>
      <c r="M11" s="75">
        <v>286.86</v>
      </c>
      <c r="N11" s="75">
        <v>3.61822</v>
      </c>
    </row>
    <row r="12" spans="1:14" ht="15" customHeight="1">
      <c r="D12" s="68"/>
      <c r="E12" s="74">
        <v>294.37450000000001</v>
      </c>
      <c r="F12" s="75">
        <v>4087</v>
      </c>
      <c r="G12" s="75">
        <v>285.83</v>
      </c>
      <c r="H12" s="75">
        <v>8.5444800000000001</v>
      </c>
      <c r="J12" s="68"/>
      <c r="K12" s="74">
        <v>290.38560000000001</v>
      </c>
      <c r="L12" s="75">
        <v>4083</v>
      </c>
      <c r="M12" s="75">
        <v>287.01</v>
      </c>
      <c r="N12" s="75">
        <v>3.3755999999999999</v>
      </c>
    </row>
    <row r="13" spans="1:14" ht="15" customHeight="1">
      <c r="D13" s="68"/>
      <c r="E13" s="74">
        <v>294.42340000000002</v>
      </c>
      <c r="F13" s="75">
        <v>4559</v>
      </c>
      <c r="G13" s="75">
        <v>285.81</v>
      </c>
      <c r="H13" s="75">
        <v>8.6134000000000004</v>
      </c>
      <c r="J13" s="68"/>
      <c r="K13" s="74">
        <v>290.3503</v>
      </c>
      <c r="L13" s="75">
        <v>4556</v>
      </c>
      <c r="M13" s="75">
        <v>288.26</v>
      </c>
      <c r="N13" s="75">
        <v>2.09029</v>
      </c>
    </row>
    <row r="14" spans="1:14" ht="15" customHeight="1">
      <c r="D14" s="68"/>
      <c r="E14" s="74">
        <v>294.49110000000002</v>
      </c>
      <c r="F14" s="75">
        <v>5033</v>
      </c>
      <c r="G14" s="75">
        <v>285.79000000000002</v>
      </c>
      <c r="H14" s="75">
        <v>8.7010500000000004</v>
      </c>
      <c r="J14" s="68"/>
      <c r="K14" s="74">
        <v>291.9547</v>
      </c>
      <c r="L14" s="75">
        <v>5031</v>
      </c>
      <c r="M14" s="75">
        <v>288.55</v>
      </c>
      <c r="N14" s="75">
        <v>3.4047100000000001</v>
      </c>
    </row>
    <row r="15" spans="1:14" ht="15" customHeight="1">
      <c r="D15" s="68"/>
      <c r="E15" s="74">
        <v>294.76510000000002</v>
      </c>
      <c r="F15" s="75">
        <v>5512</v>
      </c>
      <c r="G15" s="75">
        <v>286.25</v>
      </c>
      <c r="H15" s="75">
        <v>8.51511</v>
      </c>
      <c r="J15" s="68"/>
      <c r="K15" s="74">
        <v>291.98329999999999</v>
      </c>
      <c r="L15" s="75">
        <v>5503</v>
      </c>
      <c r="M15" s="75">
        <v>288.72000000000003</v>
      </c>
      <c r="N15" s="75">
        <v>3.2633299999999998</v>
      </c>
    </row>
    <row r="16" spans="1:14" ht="15" customHeight="1">
      <c r="D16" s="68"/>
      <c r="E16" s="68"/>
      <c r="F16" s="68"/>
      <c r="G16" s="68"/>
      <c r="H16" s="68"/>
      <c r="J16" s="68"/>
      <c r="K16" s="74">
        <v>292.12520000000001</v>
      </c>
      <c r="L16" s="75">
        <v>5978</v>
      </c>
      <c r="M16" s="75">
        <v>289.2</v>
      </c>
      <c r="N16" s="75">
        <v>2.9251399999999999</v>
      </c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264</v>
      </c>
      <c r="D1" s="68"/>
      <c r="E1" s="139" t="s">
        <v>265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127</v>
      </c>
      <c r="D4" s="68" t="s">
        <v>94</v>
      </c>
      <c r="E4" s="74">
        <v>324.16669999999999</v>
      </c>
      <c r="F4" s="75">
        <v>301</v>
      </c>
      <c r="G4" s="75">
        <v>309.7</v>
      </c>
      <c r="H4" s="75">
        <v>14.46665</v>
      </c>
    </row>
    <row r="5" spans="1:8" ht="15" customHeight="1">
      <c r="D5" s="68"/>
      <c r="E5" s="74">
        <v>323.66669999999999</v>
      </c>
      <c r="F5" s="75">
        <v>775</v>
      </c>
      <c r="G5" s="75">
        <v>308.5</v>
      </c>
      <c r="H5" s="75">
        <v>15.166679999999999</v>
      </c>
    </row>
    <row r="6" spans="1:8" ht="15" customHeight="1">
      <c r="D6" s="68"/>
      <c r="E6" s="74">
        <v>322.20800000000003</v>
      </c>
      <c r="F6" s="75">
        <v>1248</v>
      </c>
      <c r="G6" s="75">
        <v>307.7</v>
      </c>
      <c r="H6" s="75">
        <v>14.507989999999999</v>
      </c>
    </row>
    <row r="7" spans="1:8" ht="15" customHeight="1">
      <c r="D7" s="68"/>
      <c r="E7" s="74">
        <v>321.61399999999998</v>
      </c>
      <c r="F7" s="75">
        <v>1723</v>
      </c>
      <c r="G7" s="75">
        <v>306.5</v>
      </c>
      <c r="H7" s="75">
        <v>15.113960000000001</v>
      </c>
    </row>
    <row r="8" spans="1:8" ht="15" customHeight="1">
      <c r="D8" s="68"/>
      <c r="E8" s="74">
        <v>320.14879999999999</v>
      </c>
      <c r="F8" s="75">
        <v>2195</v>
      </c>
      <c r="G8" s="75">
        <v>305.7</v>
      </c>
      <c r="H8" s="75">
        <v>14.448840000000001</v>
      </c>
    </row>
    <row r="9" spans="1:8" ht="15" customHeight="1">
      <c r="D9" s="68"/>
      <c r="E9" s="74">
        <v>320.1619</v>
      </c>
      <c r="F9" s="75">
        <v>2670</v>
      </c>
      <c r="G9" s="75">
        <v>305.5</v>
      </c>
      <c r="H9" s="75">
        <v>14.661899999999999</v>
      </c>
    </row>
    <row r="10" spans="1:8" ht="15" customHeight="1">
      <c r="D10" s="68" t="s">
        <v>107</v>
      </c>
      <c r="E10" s="19">
        <v>319.6651</v>
      </c>
      <c r="F10" s="20">
        <v>3143</v>
      </c>
      <c r="G10" s="20">
        <v>309.39999999999998</v>
      </c>
      <c r="H10" s="20">
        <v>10.26512</v>
      </c>
    </row>
    <row r="11" spans="1:8" ht="15" customHeight="1">
      <c r="D11" s="68"/>
      <c r="E11" s="19">
        <v>320.41399999999999</v>
      </c>
      <c r="F11" s="20">
        <v>3616</v>
      </c>
      <c r="G11" s="20">
        <v>311.2</v>
      </c>
      <c r="H11" s="20">
        <v>9.2139600000000002</v>
      </c>
    </row>
    <row r="12" spans="1:8" ht="15" customHeight="1">
      <c r="D12" s="68"/>
      <c r="E12" s="74">
        <v>321</v>
      </c>
      <c r="F12" s="75">
        <v>4090</v>
      </c>
      <c r="G12" s="75">
        <v>312.3</v>
      </c>
      <c r="H12" s="75">
        <v>8.6999999999999993</v>
      </c>
    </row>
    <row r="13" spans="1:8" ht="15" customHeight="1">
      <c r="D13" s="68"/>
      <c r="E13" s="74">
        <v>320.27670000000001</v>
      </c>
      <c r="F13" s="75">
        <v>4569</v>
      </c>
      <c r="G13" s="75">
        <v>312.2</v>
      </c>
      <c r="H13" s="75">
        <v>8.0767299999999995</v>
      </c>
    </row>
    <row r="14" spans="1:8" ht="15" customHeight="1">
      <c r="D14" s="68"/>
      <c r="E14" s="74">
        <v>321.00470000000001</v>
      </c>
      <c r="F14" s="75">
        <v>5041</v>
      </c>
      <c r="G14" s="75">
        <v>313.10000000000002</v>
      </c>
      <c r="H14" s="75">
        <v>7.9046399999999997</v>
      </c>
    </row>
    <row r="15" spans="1:8" ht="15" customHeight="1">
      <c r="D15" s="68"/>
      <c r="E15" s="74">
        <v>320.43599999999998</v>
      </c>
      <c r="F15" s="75">
        <v>5514</v>
      </c>
      <c r="G15" s="75">
        <v>312.89999999999998</v>
      </c>
      <c r="H15" s="75">
        <v>7.5359800000000003</v>
      </c>
    </row>
    <row r="16" spans="1:8" ht="15" customHeight="1">
      <c r="D16" s="68"/>
      <c r="E16" s="74">
        <v>319.78750000000002</v>
      </c>
      <c r="F16" s="75">
        <v>5989</v>
      </c>
      <c r="G16" s="75">
        <v>311.7</v>
      </c>
      <c r="H16" s="75">
        <v>8.08751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266</v>
      </c>
      <c r="D1" s="68"/>
      <c r="E1" s="139" t="s">
        <v>267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294.36309999999997</v>
      </c>
      <c r="F4" s="75">
        <v>301</v>
      </c>
      <c r="G4" s="75">
        <v>283.05</v>
      </c>
      <c r="H4" s="75">
        <v>11.31315</v>
      </c>
    </row>
    <row r="5" spans="1:8" ht="15" customHeight="1">
      <c r="D5" s="68"/>
      <c r="E5" s="74">
        <v>294.01830000000001</v>
      </c>
      <c r="F5" s="75">
        <v>772</v>
      </c>
      <c r="G5" s="75">
        <v>282.97000000000003</v>
      </c>
      <c r="H5" s="75">
        <v>11.04827</v>
      </c>
    </row>
    <row r="6" spans="1:8" ht="15" customHeight="1">
      <c r="D6" s="68"/>
      <c r="E6" s="74">
        <v>294.12819999999999</v>
      </c>
      <c r="F6" s="75">
        <v>1246</v>
      </c>
      <c r="G6" s="75">
        <v>282.49</v>
      </c>
      <c r="H6" s="75">
        <v>11.638249999999999</v>
      </c>
    </row>
    <row r="7" spans="1:8" ht="15" customHeight="1">
      <c r="D7" s="68"/>
      <c r="E7" s="74">
        <v>293.88670000000002</v>
      </c>
      <c r="F7" s="75">
        <v>1718</v>
      </c>
      <c r="G7" s="75">
        <v>282.36</v>
      </c>
      <c r="H7" s="75">
        <v>11.526680000000001</v>
      </c>
    </row>
    <row r="8" spans="1:8" ht="15" customHeight="1">
      <c r="D8" s="68"/>
      <c r="E8" s="74">
        <v>293.75959999999998</v>
      </c>
      <c r="F8" s="75">
        <v>2192</v>
      </c>
      <c r="G8" s="75">
        <v>281.92</v>
      </c>
      <c r="H8" s="75">
        <v>11.83961</v>
      </c>
    </row>
    <row r="9" spans="1:8" ht="15" customHeight="1">
      <c r="D9" s="68" t="s">
        <v>120</v>
      </c>
      <c r="E9" s="19">
        <v>294.82100000000003</v>
      </c>
      <c r="F9" s="20">
        <v>2667</v>
      </c>
      <c r="G9" s="20">
        <v>285.52</v>
      </c>
      <c r="H9" s="20">
        <v>9.3009699999999995</v>
      </c>
    </row>
    <row r="10" spans="1:8" ht="15" customHeight="1">
      <c r="D10" s="68"/>
      <c r="E10" s="74">
        <v>294.46100000000001</v>
      </c>
      <c r="F10" s="75">
        <v>3138</v>
      </c>
      <c r="G10" s="75">
        <v>286.14999999999998</v>
      </c>
      <c r="H10" s="75">
        <v>8.3109699999999993</v>
      </c>
    </row>
    <row r="11" spans="1:8" ht="15" customHeight="1">
      <c r="D11" s="68"/>
      <c r="E11" s="74">
        <v>294.32979999999998</v>
      </c>
      <c r="F11" s="75">
        <v>3613</v>
      </c>
      <c r="G11" s="75">
        <v>286.58999999999997</v>
      </c>
      <c r="H11" s="75">
        <v>7.7398100000000003</v>
      </c>
    </row>
    <row r="12" spans="1:8" ht="15" customHeight="1">
      <c r="D12" s="68"/>
      <c r="E12" s="74">
        <v>294.92669999999998</v>
      </c>
      <c r="F12" s="75">
        <v>4085</v>
      </c>
      <c r="G12" s="75">
        <v>286.89999999999998</v>
      </c>
      <c r="H12" s="75">
        <v>8.0267400000000002</v>
      </c>
    </row>
    <row r="13" spans="1:8" ht="15" customHeight="1">
      <c r="D13" s="68"/>
      <c r="E13" s="74">
        <v>294.62869999999998</v>
      </c>
      <c r="F13" s="75">
        <v>4558</v>
      </c>
      <c r="G13" s="75">
        <v>286.54000000000002</v>
      </c>
      <c r="H13" s="75">
        <v>8.0886399999999998</v>
      </c>
    </row>
    <row r="14" spans="1:8" ht="15" customHeight="1">
      <c r="D14" s="68"/>
      <c r="E14" s="74">
        <v>294.88139999999999</v>
      </c>
      <c r="F14" s="75">
        <v>5033</v>
      </c>
      <c r="G14" s="75">
        <v>287.14999999999998</v>
      </c>
      <c r="H14" s="75">
        <v>7.7313599999999996</v>
      </c>
    </row>
    <row r="15" spans="1:8" ht="15" customHeight="1">
      <c r="D15" s="68"/>
      <c r="E15" s="68"/>
      <c r="F15" s="68"/>
      <c r="G15" s="68"/>
      <c r="H15" s="68"/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268</v>
      </c>
      <c r="D1" s="68"/>
      <c r="E1" s="139" t="s">
        <v>269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114</v>
      </c>
      <c r="E4" s="74">
        <v>315.19779999999997</v>
      </c>
      <c r="F4" s="75">
        <v>301</v>
      </c>
      <c r="G4" s="75">
        <v>299</v>
      </c>
      <c r="H4" s="75">
        <v>16.19783</v>
      </c>
    </row>
    <row r="5" spans="1:8" ht="15" customHeight="1">
      <c r="D5" s="68"/>
      <c r="E5" s="74">
        <v>316.41300000000001</v>
      </c>
      <c r="F5" s="75">
        <v>772</v>
      </c>
      <c r="G5" s="75">
        <v>299.89999999999998</v>
      </c>
      <c r="H5" s="75">
        <v>16.51304</v>
      </c>
    </row>
    <row r="6" spans="1:8" ht="15" customHeight="1">
      <c r="D6" s="68"/>
      <c r="E6" s="74">
        <v>319.45859999999999</v>
      </c>
      <c r="F6" s="75">
        <v>1251</v>
      </c>
      <c r="G6" s="75">
        <v>303.39999999999998</v>
      </c>
      <c r="H6" s="75">
        <v>16.058610000000002</v>
      </c>
    </row>
    <row r="7" spans="1:8" ht="15" customHeight="1">
      <c r="D7" s="68"/>
      <c r="E7" s="74">
        <v>316.8698</v>
      </c>
      <c r="F7" s="75">
        <v>1730</v>
      </c>
      <c r="G7" s="75">
        <v>301.5</v>
      </c>
      <c r="H7" s="75">
        <v>15.369820000000001</v>
      </c>
    </row>
    <row r="8" spans="1:8" ht="15" customHeight="1">
      <c r="D8" s="68"/>
      <c r="E8" s="74">
        <v>317.483</v>
      </c>
      <c r="F8" s="75">
        <v>2204</v>
      </c>
      <c r="G8" s="75">
        <v>300.89999999999998</v>
      </c>
      <c r="H8" s="75">
        <v>16.583010000000002</v>
      </c>
    </row>
    <row r="9" spans="1:8" ht="15" customHeight="1">
      <c r="D9" s="68"/>
      <c r="E9" s="74">
        <v>317.93650000000002</v>
      </c>
      <c r="F9" s="75">
        <v>2677</v>
      </c>
      <c r="G9" s="75">
        <v>302.3</v>
      </c>
      <c r="H9" s="75">
        <v>15.63653</v>
      </c>
    </row>
    <row r="10" spans="1:8" ht="15" customHeight="1">
      <c r="D10" s="68"/>
      <c r="E10" s="74">
        <v>315.90960000000001</v>
      </c>
      <c r="F10" s="75">
        <v>3150</v>
      </c>
      <c r="G10" s="75">
        <v>299.39999999999998</v>
      </c>
      <c r="H10" s="75">
        <v>16.509620000000002</v>
      </c>
    </row>
    <row r="11" spans="1:8" ht="15" customHeight="1">
      <c r="D11" s="68"/>
      <c r="E11" s="19">
        <v>315.56349999999998</v>
      </c>
      <c r="F11" s="20">
        <v>3627</v>
      </c>
      <c r="G11" s="20">
        <v>303.5</v>
      </c>
      <c r="H11" s="20">
        <v>12.063459999999999</v>
      </c>
    </row>
    <row r="12" spans="1:8" ht="15" customHeight="1">
      <c r="D12" s="68"/>
      <c r="E12" s="74">
        <v>314.85000000000002</v>
      </c>
      <c r="F12" s="75">
        <v>4102</v>
      </c>
      <c r="G12" s="75">
        <v>305.2</v>
      </c>
      <c r="H12" s="75">
        <v>9.6499900000000007</v>
      </c>
    </row>
    <row r="13" spans="1:8" ht="15" customHeight="1">
      <c r="D13" s="68" t="s">
        <v>107</v>
      </c>
      <c r="E13" s="74">
        <v>316.03480000000002</v>
      </c>
      <c r="F13" s="75">
        <v>4573</v>
      </c>
      <c r="G13" s="75">
        <v>305.7</v>
      </c>
      <c r="H13" s="75">
        <v>10.33479</v>
      </c>
    </row>
    <row r="14" spans="1:8" ht="15" customHeight="1">
      <c r="D14" s="68"/>
      <c r="E14" s="74">
        <v>315.09780000000001</v>
      </c>
      <c r="F14" s="75">
        <v>5047</v>
      </c>
      <c r="G14" s="75">
        <v>303.8</v>
      </c>
      <c r="H14" s="75">
        <v>11.297840000000001</v>
      </c>
    </row>
    <row r="15" spans="1:8" ht="15" customHeight="1">
      <c r="D15" s="68"/>
      <c r="E15" s="74">
        <v>314.35109999999997</v>
      </c>
      <c r="F15" s="75">
        <v>5523</v>
      </c>
      <c r="G15" s="75">
        <v>303.5</v>
      </c>
      <c r="H15" s="75">
        <v>10.85111</v>
      </c>
    </row>
    <row r="16" spans="1:8" ht="15" customHeight="1">
      <c r="D16" s="68"/>
      <c r="E16" s="74">
        <v>314.28219999999999</v>
      </c>
      <c r="F16" s="75">
        <v>5994</v>
      </c>
      <c r="G16" s="75">
        <v>303.5</v>
      </c>
      <c r="H16" s="75">
        <v>10.782220000000001</v>
      </c>
    </row>
    <row r="17" spans="4:8" ht="15" customHeight="1">
      <c r="D17" s="68"/>
      <c r="E17" s="74">
        <v>313.92829999999998</v>
      </c>
      <c r="F17" s="75">
        <v>6469</v>
      </c>
      <c r="G17" s="75">
        <v>304.5</v>
      </c>
      <c r="H17" s="75">
        <v>9.4282500000000002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270</v>
      </c>
      <c r="D1" s="68"/>
      <c r="E1" s="139" t="s">
        <v>271</v>
      </c>
      <c r="F1" s="140"/>
      <c r="G1" s="140"/>
      <c r="H1" s="140"/>
      <c r="J1" s="68"/>
      <c r="K1" s="139" t="s">
        <v>272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95</v>
      </c>
      <c r="E4" s="74">
        <v>294.56670000000003</v>
      </c>
      <c r="F4" s="75">
        <v>301</v>
      </c>
      <c r="G4" s="75">
        <v>286.08</v>
      </c>
      <c r="H4" s="75">
        <v>8.4866799999999998</v>
      </c>
      <c r="J4" s="68" t="s">
        <v>95</v>
      </c>
      <c r="K4" s="74">
        <v>291.7611</v>
      </c>
      <c r="L4" s="75">
        <v>301</v>
      </c>
      <c r="M4" s="75">
        <v>282.13</v>
      </c>
      <c r="N4" s="75">
        <v>9.6310500000000001</v>
      </c>
    </row>
    <row r="5" spans="1:14" ht="15" customHeight="1">
      <c r="D5" s="68"/>
      <c r="E5" s="74">
        <v>294.53820000000002</v>
      </c>
      <c r="F5" s="75">
        <v>771</v>
      </c>
      <c r="G5" s="75">
        <v>286.29000000000002</v>
      </c>
      <c r="H5" s="75">
        <v>8.24817</v>
      </c>
      <c r="J5" s="68"/>
      <c r="K5" s="74">
        <v>291.65069999999997</v>
      </c>
      <c r="L5" s="75">
        <v>774</v>
      </c>
      <c r="M5" s="75">
        <v>282.39999999999998</v>
      </c>
      <c r="N5" s="75">
        <v>9.2507099999999998</v>
      </c>
    </row>
    <row r="6" spans="1:14" ht="15" customHeight="1">
      <c r="D6" s="68"/>
      <c r="E6" s="74">
        <v>293.21199999999999</v>
      </c>
      <c r="F6" s="75">
        <v>1247</v>
      </c>
      <c r="G6" s="75">
        <v>284.75</v>
      </c>
      <c r="H6" s="75">
        <v>8.4619700000000009</v>
      </c>
      <c r="J6" s="68"/>
      <c r="K6" s="74">
        <v>291.06040000000002</v>
      </c>
      <c r="L6" s="91">
        <v>1248</v>
      </c>
      <c r="M6" s="74">
        <v>281.88</v>
      </c>
      <c r="N6" s="75">
        <v>9.1803500000000007</v>
      </c>
    </row>
    <row r="7" spans="1:14" ht="15" customHeight="1">
      <c r="D7" s="68"/>
      <c r="E7" s="74">
        <v>293.1155</v>
      </c>
      <c r="F7" s="75">
        <v>1720</v>
      </c>
      <c r="G7" s="75">
        <v>284.79000000000002</v>
      </c>
      <c r="H7" s="75">
        <v>8.3255099999999995</v>
      </c>
      <c r="J7" s="68"/>
      <c r="K7" s="74">
        <v>291.3451</v>
      </c>
      <c r="L7" s="117">
        <v>1720</v>
      </c>
      <c r="M7" s="75">
        <v>282.13</v>
      </c>
      <c r="N7" s="75">
        <v>9.21509</v>
      </c>
    </row>
    <row r="8" spans="1:14" ht="15" customHeight="1">
      <c r="D8" s="68"/>
      <c r="E8" s="74">
        <v>293.36450000000002</v>
      </c>
      <c r="F8" s="75">
        <v>2191</v>
      </c>
      <c r="G8" s="75">
        <v>284.79000000000002</v>
      </c>
      <c r="H8" s="75">
        <v>8.5744699999999998</v>
      </c>
      <c r="J8" s="68"/>
      <c r="K8" s="74">
        <v>291.29680000000002</v>
      </c>
      <c r="L8" s="75">
        <v>2194</v>
      </c>
      <c r="M8" s="75">
        <v>281.92</v>
      </c>
      <c r="N8" s="75">
        <v>9.37683</v>
      </c>
    </row>
    <row r="9" spans="1:14" ht="15" customHeight="1">
      <c r="D9" s="68"/>
      <c r="E9" s="74">
        <v>293.15879999999999</v>
      </c>
      <c r="F9" s="75">
        <v>2664</v>
      </c>
      <c r="G9" s="75">
        <v>284.2</v>
      </c>
      <c r="H9" s="75">
        <v>8.9587800000000009</v>
      </c>
      <c r="J9" s="68"/>
      <c r="K9" s="74">
        <v>291.34129999999999</v>
      </c>
      <c r="L9" s="75">
        <v>2669</v>
      </c>
      <c r="M9" s="75">
        <v>281.76</v>
      </c>
      <c r="N9" s="75">
        <v>9.5813199999999998</v>
      </c>
    </row>
    <row r="10" spans="1:14" ht="15" customHeight="1">
      <c r="D10" s="68"/>
      <c r="E10" s="74">
        <v>292.01080000000002</v>
      </c>
      <c r="F10" s="75">
        <v>3143</v>
      </c>
      <c r="G10" s="75">
        <v>285.29000000000002</v>
      </c>
      <c r="H10" s="75">
        <v>6.7207800000000004</v>
      </c>
      <c r="J10" s="68"/>
      <c r="K10" s="74">
        <v>290.83339999999998</v>
      </c>
      <c r="L10" s="75">
        <v>3140</v>
      </c>
      <c r="M10" s="75">
        <v>282.32</v>
      </c>
      <c r="N10" s="75">
        <v>8.5133899999999993</v>
      </c>
    </row>
    <row r="11" spans="1:14" ht="15" customHeight="1">
      <c r="D11" s="68" t="s">
        <v>119</v>
      </c>
      <c r="E11" s="74">
        <v>291.95440000000002</v>
      </c>
      <c r="F11" s="75">
        <v>3618</v>
      </c>
      <c r="G11" s="75">
        <v>284.75</v>
      </c>
      <c r="H11" s="75">
        <v>7.2043900000000001</v>
      </c>
      <c r="J11" s="68" t="s">
        <v>94</v>
      </c>
      <c r="K11" s="74">
        <v>290.96699999999998</v>
      </c>
      <c r="L11" s="75">
        <v>3613</v>
      </c>
      <c r="M11" s="75">
        <v>283.01</v>
      </c>
      <c r="N11" s="75">
        <v>7.9569999999999999</v>
      </c>
    </row>
    <row r="12" spans="1:14" ht="15" customHeight="1">
      <c r="D12" s="68"/>
      <c r="E12" s="74">
        <v>291.79829999999998</v>
      </c>
      <c r="F12" s="75">
        <v>4096</v>
      </c>
      <c r="G12" s="75">
        <v>284.35000000000002</v>
      </c>
      <c r="H12" s="75">
        <v>7.4482400000000002</v>
      </c>
      <c r="J12" s="68"/>
      <c r="K12" s="74">
        <v>290.9864</v>
      </c>
      <c r="L12" s="75">
        <v>4088</v>
      </c>
      <c r="M12" s="75">
        <v>282.47000000000003</v>
      </c>
      <c r="N12" s="75">
        <v>8.5164000000000009</v>
      </c>
    </row>
    <row r="13" spans="1:14" ht="15" customHeight="1">
      <c r="D13" s="68"/>
      <c r="E13" s="74">
        <v>291.53140000000002</v>
      </c>
      <c r="F13" s="75">
        <v>4570</v>
      </c>
      <c r="G13" s="75">
        <v>284.56</v>
      </c>
      <c r="H13" s="75">
        <v>6.9714099999999997</v>
      </c>
      <c r="J13" s="68"/>
      <c r="K13" s="74">
        <v>291.1234</v>
      </c>
      <c r="L13" s="75">
        <v>4562</v>
      </c>
      <c r="M13" s="75">
        <v>283.05</v>
      </c>
      <c r="N13" s="75">
        <v>8.0734100000000009</v>
      </c>
    </row>
    <row r="14" spans="1:14" ht="15" customHeight="1">
      <c r="D14" s="68"/>
      <c r="E14" s="74">
        <v>291.8553</v>
      </c>
      <c r="F14" s="75">
        <v>5048</v>
      </c>
      <c r="G14" s="75">
        <v>284.52</v>
      </c>
      <c r="H14" s="75">
        <v>7.3352700000000004</v>
      </c>
      <c r="J14" s="68"/>
      <c r="K14" s="74">
        <v>291.26080000000002</v>
      </c>
      <c r="L14" s="75">
        <v>5036</v>
      </c>
      <c r="M14" s="75">
        <v>282.63</v>
      </c>
      <c r="N14" s="75">
        <v>8.6308000000000007</v>
      </c>
    </row>
    <row r="15" spans="1:14" ht="15" customHeight="1">
      <c r="D15" s="68"/>
      <c r="E15" s="68"/>
      <c r="F15" s="68"/>
      <c r="G15" s="68"/>
      <c r="H15" s="68"/>
      <c r="J15" s="68"/>
      <c r="K15" s="74">
        <v>290.7029</v>
      </c>
      <c r="L15" s="75">
        <v>5509</v>
      </c>
      <c r="M15" s="75">
        <v>282.11</v>
      </c>
      <c r="N15" s="75">
        <v>8.5929500000000001</v>
      </c>
    </row>
    <row r="16" spans="1:14" ht="15" customHeight="1">
      <c r="D16" s="68"/>
      <c r="E16" s="68"/>
      <c r="F16" s="68"/>
      <c r="G16" s="68"/>
      <c r="H16" s="68"/>
      <c r="J16" s="68"/>
      <c r="K16" s="68"/>
      <c r="L16" s="68"/>
      <c r="M16" s="68"/>
      <c r="N16" s="68"/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273</v>
      </c>
      <c r="D1" s="68"/>
      <c r="E1" s="139" t="s">
        <v>274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95</v>
      </c>
      <c r="E4" s="74">
        <v>329.79250000000002</v>
      </c>
      <c r="F4" s="75">
        <v>301</v>
      </c>
      <c r="G4" s="75">
        <v>298.7</v>
      </c>
      <c r="H4" s="75">
        <v>31.09254</v>
      </c>
    </row>
    <row r="5" spans="1:8" ht="15" customHeight="1">
      <c r="D5" s="68"/>
      <c r="E5" s="74">
        <v>328.64699999999999</v>
      </c>
      <c r="F5" s="75">
        <v>775</v>
      </c>
      <c r="G5" s="75">
        <v>296.89999999999998</v>
      </c>
      <c r="H5" s="75">
        <v>31.746970000000001</v>
      </c>
    </row>
    <row r="6" spans="1:8" ht="15" customHeight="1">
      <c r="D6" s="68"/>
      <c r="E6" s="74">
        <v>328.03640000000001</v>
      </c>
      <c r="F6" s="75">
        <v>1247</v>
      </c>
      <c r="G6" s="75">
        <v>296.7</v>
      </c>
      <c r="H6" s="75">
        <v>31.336359999999999</v>
      </c>
    </row>
    <row r="7" spans="1:8" ht="15" customHeight="1">
      <c r="D7" s="68"/>
      <c r="E7" s="74">
        <v>324.67880000000002</v>
      </c>
      <c r="F7" s="75">
        <v>1722</v>
      </c>
      <c r="G7" s="75">
        <v>292.7</v>
      </c>
      <c r="H7" s="75">
        <v>31.9788</v>
      </c>
    </row>
    <row r="8" spans="1:8" ht="15" customHeight="1">
      <c r="D8" s="68"/>
      <c r="E8" s="74">
        <v>324.29090000000002</v>
      </c>
      <c r="F8" s="75">
        <v>2195</v>
      </c>
      <c r="G8" s="75">
        <v>291.5</v>
      </c>
      <c r="H8" s="75">
        <v>32.790909999999997</v>
      </c>
    </row>
    <row r="9" spans="1:8" ht="15" customHeight="1">
      <c r="D9" s="68"/>
      <c r="E9" s="74">
        <v>322.89699999999999</v>
      </c>
      <c r="F9" s="75">
        <v>2669</v>
      </c>
      <c r="G9" s="75">
        <v>290.60000000000002</v>
      </c>
      <c r="H9" s="75">
        <v>32.296970000000002</v>
      </c>
    </row>
    <row r="10" spans="1:8" ht="15" customHeight="1">
      <c r="D10" s="68"/>
      <c r="E10" s="19">
        <v>321.12729999999999</v>
      </c>
      <c r="F10" s="20">
        <v>3142</v>
      </c>
      <c r="G10" s="20">
        <v>288.3</v>
      </c>
      <c r="H10" s="20">
        <v>32.827260000000003</v>
      </c>
    </row>
    <row r="11" spans="1:8" ht="15" customHeight="1">
      <c r="D11" s="68" t="s">
        <v>94</v>
      </c>
      <c r="E11" s="74">
        <v>321.59089999999998</v>
      </c>
      <c r="F11" s="75">
        <v>3616</v>
      </c>
      <c r="G11" s="75">
        <v>291.7</v>
      </c>
      <c r="H11" s="75">
        <v>29.890899999999998</v>
      </c>
    </row>
    <row r="12" spans="1:8" ht="15" customHeight="1">
      <c r="D12" s="68"/>
      <c r="E12" s="74">
        <v>323.01819999999998</v>
      </c>
      <c r="F12" s="75">
        <v>4087</v>
      </c>
      <c r="G12" s="75">
        <v>294.39999999999998</v>
      </c>
      <c r="H12" s="75">
        <v>28.618169999999999</v>
      </c>
    </row>
    <row r="13" spans="1:8" ht="15" customHeight="1">
      <c r="D13" s="68"/>
      <c r="E13" s="74">
        <v>322.83030000000002</v>
      </c>
      <c r="F13" s="75">
        <v>4561</v>
      </c>
      <c r="G13" s="75">
        <v>294.60000000000002</v>
      </c>
      <c r="H13" s="75">
        <v>28.2303</v>
      </c>
    </row>
    <row r="14" spans="1:8" ht="15" customHeight="1">
      <c r="D14" s="68"/>
      <c r="E14" s="74">
        <v>322.62419999999997</v>
      </c>
      <c r="F14" s="91">
        <v>5034</v>
      </c>
      <c r="G14" s="74">
        <v>293.2</v>
      </c>
      <c r="H14" s="75">
        <v>29.424250000000001</v>
      </c>
    </row>
    <row r="15" spans="1:8" ht="15" customHeight="1">
      <c r="D15" s="68"/>
      <c r="E15" s="74">
        <v>321.4545</v>
      </c>
      <c r="F15" s="117">
        <v>5508</v>
      </c>
      <c r="G15" s="75">
        <v>293.3</v>
      </c>
      <c r="H15" s="75">
        <v>28.154540000000001</v>
      </c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275</v>
      </c>
      <c r="D1" s="68"/>
      <c r="E1" s="139" t="s">
        <v>276</v>
      </c>
      <c r="F1" s="140"/>
      <c r="G1" s="140"/>
      <c r="H1" s="140"/>
      <c r="J1" s="68"/>
      <c r="K1" s="139" t="s">
        <v>277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95</v>
      </c>
      <c r="E4" s="74">
        <v>292.60849999999999</v>
      </c>
      <c r="F4" s="75">
        <v>301</v>
      </c>
      <c r="G4" s="75">
        <v>281.8</v>
      </c>
      <c r="H4" s="75">
        <v>10.808490000000001</v>
      </c>
      <c r="J4" s="68" t="s">
        <v>95</v>
      </c>
      <c r="K4" s="74">
        <v>288.61250000000001</v>
      </c>
      <c r="L4" s="75">
        <v>301</v>
      </c>
      <c r="M4" s="75">
        <v>282.17</v>
      </c>
      <c r="N4" s="75">
        <v>6.4424400000000004</v>
      </c>
    </row>
    <row r="5" spans="1:14" ht="15" customHeight="1">
      <c r="D5" s="68"/>
      <c r="E5" s="74">
        <v>291.5367</v>
      </c>
      <c r="F5" s="75">
        <v>774</v>
      </c>
      <c r="G5" s="75">
        <v>281.04000000000002</v>
      </c>
      <c r="H5" s="75">
        <v>10.49666</v>
      </c>
      <c r="J5" s="68"/>
      <c r="K5" s="74">
        <v>287.93150000000003</v>
      </c>
      <c r="L5" s="75">
        <v>775</v>
      </c>
      <c r="M5" s="75">
        <v>281.63</v>
      </c>
      <c r="N5" s="75">
        <v>6.3015100000000004</v>
      </c>
    </row>
    <row r="6" spans="1:14" ht="15" customHeight="1">
      <c r="D6" s="68"/>
      <c r="E6" s="74">
        <v>293.01609999999999</v>
      </c>
      <c r="F6" s="75">
        <v>1254</v>
      </c>
      <c r="G6" s="75">
        <v>282.05</v>
      </c>
      <c r="H6" s="75">
        <v>10.96607</v>
      </c>
      <c r="J6" s="68"/>
      <c r="K6" s="74">
        <v>287.35230000000001</v>
      </c>
      <c r="L6" s="75">
        <v>1248</v>
      </c>
      <c r="M6" s="75">
        <v>280.61</v>
      </c>
      <c r="N6" s="75">
        <v>6.7422700000000004</v>
      </c>
    </row>
    <row r="7" spans="1:14" ht="15" customHeight="1">
      <c r="D7" s="68"/>
      <c r="E7" s="74">
        <v>291.67349999999999</v>
      </c>
      <c r="F7" s="75">
        <v>1727</v>
      </c>
      <c r="G7" s="75">
        <v>281.39999999999998</v>
      </c>
      <c r="H7" s="75">
        <v>10.2735</v>
      </c>
      <c r="J7" s="68"/>
      <c r="K7" s="74">
        <v>287.3766</v>
      </c>
      <c r="L7" s="75">
        <v>1722</v>
      </c>
      <c r="M7" s="75">
        <v>280.29000000000002</v>
      </c>
      <c r="N7" s="75">
        <v>7.0865900000000002</v>
      </c>
    </row>
    <row r="8" spans="1:14" ht="15" customHeight="1">
      <c r="D8" s="68"/>
      <c r="E8" s="74">
        <v>291.92610000000002</v>
      </c>
      <c r="F8" s="75">
        <v>2202</v>
      </c>
      <c r="G8" s="75">
        <v>281.19</v>
      </c>
      <c r="H8" s="75">
        <v>10.73606</v>
      </c>
      <c r="J8" s="68"/>
      <c r="K8" s="74">
        <v>287.39659999999998</v>
      </c>
      <c r="L8" s="75">
        <v>2192</v>
      </c>
      <c r="M8" s="75">
        <v>281.38</v>
      </c>
      <c r="N8" s="75">
        <v>6.0166000000000004</v>
      </c>
    </row>
    <row r="9" spans="1:14" ht="15" customHeight="1">
      <c r="D9" s="68"/>
      <c r="E9" s="74">
        <v>291.86090000000002</v>
      </c>
      <c r="F9" s="75">
        <v>2676</v>
      </c>
      <c r="G9" s="75">
        <v>280.48</v>
      </c>
      <c r="H9" s="75">
        <v>11.380929999999999</v>
      </c>
      <c r="J9" s="68"/>
      <c r="K9" s="74">
        <v>286.6404</v>
      </c>
      <c r="L9" s="75">
        <v>2671</v>
      </c>
      <c r="M9" s="75">
        <v>282.11</v>
      </c>
      <c r="N9" s="75">
        <v>4.5303899999999997</v>
      </c>
    </row>
    <row r="10" spans="1:14" ht="15" customHeight="1">
      <c r="D10" s="68"/>
      <c r="E10" s="74">
        <v>291.1551</v>
      </c>
      <c r="F10" s="75">
        <v>3149</v>
      </c>
      <c r="G10" s="75">
        <v>280.02</v>
      </c>
      <c r="H10" s="75">
        <v>11.1351</v>
      </c>
      <c r="J10" s="68"/>
      <c r="K10" s="74">
        <v>286.726</v>
      </c>
      <c r="L10" s="75">
        <v>3143</v>
      </c>
      <c r="M10" s="75">
        <v>282.55</v>
      </c>
      <c r="N10" s="75">
        <v>4.1759700000000004</v>
      </c>
    </row>
    <row r="11" spans="1:14" ht="15" customHeight="1">
      <c r="D11" s="68" t="s">
        <v>120</v>
      </c>
      <c r="E11" s="74">
        <v>291.09980000000002</v>
      </c>
      <c r="F11" s="75">
        <v>3621</v>
      </c>
      <c r="G11" s="75">
        <v>282.93</v>
      </c>
      <c r="H11" s="75">
        <v>8.1698199999999996</v>
      </c>
      <c r="J11" s="68" t="s">
        <v>107</v>
      </c>
      <c r="K11" s="74">
        <v>286.69909999999999</v>
      </c>
      <c r="L11" s="75">
        <v>3618</v>
      </c>
      <c r="M11" s="75">
        <v>282.24</v>
      </c>
      <c r="N11" s="75">
        <v>4.4590699999999996</v>
      </c>
    </row>
    <row r="12" spans="1:14" ht="15" customHeight="1">
      <c r="D12" s="68"/>
      <c r="E12" s="74">
        <v>290.57490000000001</v>
      </c>
      <c r="F12" s="75">
        <v>4095</v>
      </c>
      <c r="G12" s="75">
        <v>282.74</v>
      </c>
      <c r="H12" s="75">
        <v>7.8349099999999998</v>
      </c>
      <c r="J12" s="68"/>
      <c r="K12" s="74">
        <v>286.95170000000002</v>
      </c>
      <c r="L12" s="75">
        <v>4091</v>
      </c>
      <c r="M12" s="75">
        <v>282.93</v>
      </c>
      <c r="N12" s="75">
        <v>4.0217099999999997</v>
      </c>
    </row>
    <row r="13" spans="1:14" ht="15" customHeight="1">
      <c r="D13" s="68"/>
      <c r="E13" s="74">
        <v>290.75380000000001</v>
      </c>
      <c r="F13" s="75">
        <v>4571</v>
      </c>
      <c r="G13" s="75">
        <v>283.72000000000003</v>
      </c>
      <c r="H13" s="75">
        <v>7.0337699999999996</v>
      </c>
      <c r="J13" s="68"/>
      <c r="K13" s="74">
        <v>288.09379999999999</v>
      </c>
      <c r="L13" s="75">
        <v>4560</v>
      </c>
      <c r="M13" s="75">
        <v>283.14</v>
      </c>
      <c r="N13" s="75">
        <v>4.9537599999999999</v>
      </c>
    </row>
    <row r="14" spans="1:14" ht="15" customHeight="1">
      <c r="D14" s="68"/>
      <c r="E14" s="74">
        <v>291.2672</v>
      </c>
      <c r="F14" s="75">
        <v>5043</v>
      </c>
      <c r="G14" s="75">
        <v>283.08999999999997</v>
      </c>
      <c r="H14" s="75">
        <v>8.1771700000000003</v>
      </c>
      <c r="J14" s="68"/>
      <c r="K14" s="74">
        <v>288.10449999999997</v>
      </c>
      <c r="L14" s="75">
        <v>5036</v>
      </c>
      <c r="M14" s="75">
        <v>283.49</v>
      </c>
      <c r="N14" s="75">
        <v>4.6145399999999999</v>
      </c>
    </row>
    <row r="15" spans="1:14" ht="15" customHeight="1">
      <c r="D15" s="68"/>
      <c r="E15" s="74">
        <v>291.97469999999998</v>
      </c>
      <c r="F15" s="75">
        <v>5513</v>
      </c>
      <c r="G15" s="75">
        <v>284.87</v>
      </c>
      <c r="H15" s="75">
        <v>7.1047200000000004</v>
      </c>
      <c r="J15" s="68"/>
      <c r="K15" s="68"/>
      <c r="L15" s="68"/>
      <c r="M15" s="68"/>
      <c r="N15" s="68"/>
    </row>
    <row r="16" spans="1:14" ht="15" customHeight="1">
      <c r="D16" s="68"/>
      <c r="E16" s="74">
        <v>291.97680000000003</v>
      </c>
      <c r="F16" s="75">
        <v>5988</v>
      </c>
      <c r="G16" s="75">
        <v>284.29000000000002</v>
      </c>
      <c r="H16" s="75">
        <v>7.6867799999999997</v>
      </c>
      <c r="J16" s="68"/>
      <c r="K16" s="68"/>
      <c r="L16" s="68"/>
      <c r="M16" s="68"/>
      <c r="N16" s="68"/>
    </row>
    <row r="17" spans="4:14" ht="15" customHeight="1">
      <c r="D17" s="68"/>
      <c r="E17" s="74">
        <v>291.77089999999998</v>
      </c>
      <c r="F17" s="75">
        <v>6461</v>
      </c>
      <c r="G17" s="75">
        <v>284.24</v>
      </c>
      <c r="H17" s="75">
        <v>7.5309499999999998</v>
      </c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278</v>
      </c>
      <c r="D1" s="68"/>
      <c r="E1" s="139" t="s">
        <v>279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95</v>
      </c>
      <c r="E4" s="74">
        <v>332.4452</v>
      </c>
      <c r="F4" s="75">
        <v>301</v>
      </c>
      <c r="G4" s="75">
        <v>308</v>
      </c>
      <c r="H4" s="75">
        <v>24.445160000000001</v>
      </c>
    </row>
    <row r="5" spans="1:8" ht="15" customHeight="1">
      <c r="D5" s="68"/>
      <c r="E5" s="74">
        <v>330.63549999999998</v>
      </c>
      <c r="F5" s="75">
        <v>773</v>
      </c>
      <c r="G5" s="75">
        <v>306.3</v>
      </c>
      <c r="H5" s="75">
        <v>24.335470000000001</v>
      </c>
    </row>
    <row r="6" spans="1:8" ht="15" customHeight="1">
      <c r="D6" s="68"/>
      <c r="E6" s="74">
        <v>330.13389999999998</v>
      </c>
      <c r="F6" s="75">
        <v>1246</v>
      </c>
      <c r="G6" s="75">
        <v>305.7</v>
      </c>
      <c r="H6" s="75">
        <v>24.433869999999999</v>
      </c>
    </row>
    <row r="7" spans="1:8" ht="15" customHeight="1">
      <c r="D7" s="68"/>
      <c r="E7" s="74">
        <v>328.77420000000001</v>
      </c>
      <c r="F7" s="75">
        <v>1719</v>
      </c>
      <c r="G7" s="75">
        <v>304.89999999999998</v>
      </c>
      <c r="H7" s="75">
        <v>23.874199999999998</v>
      </c>
    </row>
    <row r="8" spans="1:8" ht="15" customHeight="1">
      <c r="D8" s="68"/>
      <c r="E8" s="74">
        <v>327.541</v>
      </c>
      <c r="F8" s="75">
        <v>2194</v>
      </c>
      <c r="G8" s="75">
        <v>304.5</v>
      </c>
      <c r="H8" s="75">
        <v>23.040970000000002</v>
      </c>
    </row>
    <row r="9" spans="1:8" ht="15" customHeight="1">
      <c r="D9" s="68"/>
      <c r="E9" s="74">
        <v>326.12459999999999</v>
      </c>
      <c r="F9" s="75">
        <v>2666</v>
      </c>
      <c r="G9" s="75">
        <v>301.7</v>
      </c>
      <c r="H9" s="75">
        <v>24.424589999999998</v>
      </c>
    </row>
    <row r="10" spans="1:8" ht="15" customHeight="1">
      <c r="D10" s="68"/>
      <c r="E10" s="19">
        <v>325.53769999999997</v>
      </c>
      <c r="F10" s="20">
        <v>3140</v>
      </c>
      <c r="G10" s="20">
        <v>303.3</v>
      </c>
      <c r="H10" s="20">
        <v>22.237719999999999</v>
      </c>
    </row>
    <row r="11" spans="1:8" ht="15" customHeight="1">
      <c r="D11" s="68" t="s">
        <v>120</v>
      </c>
      <c r="E11" s="19">
        <v>325.35649999999998</v>
      </c>
      <c r="F11" s="20">
        <v>3613</v>
      </c>
      <c r="G11" s="20">
        <v>304.8</v>
      </c>
      <c r="H11" s="20">
        <v>20.556450000000002</v>
      </c>
    </row>
    <row r="12" spans="1:8" ht="15" customHeight="1">
      <c r="D12" s="68"/>
      <c r="E12" s="74">
        <v>324.62580000000003</v>
      </c>
      <c r="F12" s="75">
        <v>4086</v>
      </c>
      <c r="G12" s="75">
        <v>304.89999999999998</v>
      </c>
      <c r="H12" s="75">
        <v>19.725819999999999</v>
      </c>
    </row>
    <row r="13" spans="1:8" ht="15" customHeight="1">
      <c r="D13" s="68"/>
      <c r="E13" s="74">
        <v>324.07900000000001</v>
      </c>
      <c r="F13" s="91">
        <v>4561</v>
      </c>
      <c r="G13" s="74">
        <v>304.10000000000002</v>
      </c>
      <c r="H13" s="75">
        <v>19.979019999999998</v>
      </c>
    </row>
    <row r="14" spans="1:8" ht="15" customHeight="1">
      <c r="D14" s="68"/>
      <c r="E14" s="74">
        <v>322.25229999999999</v>
      </c>
      <c r="F14" s="117">
        <v>5033</v>
      </c>
      <c r="G14" s="75">
        <v>302.7</v>
      </c>
      <c r="H14" s="75">
        <v>19.552299999999999</v>
      </c>
    </row>
    <row r="15" spans="1:8" ht="15" customHeight="1">
      <c r="D15" s="68"/>
      <c r="E15" s="74">
        <v>320.62</v>
      </c>
      <c r="F15" s="75">
        <v>5508</v>
      </c>
      <c r="G15" s="75">
        <v>300.7</v>
      </c>
      <c r="H15" s="75">
        <v>19.919989999999999</v>
      </c>
    </row>
    <row r="16" spans="1:8" ht="15" customHeight="1">
      <c r="D16" s="68"/>
      <c r="E16" s="74">
        <v>320.29230000000001</v>
      </c>
      <c r="F16" s="75">
        <v>5982</v>
      </c>
      <c r="G16" s="75">
        <v>301.3</v>
      </c>
      <c r="H16" s="75">
        <v>18.992319999999999</v>
      </c>
    </row>
    <row r="17" spans="4:8" ht="15" customHeight="1">
      <c r="D17" s="68"/>
      <c r="E17" s="74">
        <v>318.87849999999997</v>
      </c>
      <c r="F17" s="75">
        <v>6454</v>
      </c>
      <c r="G17" s="75">
        <v>300.3</v>
      </c>
      <c r="H17" s="75">
        <v>18.57846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280</v>
      </c>
      <c r="D1" s="68"/>
      <c r="E1" s="139" t="s">
        <v>281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291.88150000000002</v>
      </c>
      <c r="F4" s="75">
        <v>301</v>
      </c>
      <c r="G4" s="75">
        <v>282.14999999999998</v>
      </c>
      <c r="H4" s="75">
        <v>9.7315500000000004</v>
      </c>
    </row>
    <row r="5" spans="1:8" ht="15" customHeight="1">
      <c r="D5" s="68"/>
      <c r="E5" s="74">
        <v>293.39089999999999</v>
      </c>
      <c r="F5" s="75">
        <v>775</v>
      </c>
      <c r="G5" s="75">
        <v>283.62</v>
      </c>
      <c r="H5" s="75">
        <v>9.7708899999999996</v>
      </c>
    </row>
    <row r="6" spans="1:8" ht="15" customHeight="1">
      <c r="D6" s="68"/>
      <c r="E6" s="74">
        <v>292.17739999999998</v>
      </c>
      <c r="F6" s="75">
        <v>1249</v>
      </c>
      <c r="G6" s="75">
        <v>283.02999999999997</v>
      </c>
      <c r="H6" s="75">
        <v>9.1474399999999996</v>
      </c>
    </row>
    <row r="7" spans="1:8" ht="15" customHeight="1">
      <c r="D7" s="68"/>
      <c r="E7" s="74">
        <v>292.41210000000001</v>
      </c>
      <c r="F7" s="75">
        <v>1721</v>
      </c>
      <c r="G7" s="75">
        <v>282.8</v>
      </c>
      <c r="H7" s="75">
        <v>9.6120699999999992</v>
      </c>
    </row>
    <row r="8" spans="1:8" ht="15" customHeight="1">
      <c r="D8" s="68"/>
      <c r="E8" s="74">
        <v>292.62189999999998</v>
      </c>
      <c r="F8" s="75">
        <v>2200</v>
      </c>
      <c r="G8" s="75">
        <v>283.12</v>
      </c>
      <c r="H8" s="75">
        <v>9.5018899999999995</v>
      </c>
    </row>
    <row r="9" spans="1:8" ht="15" customHeight="1">
      <c r="D9" s="68"/>
      <c r="E9" s="74">
        <v>292.33080000000001</v>
      </c>
      <c r="F9" s="75">
        <v>2672</v>
      </c>
      <c r="G9" s="75">
        <v>282.39999999999998</v>
      </c>
      <c r="H9" s="75">
        <v>9.9307800000000004</v>
      </c>
    </row>
    <row r="10" spans="1:8" ht="15" customHeight="1">
      <c r="D10" s="68" t="s">
        <v>120</v>
      </c>
      <c r="E10" s="19">
        <v>292.74650000000003</v>
      </c>
      <c r="F10" s="20">
        <v>3147</v>
      </c>
      <c r="G10" s="20">
        <v>284.14</v>
      </c>
      <c r="H10" s="20">
        <v>8.6065299999999993</v>
      </c>
    </row>
    <row r="11" spans="1:8" ht="15" customHeight="1">
      <c r="D11" s="68"/>
      <c r="E11" s="19">
        <v>292.25670000000002</v>
      </c>
      <c r="F11" s="20">
        <v>3620</v>
      </c>
      <c r="G11" s="20">
        <v>284.75</v>
      </c>
      <c r="H11" s="20">
        <v>7.5067300000000001</v>
      </c>
    </row>
    <row r="12" spans="1:8" ht="15" customHeight="1">
      <c r="D12" s="68"/>
      <c r="E12" s="19">
        <v>291.91590000000002</v>
      </c>
      <c r="F12" s="20">
        <v>4094</v>
      </c>
      <c r="G12" s="20">
        <v>284.62</v>
      </c>
      <c r="H12" s="20">
        <v>7.2958499999999997</v>
      </c>
    </row>
    <row r="13" spans="1:8" ht="15" customHeight="1">
      <c r="D13" s="68"/>
      <c r="E13" s="19">
        <v>291.93380000000002</v>
      </c>
      <c r="F13" s="20">
        <v>4568</v>
      </c>
      <c r="G13" s="20">
        <v>284.2</v>
      </c>
      <c r="H13" s="20">
        <v>7.7337699999999998</v>
      </c>
    </row>
    <row r="14" spans="1:8" ht="15" customHeight="1">
      <c r="D14" s="68"/>
      <c r="E14" s="74">
        <v>291.93130000000002</v>
      </c>
      <c r="F14" s="75">
        <v>5040</v>
      </c>
      <c r="G14" s="75">
        <v>285.23</v>
      </c>
      <c r="H14" s="75">
        <v>6.7013100000000003</v>
      </c>
    </row>
    <row r="15" spans="1:8" ht="15" customHeight="1">
      <c r="D15" s="68"/>
      <c r="E15" s="74">
        <v>292.0138</v>
      </c>
      <c r="F15" s="75">
        <v>5514</v>
      </c>
      <c r="G15" s="75">
        <v>284.98</v>
      </c>
      <c r="H15" s="75">
        <v>7.03383</v>
      </c>
    </row>
    <row r="16" spans="1:8" ht="15" customHeight="1">
      <c r="D16" s="68"/>
      <c r="E16" s="74">
        <v>291.83550000000002</v>
      </c>
      <c r="F16" s="75">
        <v>5988</v>
      </c>
      <c r="G16" s="75">
        <v>284.91000000000003</v>
      </c>
      <c r="H16" s="75">
        <v>6.9254699999999998</v>
      </c>
    </row>
    <row r="17" spans="4:8" ht="15" customHeight="1">
      <c r="D17" s="68"/>
      <c r="E17" s="74">
        <v>291.84910000000002</v>
      </c>
      <c r="F17" s="91">
        <v>6461</v>
      </c>
      <c r="G17" s="74">
        <v>285.33</v>
      </c>
      <c r="H17" s="75">
        <v>6.5190700000000001</v>
      </c>
    </row>
    <row r="18" spans="4:8" ht="15" customHeight="1">
      <c r="D18" s="68"/>
      <c r="E18" s="74">
        <v>291.56560000000002</v>
      </c>
      <c r="F18" s="117">
        <v>6934</v>
      </c>
      <c r="G18" s="75">
        <v>285.04000000000002</v>
      </c>
      <c r="H18" s="75">
        <v>6.5255599999999996</v>
      </c>
    </row>
    <row r="19" spans="4:8" ht="15" customHeight="1">
      <c r="D19" s="68"/>
      <c r="E19" s="74">
        <v>292.1472</v>
      </c>
      <c r="F19" s="75">
        <v>7406</v>
      </c>
      <c r="G19" s="75">
        <v>285.23</v>
      </c>
      <c r="H19" s="75">
        <v>6.91716</v>
      </c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282</v>
      </c>
      <c r="D1" s="68"/>
      <c r="E1" s="139" t="s">
        <v>283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95</v>
      </c>
      <c r="E4" s="74">
        <v>348.5865</v>
      </c>
      <c r="F4" s="75">
        <v>303</v>
      </c>
      <c r="G4" s="75">
        <v>323.3</v>
      </c>
      <c r="H4" s="75">
        <v>25.286539999999999</v>
      </c>
    </row>
    <row r="5" spans="1:8" ht="15" customHeight="1">
      <c r="D5" s="68"/>
      <c r="E5" s="74">
        <v>347.67930000000001</v>
      </c>
      <c r="F5" s="75">
        <v>776</v>
      </c>
      <c r="G5" s="75">
        <v>322.39999999999998</v>
      </c>
      <c r="H5" s="75">
        <v>25.279250000000001</v>
      </c>
    </row>
    <row r="6" spans="1:8" ht="15" customHeight="1">
      <c r="D6" s="68"/>
      <c r="E6" s="74">
        <v>345.54340000000002</v>
      </c>
      <c r="F6" s="75">
        <v>1250</v>
      </c>
      <c r="G6" s="75">
        <v>319.2</v>
      </c>
      <c r="H6" s="75">
        <v>26.343389999999999</v>
      </c>
    </row>
    <row r="7" spans="1:8" ht="15" customHeight="1">
      <c r="D7" s="68"/>
      <c r="E7" s="74">
        <v>341.46730000000002</v>
      </c>
      <c r="F7" s="75">
        <v>1729</v>
      </c>
      <c r="G7" s="75">
        <v>315.39999999999998</v>
      </c>
      <c r="H7" s="75">
        <v>26.067309999999999</v>
      </c>
    </row>
    <row r="8" spans="1:8" ht="15" customHeight="1">
      <c r="D8" s="68"/>
      <c r="E8" s="74">
        <v>341.85579999999999</v>
      </c>
      <c r="F8" s="75">
        <v>2202</v>
      </c>
      <c r="G8" s="75">
        <v>315.60000000000002</v>
      </c>
      <c r="H8" s="75">
        <v>26.255759999999999</v>
      </c>
    </row>
    <row r="9" spans="1:8" ht="15" customHeight="1">
      <c r="D9" s="68"/>
      <c r="E9" s="74">
        <v>340.6472</v>
      </c>
      <c r="F9" s="75">
        <v>2675</v>
      </c>
      <c r="G9" s="75">
        <v>315.10000000000002</v>
      </c>
      <c r="H9" s="75">
        <v>25.547160000000002</v>
      </c>
    </row>
    <row r="10" spans="1:8" ht="15" customHeight="1">
      <c r="D10" s="68" t="s">
        <v>114</v>
      </c>
      <c r="E10" s="19">
        <v>342.483</v>
      </c>
      <c r="F10" s="20">
        <v>3148</v>
      </c>
      <c r="G10" s="20">
        <v>321.8</v>
      </c>
      <c r="H10" s="20">
        <v>20.683029999999999</v>
      </c>
    </row>
    <row r="11" spans="1:8" ht="15" customHeight="1">
      <c r="D11" s="68"/>
      <c r="E11" s="19">
        <v>341.5283</v>
      </c>
      <c r="F11" s="20">
        <v>3625</v>
      </c>
      <c r="G11" s="20">
        <v>321.5</v>
      </c>
      <c r="H11" s="20">
        <v>20.028310000000001</v>
      </c>
    </row>
    <row r="12" spans="1:8" ht="15" customHeight="1">
      <c r="D12" s="68"/>
      <c r="E12" s="19">
        <v>339.96789999999999</v>
      </c>
      <c r="F12" s="20">
        <v>4097</v>
      </c>
      <c r="G12" s="20">
        <v>323</v>
      </c>
      <c r="H12" s="20">
        <v>16.967919999999999</v>
      </c>
    </row>
    <row r="13" spans="1:8" ht="15" customHeight="1">
      <c r="D13" s="68"/>
      <c r="E13" s="74">
        <v>337.64420000000001</v>
      </c>
      <c r="F13" s="75">
        <v>4573</v>
      </c>
      <c r="G13" s="75">
        <v>319.7</v>
      </c>
      <c r="H13" s="75">
        <v>17.944230000000001</v>
      </c>
    </row>
    <row r="14" spans="1:8" ht="15" customHeight="1">
      <c r="D14" s="68"/>
      <c r="E14" s="74">
        <v>337.79809999999998</v>
      </c>
      <c r="F14" s="91">
        <v>5046</v>
      </c>
      <c r="G14" s="74">
        <v>320.10000000000002</v>
      </c>
      <c r="H14" s="75">
        <v>17.698070000000001</v>
      </c>
    </row>
    <row r="15" spans="1:8" ht="15" customHeight="1">
      <c r="D15" s="68"/>
      <c r="E15" s="74">
        <v>337.75470000000001</v>
      </c>
      <c r="F15" s="117">
        <v>5518</v>
      </c>
      <c r="G15" s="75">
        <v>320.2</v>
      </c>
      <c r="H15" s="75">
        <v>17.55472</v>
      </c>
    </row>
    <row r="16" spans="1:8" ht="15" customHeight="1">
      <c r="D16" s="68"/>
      <c r="E16" s="74">
        <v>337.21129999999999</v>
      </c>
      <c r="F16" s="75">
        <v>5991</v>
      </c>
      <c r="G16" s="75">
        <v>320</v>
      </c>
      <c r="H16" s="75">
        <v>17.21133</v>
      </c>
    </row>
    <row r="17" spans="4:8" ht="15" customHeight="1">
      <c r="D17" s="68"/>
      <c r="E17" s="19">
        <v>335.69619999999998</v>
      </c>
      <c r="F17" s="20">
        <v>6463</v>
      </c>
      <c r="G17" s="20">
        <v>320.89999999999998</v>
      </c>
      <c r="H17" s="20">
        <v>14.796239999999999</v>
      </c>
    </row>
    <row r="18" spans="4:8" ht="15" customHeight="1">
      <c r="D18" s="68"/>
      <c r="E18" s="74">
        <v>335.82830000000001</v>
      </c>
      <c r="F18" s="75">
        <v>6937</v>
      </c>
      <c r="G18" s="75">
        <v>318.7</v>
      </c>
      <c r="H18" s="75">
        <v>17.128309999999999</v>
      </c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284</v>
      </c>
      <c r="D1" s="68"/>
      <c r="E1" s="139" t="s">
        <v>285</v>
      </c>
      <c r="F1" s="140"/>
      <c r="G1" s="140"/>
      <c r="H1" s="140"/>
      <c r="J1" s="68"/>
      <c r="K1" s="139" t="s">
        <v>286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112</v>
      </c>
      <c r="D4" s="68" t="s">
        <v>143</v>
      </c>
      <c r="E4" s="74">
        <v>303.28050000000002</v>
      </c>
      <c r="F4" s="75">
        <v>301</v>
      </c>
      <c r="G4" s="75">
        <v>294.24</v>
      </c>
      <c r="H4" s="75">
        <v>9.0405499999999996</v>
      </c>
      <c r="J4" s="68" t="s">
        <v>95</v>
      </c>
      <c r="K4" s="74">
        <v>300.01130000000001</v>
      </c>
      <c r="L4" s="75">
        <v>301</v>
      </c>
      <c r="M4" s="75">
        <v>293.39999999999998</v>
      </c>
      <c r="N4" s="75">
        <v>6.6112599999999997</v>
      </c>
    </row>
    <row r="5" spans="1:14" ht="15" customHeight="1">
      <c r="D5" s="68"/>
      <c r="E5" s="74">
        <v>302.82380000000001</v>
      </c>
      <c r="F5" s="75">
        <v>775</v>
      </c>
      <c r="G5" s="75">
        <v>293.57</v>
      </c>
      <c r="H5" s="75">
        <v>9.2537699999999994</v>
      </c>
      <c r="J5" s="68"/>
      <c r="K5" s="74">
        <v>299.06060000000002</v>
      </c>
      <c r="L5" s="75">
        <v>780</v>
      </c>
      <c r="M5" s="75">
        <v>291.19</v>
      </c>
      <c r="N5" s="75">
        <v>7.8706199999999997</v>
      </c>
    </row>
    <row r="6" spans="1:14" ht="15" customHeight="1">
      <c r="D6" s="68"/>
      <c r="E6" s="74">
        <v>303.18970000000002</v>
      </c>
      <c r="F6" s="75">
        <v>1249</v>
      </c>
      <c r="G6" s="75">
        <v>293.77999999999997</v>
      </c>
      <c r="H6" s="75">
        <v>9.4097200000000001</v>
      </c>
      <c r="J6" s="68"/>
      <c r="K6" s="74">
        <v>298.99079999999998</v>
      </c>
      <c r="L6" s="75">
        <v>1257</v>
      </c>
      <c r="M6" s="75">
        <v>292.08999999999997</v>
      </c>
      <c r="N6" s="75">
        <v>6.90083</v>
      </c>
    </row>
    <row r="7" spans="1:14" ht="15" customHeight="1">
      <c r="D7" s="68"/>
      <c r="E7" s="74">
        <v>303.07459999999998</v>
      </c>
      <c r="F7" s="75">
        <v>1721</v>
      </c>
      <c r="G7" s="75">
        <v>293.86</v>
      </c>
      <c r="H7" s="75">
        <v>9.2146000000000008</v>
      </c>
      <c r="J7" s="68"/>
      <c r="K7" s="74">
        <v>299.3288</v>
      </c>
      <c r="L7" s="75">
        <v>1727</v>
      </c>
      <c r="M7" s="75">
        <v>291.56</v>
      </c>
      <c r="N7" s="75">
        <v>7.7687499999999998</v>
      </c>
    </row>
    <row r="8" spans="1:14" ht="15" customHeight="1">
      <c r="D8" s="68"/>
      <c r="E8" s="74">
        <v>303.0838</v>
      </c>
      <c r="F8" s="75">
        <v>2194</v>
      </c>
      <c r="G8" s="75">
        <v>293.91000000000003</v>
      </c>
      <c r="H8" s="75">
        <v>9.1737800000000007</v>
      </c>
      <c r="J8" s="68"/>
      <c r="K8" s="74">
        <v>299.31189999999998</v>
      </c>
      <c r="L8" s="75">
        <v>2196</v>
      </c>
      <c r="M8" s="75">
        <v>292.02</v>
      </c>
      <c r="N8" s="75">
        <v>7.2918799999999999</v>
      </c>
    </row>
    <row r="9" spans="1:14" ht="15" customHeight="1">
      <c r="D9" s="68" t="s">
        <v>120</v>
      </c>
      <c r="E9" s="74">
        <v>300.29050000000001</v>
      </c>
      <c r="F9" s="75">
        <v>2673</v>
      </c>
      <c r="G9" s="75">
        <v>293.66000000000003</v>
      </c>
      <c r="H9" s="75">
        <v>6.6305399999999999</v>
      </c>
      <c r="J9" s="68"/>
      <c r="K9" s="74">
        <v>298.91379999999998</v>
      </c>
      <c r="L9" s="75">
        <v>2675</v>
      </c>
      <c r="M9" s="75">
        <v>291.17</v>
      </c>
      <c r="N9" s="75">
        <v>7.7437399999999998</v>
      </c>
    </row>
    <row r="10" spans="1:14" ht="15" customHeight="1">
      <c r="D10" s="68"/>
      <c r="E10" s="74">
        <v>300.97190000000001</v>
      </c>
      <c r="F10" s="75">
        <v>3146</v>
      </c>
      <c r="G10" s="75">
        <v>294.77999999999997</v>
      </c>
      <c r="H10" s="75">
        <v>6.1918899999999999</v>
      </c>
      <c r="J10" s="68" t="s">
        <v>107</v>
      </c>
      <c r="K10" s="74">
        <v>302.56760000000003</v>
      </c>
      <c r="L10" s="75">
        <v>3154</v>
      </c>
      <c r="M10" s="75">
        <v>297.29000000000002</v>
      </c>
      <c r="N10" s="75">
        <v>5.2775400000000001</v>
      </c>
    </row>
    <row r="11" spans="1:14" ht="15" customHeight="1">
      <c r="D11" s="68"/>
      <c r="E11" s="74">
        <v>301.4289</v>
      </c>
      <c r="F11" s="75">
        <v>3620</v>
      </c>
      <c r="G11" s="75">
        <v>294.72000000000003</v>
      </c>
      <c r="H11" s="75">
        <v>6.7088900000000002</v>
      </c>
      <c r="J11" s="68"/>
      <c r="K11" s="74">
        <v>303.14210000000003</v>
      </c>
      <c r="L11" s="75">
        <v>3630</v>
      </c>
      <c r="M11" s="75">
        <v>297.77999999999997</v>
      </c>
      <c r="N11" s="75">
        <v>5.3620799999999997</v>
      </c>
    </row>
    <row r="12" spans="1:14" ht="15" customHeight="1">
      <c r="D12" s="68"/>
      <c r="E12" s="74">
        <v>301.61779999999999</v>
      </c>
      <c r="F12" s="75">
        <v>4099</v>
      </c>
      <c r="G12" s="75">
        <v>295.35000000000002</v>
      </c>
      <c r="H12" s="75">
        <v>6.2677699999999996</v>
      </c>
      <c r="J12" s="68"/>
      <c r="K12" s="74">
        <v>302.52379999999999</v>
      </c>
      <c r="L12" s="75">
        <v>4105</v>
      </c>
      <c r="M12" s="75">
        <v>298.36</v>
      </c>
      <c r="N12" s="75">
        <v>4.1637599999999999</v>
      </c>
    </row>
    <row r="13" spans="1:14" ht="15" customHeight="1">
      <c r="D13" s="68"/>
      <c r="E13" s="74">
        <v>301.73410000000001</v>
      </c>
      <c r="F13" s="75">
        <v>4571</v>
      </c>
      <c r="G13" s="75">
        <v>295.16000000000003</v>
      </c>
      <c r="H13" s="75">
        <v>6.5740499999999997</v>
      </c>
      <c r="J13" s="68"/>
      <c r="K13" s="74">
        <v>302.37689999999998</v>
      </c>
      <c r="L13" s="75">
        <v>4578</v>
      </c>
      <c r="M13" s="75">
        <v>297.64999999999998</v>
      </c>
      <c r="N13" s="75">
        <v>4.7268800000000004</v>
      </c>
    </row>
    <row r="14" spans="1:14" ht="15" customHeight="1">
      <c r="D14" s="68"/>
      <c r="E14" s="74">
        <v>301.79160000000002</v>
      </c>
      <c r="F14" s="75">
        <v>5045</v>
      </c>
      <c r="G14" s="75">
        <v>295.24</v>
      </c>
      <c r="H14" s="75">
        <v>6.5516300000000003</v>
      </c>
      <c r="J14" s="68"/>
      <c r="K14" s="74">
        <v>302.44830000000002</v>
      </c>
      <c r="L14" s="75">
        <v>5053</v>
      </c>
      <c r="M14" s="75">
        <v>297.27</v>
      </c>
      <c r="N14" s="75">
        <v>5.1783400000000004</v>
      </c>
    </row>
    <row r="15" spans="1:14" ht="15" customHeight="1">
      <c r="D15" s="68"/>
      <c r="E15" s="68"/>
      <c r="F15" s="68"/>
      <c r="G15" s="68"/>
      <c r="H15" s="68"/>
      <c r="J15" s="68"/>
      <c r="K15" s="74">
        <v>302.30160000000001</v>
      </c>
      <c r="L15" s="75">
        <v>5521</v>
      </c>
      <c r="M15" s="75">
        <v>297.44</v>
      </c>
      <c r="N15" s="75">
        <v>4.8616299999999999</v>
      </c>
    </row>
    <row r="16" spans="1:14" ht="15" customHeight="1">
      <c r="D16" s="68"/>
      <c r="E16" s="68"/>
      <c r="F16" s="68"/>
      <c r="G16" s="68"/>
      <c r="H16" s="68"/>
      <c r="J16" s="68"/>
      <c r="K16" s="68"/>
      <c r="L16" s="68"/>
      <c r="M16" s="68"/>
      <c r="N16" s="68"/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287</v>
      </c>
      <c r="D1" s="68"/>
      <c r="E1" s="139" t="s">
        <v>288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112</v>
      </c>
      <c r="D4" s="68" t="s">
        <v>95</v>
      </c>
      <c r="E4" s="74">
        <v>378.37650000000002</v>
      </c>
      <c r="F4" s="75">
        <v>302</v>
      </c>
      <c r="G4" s="75">
        <v>353.9</v>
      </c>
      <c r="H4" s="75">
        <v>24.476489999999998</v>
      </c>
    </row>
    <row r="5" spans="1:8" ht="15" customHeight="1">
      <c r="D5" s="68"/>
      <c r="E5" s="74">
        <v>377.5061</v>
      </c>
      <c r="F5" s="75">
        <v>775</v>
      </c>
      <c r="G5" s="75">
        <v>353.2</v>
      </c>
      <c r="H5" s="75">
        <v>24.306069999999998</v>
      </c>
    </row>
    <row r="6" spans="1:8" ht="15" customHeight="1">
      <c r="D6" s="68"/>
      <c r="E6" s="74">
        <v>375</v>
      </c>
      <c r="F6" s="75">
        <v>1246</v>
      </c>
      <c r="G6" s="75">
        <v>351.4</v>
      </c>
      <c r="H6" s="75">
        <v>23.600010000000001</v>
      </c>
    </row>
    <row r="7" spans="1:8" ht="15" customHeight="1">
      <c r="D7" s="68"/>
      <c r="E7" s="74">
        <v>373.88240000000002</v>
      </c>
      <c r="F7" s="75">
        <v>1721</v>
      </c>
      <c r="G7" s="75">
        <v>350.7</v>
      </c>
      <c r="H7" s="75">
        <v>23.182369999999999</v>
      </c>
    </row>
    <row r="8" spans="1:8" ht="15" customHeight="1">
      <c r="D8" s="68"/>
      <c r="E8" s="74">
        <v>374.23239999999998</v>
      </c>
      <c r="F8" s="75">
        <v>2196</v>
      </c>
      <c r="G8" s="75">
        <v>349.8</v>
      </c>
      <c r="H8" s="75">
        <v>24.432369999999999</v>
      </c>
    </row>
    <row r="9" spans="1:8" ht="15" customHeight="1">
      <c r="D9" s="68"/>
      <c r="E9" s="74">
        <v>373.97879999999998</v>
      </c>
      <c r="F9" s="75">
        <v>2668</v>
      </c>
      <c r="G9" s="75">
        <v>349.5</v>
      </c>
      <c r="H9" s="75">
        <v>24.47879</v>
      </c>
    </row>
    <row r="10" spans="1:8" ht="15" customHeight="1">
      <c r="D10" s="68"/>
      <c r="E10" s="74">
        <v>372.93819999999999</v>
      </c>
      <c r="F10" s="91">
        <v>3141</v>
      </c>
      <c r="G10" s="74">
        <v>349.2</v>
      </c>
      <c r="H10" s="75">
        <v>23.738219999999998</v>
      </c>
    </row>
    <row r="11" spans="1:8" ht="15" customHeight="1">
      <c r="D11" s="68" t="s">
        <v>114</v>
      </c>
      <c r="E11" s="74">
        <v>371.45</v>
      </c>
      <c r="F11" s="117">
        <v>3620</v>
      </c>
      <c r="G11" s="75">
        <v>354.9</v>
      </c>
      <c r="H11" s="75">
        <v>16.55</v>
      </c>
    </row>
    <row r="12" spans="1:8" ht="15" customHeight="1">
      <c r="D12" s="68"/>
      <c r="E12" s="74">
        <v>369.59410000000003</v>
      </c>
      <c r="F12" s="75">
        <v>4099</v>
      </c>
      <c r="G12" s="75">
        <v>354</v>
      </c>
      <c r="H12" s="75">
        <v>15.59412</v>
      </c>
    </row>
    <row r="13" spans="1:8" ht="15" customHeight="1">
      <c r="D13" s="68"/>
      <c r="E13" s="74">
        <v>369.0333</v>
      </c>
      <c r="F13" s="75">
        <v>4574</v>
      </c>
      <c r="G13" s="75">
        <v>352.1</v>
      </c>
      <c r="H13" s="75">
        <v>16.933330000000002</v>
      </c>
    </row>
    <row r="14" spans="1:8" ht="15" customHeight="1">
      <c r="D14" s="68"/>
      <c r="E14" s="74">
        <v>368.15289999999999</v>
      </c>
      <c r="F14" s="75">
        <v>5046</v>
      </c>
      <c r="G14" s="75">
        <v>352.2</v>
      </c>
      <c r="H14" s="75">
        <v>15.95294</v>
      </c>
    </row>
    <row r="15" spans="1:8" ht="15" customHeight="1">
      <c r="D15" s="68"/>
      <c r="E15" s="74">
        <v>364.43239999999997</v>
      </c>
      <c r="F15" s="75">
        <v>5520</v>
      </c>
      <c r="G15" s="75">
        <v>348.9</v>
      </c>
      <c r="H15" s="75">
        <v>15.532360000000001</v>
      </c>
    </row>
    <row r="16" spans="1:8" ht="15" customHeight="1">
      <c r="D16" s="68"/>
      <c r="E16" s="74">
        <v>369.0265</v>
      </c>
      <c r="F16" s="75">
        <v>5994</v>
      </c>
      <c r="G16" s="75">
        <v>354</v>
      </c>
      <c r="H16" s="75">
        <v>15.02647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P17"/>
  <sheetViews>
    <sheetView workbookViewId="0">
      <selection activeCell="L21" sqref="L21"/>
    </sheetView>
  </sheetViews>
  <sheetFormatPr defaultColWidth="11.19921875" defaultRowHeight="15" customHeight="1"/>
  <sheetData>
    <row r="1" spans="1:16" ht="15" customHeight="1">
      <c r="A1" s="81" t="s">
        <v>289</v>
      </c>
      <c r="B1" s="105"/>
      <c r="C1" s="105"/>
      <c r="D1" s="105"/>
      <c r="G1" s="16" t="s">
        <v>290</v>
      </c>
      <c r="M1" s="16" t="s">
        <v>291</v>
      </c>
    </row>
    <row r="2" spans="1:16" ht="15" customHeight="1">
      <c r="A2" s="81" t="s">
        <v>90</v>
      </c>
      <c r="B2" s="105"/>
      <c r="C2" s="105"/>
      <c r="D2" s="105"/>
      <c r="F2" s="124"/>
      <c r="G2" s="125" t="s">
        <v>292</v>
      </c>
      <c r="H2" s="125" t="s">
        <v>293</v>
      </c>
      <c r="I2" s="125" t="s">
        <v>294</v>
      </c>
      <c r="J2" s="125" t="s">
        <v>295</v>
      </c>
      <c r="L2" s="124"/>
      <c r="M2" s="125" t="s">
        <v>292</v>
      </c>
      <c r="N2" s="125" t="s">
        <v>293</v>
      </c>
      <c r="O2" s="125" t="s">
        <v>294</v>
      </c>
      <c r="P2" s="125" t="s">
        <v>295</v>
      </c>
    </row>
    <row r="3" spans="1:16" ht="15" customHeight="1">
      <c r="A3" s="82" t="s">
        <v>111</v>
      </c>
      <c r="B3" s="105"/>
      <c r="C3" s="105"/>
      <c r="D3" s="105"/>
      <c r="F3" s="71" t="s">
        <v>21</v>
      </c>
      <c r="G3" s="126">
        <v>310.75220000000002</v>
      </c>
      <c r="H3" s="126">
        <v>246</v>
      </c>
      <c r="I3" s="126">
        <v>303.48</v>
      </c>
      <c r="J3" s="126">
        <v>7.2721900000000002</v>
      </c>
      <c r="L3" s="71" t="s">
        <v>21</v>
      </c>
      <c r="M3" s="126">
        <v>303.80470000000003</v>
      </c>
      <c r="N3" s="126">
        <v>374</v>
      </c>
      <c r="O3" s="126">
        <v>297.04000000000002</v>
      </c>
      <c r="P3" s="126">
        <v>6.7646899999999999</v>
      </c>
    </row>
    <row r="4" spans="1:16" ht="15" customHeight="1">
      <c r="A4" s="82" t="s">
        <v>112</v>
      </c>
      <c r="B4" s="105"/>
      <c r="C4" s="105"/>
      <c r="D4" s="105"/>
      <c r="F4" s="30"/>
      <c r="G4" s="20">
        <v>309.7208</v>
      </c>
      <c r="H4" s="20">
        <v>719</v>
      </c>
      <c r="I4" s="20">
        <v>302.58999999999997</v>
      </c>
      <c r="J4" s="20">
        <v>7.1308199999999999</v>
      </c>
      <c r="L4" s="101"/>
      <c r="M4" s="20">
        <v>304.11649999999997</v>
      </c>
      <c r="N4" s="20">
        <v>844</v>
      </c>
      <c r="O4" s="20">
        <v>297.20999999999998</v>
      </c>
      <c r="P4" s="20">
        <v>6.9065399999999997</v>
      </c>
    </row>
    <row r="5" spans="1:16" ht="15" customHeight="1">
      <c r="F5" s="30"/>
      <c r="G5" s="20">
        <v>309.43759999999997</v>
      </c>
      <c r="H5" s="20">
        <v>1193</v>
      </c>
      <c r="I5" s="20">
        <v>301.67</v>
      </c>
      <c r="J5" s="20">
        <v>7.7675900000000002</v>
      </c>
      <c r="L5" s="101"/>
      <c r="M5" s="20">
        <v>303.69880000000001</v>
      </c>
      <c r="N5" s="20">
        <v>1319</v>
      </c>
      <c r="O5" s="20">
        <v>296.94</v>
      </c>
      <c r="P5" s="20">
        <v>6.7587700000000002</v>
      </c>
    </row>
    <row r="6" spans="1:16" ht="15" customHeight="1">
      <c r="F6" s="30"/>
      <c r="G6" s="20">
        <v>308.62740000000002</v>
      </c>
      <c r="H6" s="20">
        <v>1668</v>
      </c>
      <c r="I6" s="20">
        <v>301.33</v>
      </c>
      <c r="J6" s="20">
        <v>7.2974100000000002</v>
      </c>
      <c r="L6" s="101"/>
      <c r="M6" s="20">
        <v>303.9067</v>
      </c>
      <c r="N6" s="20">
        <v>1794</v>
      </c>
      <c r="O6" s="20">
        <v>296.88</v>
      </c>
      <c r="P6" s="20">
        <v>7.0267400000000002</v>
      </c>
    </row>
    <row r="7" spans="1:16" ht="15" customHeight="1">
      <c r="F7" s="30"/>
      <c r="G7" s="20">
        <v>307.7998</v>
      </c>
      <c r="H7" s="20">
        <v>2141</v>
      </c>
      <c r="I7" s="20">
        <v>300.39</v>
      </c>
      <c r="J7" s="20">
        <v>7.4097900000000001</v>
      </c>
      <c r="L7" s="101"/>
      <c r="M7" s="20">
        <v>303.95299999999997</v>
      </c>
      <c r="N7" s="20">
        <v>2272</v>
      </c>
      <c r="O7" s="20">
        <v>296.33</v>
      </c>
      <c r="P7" s="20">
        <v>7.6230099999999998</v>
      </c>
    </row>
    <row r="8" spans="1:16" ht="15" customHeight="1">
      <c r="F8" s="30"/>
      <c r="G8" s="20">
        <v>307.58179999999999</v>
      </c>
      <c r="H8" s="20">
        <v>2612</v>
      </c>
      <c r="I8" s="20">
        <v>300.22000000000003</v>
      </c>
      <c r="J8" s="20">
        <v>7.3617999999999997</v>
      </c>
      <c r="L8" s="101"/>
      <c r="M8" s="20">
        <v>303.70979999999997</v>
      </c>
      <c r="N8" s="20">
        <v>2738</v>
      </c>
      <c r="O8" s="20">
        <v>296.35000000000002</v>
      </c>
      <c r="P8" s="20">
        <v>7.3597900000000003</v>
      </c>
    </row>
    <row r="9" spans="1:16" ht="15" customHeight="1">
      <c r="F9" s="30" t="s">
        <v>23</v>
      </c>
      <c r="G9" s="20">
        <v>307.73200000000003</v>
      </c>
      <c r="H9" s="20">
        <v>3087</v>
      </c>
      <c r="I9" s="20">
        <v>301.10000000000002</v>
      </c>
      <c r="J9" s="20">
        <v>6.6320300000000003</v>
      </c>
      <c r="L9" s="30" t="s">
        <v>24</v>
      </c>
      <c r="M9" s="20">
        <v>303.02140000000003</v>
      </c>
      <c r="N9" s="20">
        <v>3207</v>
      </c>
      <c r="O9" s="20">
        <v>297.94</v>
      </c>
      <c r="P9" s="20">
        <v>5.0814000000000004</v>
      </c>
    </row>
    <row r="10" spans="1:16" ht="15" customHeight="1">
      <c r="F10" s="30"/>
      <c r="G10" s="20">
        <v>307.24720000000002</v>
      </c>
      <c r="H10" s="20">
        <v>3559</v>
      </c>
      <c r="I10" s="20">
        <v>300.64</v>
      </c>
      <c r="J10" s="20">
        <v>6.6071900000000001</v>
      </c>
      <c r="L10" s="101"/>
      <c r="M10" s="20">
        <v>303.05520000000001</v>
      </c>
      <c r="N10" s="20">
        <v>3685</v>
      </c>
      <c r="O10" s="20">
        <v>298.61</v>
      </c>
      <c r="P10" s="20">
        <v>4.4452100000000003</v>
      </c>
    </row>
    <row r="11" spans="1:16" ht="15" customHeight="1">
      <c r="F11" s="30"/>
      <c r="G11" s="20">
        <v>307.95389999999998</v>
      </c>
      <c r="H11" s="20">
        <v>4030</v>
      </c>
      <c r="I11" s="20">
        <v>301.41000000000003</v>
      </c>
      <c r="J11" s="20">
        <v>6.5438799999999997</v>
      </c>
      <c r="L11" s="101"/>
      <c r="M11" s="20">
        <v>302.43040000000002</v>
      </c>
      <c r="N11" s="20">
        <v>4157</v>
      </c>
      <c r="O11" s="20">
        <v>298.49</v>
      </c>
      <c r="P11" s="20">
        <v>3.94041</v>
      </c>
    </row>
    <row r="12" spans="1:16" ht="15" customHeight="1">
      <c r="F12" s="30"/>
      <c r="G12" s="20">
        <v>307.83530000000002</v>
      </c>
      <c r="H12" s="20">
        <v>4505</v>
      </c>
      <c r="I12" s="20">
        <v>301.12</v>
      </c>
      <c r="J12" s="20">
        <v>6.7153</v>
      </c>
      <c r="L12" s="101"/>
      <c r="M12" s="20">
        <v>302.77</v>
      </c>
      <c r="N12" s="20">
        <v>4631</v>
      </c>
      <c r="O12" s="20">
        <v>298.76</v>
      </c>
      <c r="P12" s="20">
        <v>4.0099900000000002</v>
      </c>
    </row>
    <row r="13" spans="1:16" ht="15" customHeight="1">
      <c r="F13" s="30"/>
      <c r="G13" s="20">
        <v>307.43779999999998</v>
      </c>
      <c r="H13" s="20">
        <v>4978</v>
      </c>
      <c r="I13" s="20">
        <v>300.93</v>
      </c>
      <c r="J13" s="20">
        <v>6.5078100000000001</v>
      </c>
      <c r="L13" s="101"/>
      <c r="M13" s="20">
        <v>302.6266</v>
      </c>
      <c r="N13" s="20">
        <v>5110</v>
      </c>
      <c r="O13" s="20">
        <v>298.49</v>
      </c>
      <c r="P13" s="20">
        <v>4.1366100000000001</v>
      </c>
    </row>
    <row r="14" spans="1:16" ht="15" customHeight="1">
      <c r="F14" s="30"/>
      <c r="G14" s="20">
        <v>307.209</v>
      </c>
      <c r="H14" s="20">
        <v>5451</v>
      </c>
      <c r="I14" s="20">
        <v>300.47000000000003</v>
      </c>
      <c r="J14" s="20">
        <v>6.7389799999999997</v>
      </c>
      <c r="L14" s="101"/>
      <c r="M14" s="20">
        <v>302.8648</v>
      </c>
      <c r="N14" s="20">
        <v>5582</v>
      </c>
      <c r="O14" s="20">
        <v>298.89999999999998</v>
      </c>
      <c r="P14" s="20">
        <v>3.9648099999999999</v>
      </c>
    </row>
    <row r="15" spans="1:16" ht="15" customHeight="1">
      <c r="F15" s="30"/>
      <c r="G15" s="20">
        <v>307.0471</v>
      </c>
      <c r="H15" s="20">
        <v>5922</v>
      </c>
      <c r="I15" s="20">
        <v>300.43</v>
      </c>
      <c r="J15" s="20">
        <v>6.6171499999999996</v>
      </c>
      <c r="L15" s="30"/>
      <c r="M15" s="20">
        <v>302.85039999999998</v>
      </c>
      <c r="N15" s="20">
        <v>6053</v>
      </c>
      <c r="O15" s="20">
        <v>298.97000000000003</v>
      </c>
      <c r="P15" s="20">
        <v>3.8804099999999999</v>
      </c>
    </row>
    <row r="16" spans="1:16" ht="15" customHeight="1">
      <c r="F16" s="30"/>
      <c r="G16" s="20">
        <v>306.87920000000003</v>
      </c>
      <c r="H16" s="20">
        <v>6401</v>
      </c>
      <c r="I16" s="20">
        <v>299.95</v>
      </c>
      <c r="J16" s="20">
        <v>6.9291900000000002</v>
      </c>
      <c r="L16" s="30"/>
      <c r="M16" s="20">
        <v>302.76080000000002</v>
      </c>
      <c r="N16" s="20">
        <v>6521</v>
      </c>
      <c r="O16" s="20">
        <v>299.01</v>
      </c>
      <c r="P16" s="20">
        <v>3.75081</v>
      </c>
    </row>
    <row r="17" spans="6:10" ht="15" customHeight="1">
      <c r="F17" s="30"/>
      <c r="G17" s="20">
        <v>306.96409999999997</v>
      </c>
      <c r="H17" s="20">
        <v>6872</v>
      </c>
      <c r="I17" s="20">
        <v>300.54000000000002</v>
      </c>
      <c r="J17" s="20">
        <v>6.4240700000000004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K16"/>
  <sheetViews>
    <sheetView workbookViewId="0"/>
  </sheetViews>
  <sheetFormatPr defaultColWidth="11.19921875" defaultRowHeight="15" customHeight="1"/>
  <sheetData>
    <row r="1" spans="1:11" ht="15" customHeight="1">
      <c r="A1" s="81" t="s">
        <v>296</v>
      </c>
      <c r="B1" s="105"/>
      <c r="C1" s="105"/>
      <c r="D1" s="105"/>
      <c r="G1" s="16" t="s">
        <v>297</v>
      </c>
    </row>
    <row r="2" spans="1:11" ht="15" customHeight="1">
      <c r="A2" s="81" t="s">
        <v>90</v>
      </c>
      <c r="B2" s="105"/>
      <c r="C2" s="105"/>
      <c r="D2" s="105"/>
      <c r="F2" s="124"/>
      <c r="G2" s="125" t="s">
        <v>292</v>
      </c>
      <c r="H2" s="125" t="s">
        <v>293</v>
      </c>
      <c r="I2" s="125" t="s">
        <v>294</v>
      </c>
      <c r="J2" s="125" t="s">
        <v>295</v>
      </c>
    </row>
    <row r="3" spans="1:11" ht="15" customHeight="1">
      <c r="A3" s="82" t="s">
        <v>111</v>
      </c>
      <c r="B3" s="105"/>
      <c r="C3" s="105"/>
      <c r="D3" s="105"/>
      <c r="F3" s="98" t="s">
        <v>148</v>
      </c>
      <c r="G3" s="10">
        <v>359.44080000000002</v>
      </c>
      <c r="H3" s="10">
        <v>260</v>
      </c>
      <c r="I3" s="10">
        <v>343.5</v>
      </c>
      <c r="J3" s="10">
        <v>15.94079</v>
      </c>
      <c r="K3" s="16"/>
    </row>
    <row r="4" spans="1:11" ht="15" customHeight="1">
      <c r="A4" s="82" t="s">
        <v>112</v>
      </c>
      <c r="B4" s="105"/>
      <c r="C4" s="105"/>
      <c r="D4" s="105"/>
      <c r="F4" s="101"/>
      <c r="G4" s="15">
        <v>359.08679999999998</v>
      </c>
      <c r="H4" s="15">
        <v>734</v>
      </c>
      <c r="I4" s="15">
        <v>341.5</v>
      </c>
      <c r="J4" s="15">
        <v>17.586839999999999</v>
      </c>
    </row>
    <row r="5" spans="1:11" ht="15" customHeight="1">
      <c r="F5" s="101"/>
      <c r="G5" s="15">
        <v>356.58819999999997</v>
      </c>
      <c r="H5" s="15">
        <v>1212</v>
      </c>
      <c r="I5" s="15">
        <v>340.2</v>
      </c>
      <c r="J5" s="15">
        <v>16.388159999999999</v>
      </c>
    </row>
    <row r="6" spans="1:11" ht="15" customHeight="1">
      <c r="F6" s="101"/>
      <c r="G6" s="15">
        <v>357.49470000000002</v>
      </c>
      <c r="H6" s="15">
        <v>1681</v>
      </c>
      <c r="I6" s="15">
        <v>341.1</v>
      </c>
      <c r="J6" s="15">
        <v>16.394739999999999</v>
      </c>
    </row>
    <row r="7" spans="1:11" ht="15" customHeight="1">
      <c r="F7" s="30"/>
      <c r="G7" s="15">
        <v>355.50259999999997</v>
      </c>
      <c r="H7" s="15">
        <v>2154</v>
      </c>
      <c r="I7" s="15">
        <v>339.4</v>
      </c>
      <c r="J7" s="15">
        <v>16.102630000000001</v>
      </c>
    </row>
    <row r="8" spans="1:11" ht="15" customHeight="1">
      <c r="F8" s="30"/>
      <c r="G8" s="15">
        <v>354.75259999999997</v>
      </c>
      <c r="H8" s="15">
        <v>2628</v>
      </c>
      <c r="I8" s="15">
        <v>338.9</v>
      </c>
      <c r="J8" s="15">
        <v>15.85263</v>
      </c>
    </row>
    <row r="9" spans="1:11" ht="15" customHeight="1">
      <c r="F9" s="101" t="s">
        <v>155</v>
      </c>
      <c r="G9" s="20">
        <v>356.12639999999999</v>
      </c>
      <c r="H9" s="20">
        <v>3102</v>
      </c>
      <c r="I9" s="20">
        <v>343.1</v>
      </c>
      <c r="J9" s="20">
        <v>13.026400000000001</v>
      </c>
    </row>
    <row r="10" spans="1:11" ht="15" customHeight="1">
      <c r="F10" s="101"/>
      <c r="G10" s="15">
        <v>354.14370000000002</v>
      </c>
      <c r="H10" s="15">
        <v>3576</v>
      </c>
      <c r="I10" s="15">
        <v>341.8</v>
      </c>
      <c r="J10" s="15">
        <v>12.34365</v>
      </c>
      <c r="K10" s="16"/>
    </row>
    <row r="11" spans="1:11" ht="15" customHeight="1">
      <c r="F11" s="101"/>
      <c r="G11" s="15">
        <v>353.96980000000002</v>
      </c>
      <c r="H11" s="15">
        <v>4046</v>
      </c>
      <c r="I11" s="15">
        <v>341.6</v>
      </c>
      <c r="J11" s="15">
        <v>12.36984</v>
      </c>
    </row>
    <row r="12" spans="1:11" ht="15" customHeight="1">
      <c r="F12" s="30"/>
      <c r="G12" s="15">
        <v>353.22210000000001</v>
      </c>
      <c r="H12" s="15">
        <v>4519</v>
      </c>
      <c r="I12" s="15">
        <v>342</v>
      </c>
      <c r="J12" s="15">
        <v>11.22214</v>
      </c>
    </row>
    <row r="13" spans="1:11" ht="15" customHeight="1">
      <c r="F13" s="101"/>
      <c r="G13" s="15">
        <v>350.43110000000001</v>
      </c>
      <c r="H13" s="15">
        <v>4994</v>
      </c>
      <c r="I13" s="15">
        <v>338.7</v>
      </c>
      <c r="J13" s="15">
        <v>11.731059999999999</v>
      </c>
    </row>
    <row r="14" spans="1:11" ht="15" customHeight="1">
      <c r="F14" s="101"/>
      <c r="G14" s="15">
        <v>349.80489999999998</v>
      </c>
      <c r="H14" s="15">
        <v>5466</v>
      </c>
      <c r="I14" s="15">
        <v>337.3</v>
      </c>
      <c r="J14" s="15">
        <v>12.504899999999999</v>
      </c>
    </row>
    <row r="15" spans="1:11" ht="15" customHeight="1">
      <c r="F15" s="30"/>
      <c r="G15" s="15">
        <v>348.92419999999998</v>
      </c>
      <c r="H15" s="15">
        <v>5939</v>
      </c>
      <c r="I15" s="15">
        <v>337.8</v>
      </c>
      <c r="J15" s="15">
        <v>11.12424</v>
      </c>
    </row>
    <row r="16" spans="1:11" ht="15" customHeight="1">
      <c r="F16" s="101"/>
      <c r="G16" s="15">
        <v>348.47120000000001</v>
      </c>
      <c r="H16" s="15">
        <v>6413</v>
      </c>
      <c r="I16" s="15">
        <v>337</v>
      </c>
      <c r="J16" s="15">
        <v>11.471209999999999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Q20"/>
  <sheetViews>
    <sheetView tabSelected="1" workbookViewId="0">
      <selection activeCell="H20" sqref="H20"/>
    </sheetView>
  </sheetViews>
  <sheetFormatPr defaultColWidth="11.19921875" defaultRowHeight="15" customHeight="1"/>
  <sheetData>
    <row r="1" spans="1:17" ht="15" customHeight="1">
      <c r="A1" s="81" t="s">
        <v>298</v>
      </c>
      <c r="B1" s="105"/>
      <c r="C1" s="105"/>
      <c r="D1" s="105"/>
      <c r="G1" s="16" t="s">
        <v>299</v>
      </c>
      <c r="N1" s="16" t="s">
        <v>300</v>
      </c>
    </row>
    <row r="2" spans="1:17" ht="15" customHeight="1">
      <c r="A2" s="81" t="s">
        <v>90</v>
      </c>
      <c r="B2" s="105"/>
      <c r="C2" s="105"/>
      <c r="D2" s="105"/>
      <c r="F2" s="124"/>
      <c r="G2" s="125" t="s">
        <v>292</v>
      </c>
      <c r="H2" s="125" t="s">
        <v>293</v>
      </c>
      <c r="I2" s="125" t="s">
        <v>294</v>
      </c>
      <c r="J2" s="125" t="s">
        <v>295</v>
      </c>
      <c r="M2" s="124"/>
      <c r="N2" s="125" t="s">
        <v>292</v>
      </c>
      <c r="O2" s="125" t="s">
        <v>293</v>
      </c>
      <c r="P2" s="125" t="s">
        <v>294</v>
      </c>
      <c r="Q2" s="125" t="s">
        <v>295</v>
      </c>
    </row>
    <row r="3" spans="1:17" ht="15" customHeight="1">
      <c r="A3" s="82" t="s">
        <v>111</v>
      </c>
      <c r="B3" s="105"/>
      <c r="C3" s="105"/>
      <c r="D3" s="105"/>
      <c r="F3" s="98" t="s">
        <v>69</v>
      </c>
      <c r="G3" s="126">
        <v>335.39999</v>
      </c>
      <c r="H3" s="126">
        <v>297</v>
      </c>
      <c r="I3" s="126">
        <v>335.4</v>
      </c>
      <c r="J3" s="126">
        <v>22.838719999999999</v>
      </c>
      <c r="M3" s="98" t="s">
        <v>22</v>
      </c>
      <c r="N3" s="126">
        <v>347.46940000000001</v>
      </c>
      <c r="O3" s="126">
        <v>313</v>
      </c>
      <c r="P3" s="126">
        <v>325.60000000000002</v>
      </c>
      <c r="Q3" s="126">
        <v>21.86936</v>
      </c>
    </row>
    <row r="4" spans="1:17" ht="15" customHeight="1">
      <c r="A4" s="82" t="s">
        <v>118</v>
      </c>
      <c r="B4" s="105"/>
      <c r="C4" s="105"/>
      <c r="D4" s="105"/>
      <c r="F4" s="101"/>
      <c r="G4" s="20">
        <v>358.29520000000002</v>
      </c>
      <c r="H4" s="20">
        <v>771</v>
      </c>
      <c r="I4" s="20">
        <v>335.7</v>
      </c>
      <c r="J4" s="20">
        <v>22.59515</v>
      </c>
      <c r="M4" s="101"/>
      <c r="N4" s="20">
        <v>347.40320000000003</v>
      </c>
      <c r="O4" s="20">
        <v>785</v>
      </c>
      <c r="P4" s="20">
        <v>326.60000000000002</v>
      </c>
      <c r="Q4" s="20">
        <v>20.803239999999999</v>
      </c>
    </row>
    <row r="5" spans="1:17" ht="15" customHeight="1">
      <c r="F5" s="101"/>
      <c r="G5" s="20">
        <v>355.78230000000002</v>
      </c>
      <c r="H5" s="20">
        <v>1243</v>
      </c>
      <c r="I5" s="20">
        <v>333.1</v>
      </c>
      <c r="J5" s="20">
        <v>22.682269999999999</v>
      </c>
      <c r="M5" s="30"/>
      <c r="N5" s="20">
        <v>348.0419</v>
      </c>
      <c r="O5" s="20">
        <v>1257</v>
      </c>
      <c r="P5" s="20">
        <v>327.39999999999998</v>
      </c>
      <c r="Q5" s="20">
        <v>20.641929999999999</v>
      </c>
    </row>
    <row r="6" spans="1:17" ht="15" customHeight="1">
      <c r="F6" s="30"/>
      <c r="G6" s="20">
        <v>353.30160000000001</v>
      </c>
      <c r="H6" s="20">
        <v>1718</v>
      </c>
      <c r="I6" s="20">
        <v>330.8</v>
      </c>
      <c r="J6" s="20">
        <v>22.501609999999999</v>
      </c>
      <c r="M6" s="101"/>
      <c r="N6" s="20">
        <v>347.17099999999999</v>
      </c>
      <c r="O6" s="20">
        <v>1731</v>
      </c>
      <c r="P6" s="20">
        <v>325.7</v>
      </c>
      <c r="Q6" s="20">
        <v>21.470960000000002</v>
      </c>
    </row>
    <row r="7" spans="1:17" ht="15" customHeight="1">
      <c r="F7" s="101"/>
      <c r="G7" s="20">
        <v>353.11130000000003</v>
      </c>
      <c r="H7" s="20">
        <v>2192</v>
      </c>
      <c r="I7" s="20">
        <v>329.3</v>
      </c>
      <c r="J7" s="20">
        <v>23.811299999999999</v>
      </c>
      <c r="M7" s="30"/>
      <c r="N7" s="20">
        <v>344.9468</v>
      </c>
      <c r="O7" s="20">
        <v>11503</v>
      </c>
      <c r="P7" s="20">
        <v>324.5</v>
      </c>
      <c r="Q7" s="20">
        <v>20.44678</v>
      </c>
    </row>
    <row r="8" spans="1:17" ht="15" customHeight="1">
      <c r="F8" s="101"/>
      <c r="G8" s="20">
        <v>349.65480000000002</v>
      </c>
      <c r="H8" s="20">
        <v>2665</v>
      </c>
      <c r="I8" s="20">
        <v>326.89999999999998</v>
      </c>
      <c r="J8" s="20">
        <v>22.754829999999998</v>
      </c>
      <c r="M8" s="30"/>
      <c r="N8" s="20">
        <v>345.80810000000002</v>
      </c>
      <c r="O8" s="20">
        <v>11977</v>
      </c>
      <c r="P8" s="20">
        <v>324.8</v>
      </c>
      <c r="Q8" s="20">
        <v>21.00806</v>
      </c>
    </row>
    <row r="9" spans="1:17" ht="15" customHeight="1">
      <c r="F9" s="101" t="s">
        <v>22</v>
      </c>
      <c r="G9" s="20">
        <v>349.55970000000002</v>
      </c>
      <c r="H9" s="20">
        <v>3139</v>
      </c>
      <c r="I9" s="20">
        <v>326.2</v>
      </c>
      <c r="J9" s="20">
        <v>23.359670000000001</v>
      </c>
      <c r="M9" s="101"/>
      <c r="N9" s="20">
        <v>344.62580000000003</v>
      </c>
      <c r="O9" s="20">
        <v>12451</v>
      </c>
      <c r="P9" s="20">
        <v>323.60000000000002</v>
      </c>
      <c r="Q9" s="20">
        <v>21.02581</v>
      </c>
    </row>
    <row r="10" spans="1:17" ht="15" customHeight="1">
      <c r="F10" s="30"/>
      <c r="G10" s="20">
        <v>347.46940000000001</v>
      </c>
      <c r="H10" s="20">
        <v>3613</v>
      </c>
      <c r="I10" s="20">
        <v>325.60000000000002</v>
      </c>
      <c r="J10" s="20">
        <v>21.86936</v>
      </c>
      <c r="M10" s="101"/>
      <c r="N10" s="20">
        <v>344.00319999999999</v>
      </c>
      <c r="O10" s="20">
        <v>12922</v>
      </c>
      <c r="P10" s="20">
        <v>323.10000000000002</v>
      </c>
      <c r="Q10" s="20">
        <v>20.903230000000001</v>
      </c>
    </row>
    <row r="11" spans="1:17" ht="15" customHeight="1">
      <c r="F11" s="101"/>
      <c r="G11" s="20">
        <v>347.40320000000003</v>
      </c>
      <c r="H11" s="20">
        <v>4085</v>
      </c>
      <c r="I11" s="20">
        <v>326.60000000000002</v>
      </c>
      <c r="J11" s="20">
        <v>20.803239999999999</v>
      </c>
      <c r="M11" s="101" t="s">
        <v>68</v>
      </c>
      <c r="N11" s="20">
        <v>346.96449999999999</v>
      </c>
      <c r="O11" s="20">
        <v>13384</v>
      </c>
      <c r="P11" s="20">
        <v>328.8</v>
      </c>
      <c r="Q11" s="20">
        <v>18.164529999999999</v>
      </c>
    </row>
    <row r="12" spans="1:17" ht="15" customHeight="1">
      <c r="F12" s="30"/>
      <c r="G12" s="20">
        <v>348.0419</v>
      </c>
      <c r="H12" s="20">
        <v>4557</v>
      </c>
      <c r="I12" s="20">
        <v>327.39999999999998</v>
      </c>
      <c r="J12" s="20">
        <v>20.641929999999999</v>
      </c>
      <c r="M12" s="30"/>
      <c r="N12" s="20">
        <v>346.00479999999999</v>
      </c>
      <c r="O12" s="20">
        <v>13856</v>
      </c>
      <c r="P12" s="20">
        <v>330.7</v>
      </c>
      <c r="Q12" s="20">
        <v>15.304830000000001</v>
      </c>
    </row>
    <row r="13" spans="1:17" ht="15" customHeight="1">
      <c r="F13" s="101"/>
      <c r="G13" s="20">
        <v>347.17099999999999</v>
      </c>
      <c r="H13" s="20">
        <v>5031</v>
      </c>
      <c r="I13" s="20">
        <v>325.7</v>
      </c>
      <c r="J13" s="20">
        <v>21.470960000000002</v>
      </c>
      <c r="M13" s="101"/>
      <c r="N13" s="20">
        <v>344.1823</v>
      </c>
      <c r="O13" s="20">
        <v>14331</v>
      </c>
      <c r="P13" s="20">
        <v>329.4</v>
      </c>
      <c r="Q13" s="20">
        <v>14.782260000000001</v>
      </c>
    </row>
    <row r="14" spans="1:17" ht="15" customHeight="1">
      <c r="F14" s="30"/>
      <c r="G14" s="20">
        <v>344.9468</v>
      </c>
      <c r="H14" s="20">
        <v>5504</v>
      </c>
      <c r="I14" s="20">
        <v>324.5</v>
      </c>
      <c r="J14" s="20">
        <v>20.44678</v>
      </c>
      <c r="M14" s="101"/>
      <c r="N14" s="20">
        <v>343.86450000000002</v>
      </c>
      <c r="O14" s="20">
        <v>14803</v>
      </c>
      <c r="P14" s="20">
        <v>329</v>
      </c>
      <c r="Q14" s="20">
        <v>14.864520000000001</v>
      </c>
    </row>
    <row r="15" spans="1:17" ht="15" customHeight="1">
      <c r="F15" s="30"/>
      <c r="G15" s="20">
        <v>345.80810000000002</v>
      </c>
      <c r="H15" s="20">
        <v>5978</v>
      </c>
      <c r="I15" s="20">
        <v>324.8</v>
      </c>
      <c r="J15" s="20">
        <v>21.00806</v>
      </c>
      <c r="M15" s="101"/>
      <c r="N15" s="20">
        <v>343.51429999999999</v>
      </c>
      <c r="O15" s="20">
        <v>15278</v>
      </c>
      <c r="P15" s="20">
        <v>329.9</v>
      </c>
      <c r="Q15" s="20">
        <v>13.61429</v>
      </c>
    </row>
    <row r="16" spans="1:17" ht="15" customHeight="1">
      <c r="F16" s="101"/>
      <c r="G16" s="20">
        <v>344.62580000000003</v>
      </c>
      <c r="H16" s="20">
        <v>6452</v>
      </c>
      <c r="I16" s="20">
        <v>323.60000000000002</v>
      </c>
      <c r="J16" s="20">
        <v>21.02581</v>
      </c>
      <c r="M16" s="101"/>
      <c r="N16" s="20">
        <v>342.80860000000001</v>
      </c>
      <c r="O16" s="20">
        <v>15750</v>
      </c>
      <c r="P16" s="20">
        <v>329.7</v>
      </c>
      <c r="Q16" s="20">
        <v>13.10858</v>
      </c>
    </row>
    <row r="17" spans="6:17" ht="15" customHeight="1">
      <c r="F17" s="101"/>
      <c r="G17" s="20">
        <v>344.00319999999999</v>
      </c>
      <c r="H17" s="20">
        <v>6923</v>
      </c>
      <c r="I17" s="20">
        <v>323.10000000000002</v>
      </c>
      <c r="J17" s="20">
        <v>20.903230000000001</v>
      </c>
      <c r="M17" s="101"/>
      <c r="N17" s="20">
        <v>342.86950000000002</v>
      </c>
      <c r="O17" s="20">
        <v>16225</v>
      </c>
      <c r="P17" s="20">
        <v>329.6</v>
      </c>
      <c r="Q17" s="20">
        <v>13.26948</v>
      </c>
    </row>
    <row r="18" spans="6:17" ht="15" customHeight="1">
      <c r="F18" s="68"/>
      <c r="G18" s="68"/>
      <c r="H18" s="68"/>
      <c r="I18" s="68"/>
      <c r="J18" s="68"/>
      <c r="M18" s="30"/>
      <c r="N18" s="20">
        <v>341.85930000000002</v>
      </c>
      <c r="O18" s="20">
        <v>16696</v>
      </c>
      <c r="P18" s="20">
        <v>329</v>
      </c>
      <c r="Q18" s="20">
        <v>12.85933</v>
      </c>
    </row>
    <row r="19" spans="6:17" ht="15" customHeight="1">
      <c r="F19" s="68"/>
      <c r="G19" s="68"/>
      <c r="H19" s="68"/>
      <c r="I19" s="68"/>
      <c r="J19" s="68"/>
      <c r="M19" s="101"/>
      <c r="N19" s="20">
        <v>341.178</v>
      </c>
      <c r="O19" s="20">
        <v>17170</v>
      </c>
      <c r="P19" s="20">
        <v>327.9</v>
      </c>
      <c r="Q19" s="20">
        <v>13.277979999999999</v>
      </c>
    </row>
    <row r="20" spans="6:17" ht="15" customHeight="1">
      <c r="M20" s="101"/>
      <c r="N20" s="20">
        <v>340.51</v>
      </c>
      <c r="O20" s="20">
        <v>17644</v>
      </c>
      <c r="P20" s="20">
        <v>327.7</v>
      </c>
      <c r="Q20" s="20">
        <v>12.81001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Q20"/>
  <sheetViews>
    <sheetView workbookViewId="0"/>
  </sheetViews>
  <sheetFormatPr defaultColWidth="11.19921875" defaultRowHeight="15" customHeight="1"/>
  <sheetData>
    <row r="1" spans="1:17" ht="15" customHeight="1">
      <c r="A1" s="81" t="s">
        <v>301</v>
      </c>
      <c r="B1" s="105"/>
      <c r="C1" s="105"/>
      <c r="D1" s="105"/>
    </row>
    <row r="2" spans="1:17" ht="15" customHeight="1">
      <c r="A2" s="81" t="s">
        <v>90</v>
      </c>
      <c r="B2" s="105"/>
      <c r="C2" s="105"/>
      <c r="D2" s="105"/>
      <c r="G2" s="16" t="s">
        <v>302</v>
      </c>
      <c r="N2" s="16" t="s">
        <v>303</v>
      </c>
    </row>
    <row r="3" spans="1:17" ht="15" customHeight="1">
      <c r="A3" s="82" t="s">
        <v>111</v>
      </c>
      <c r="B3" s="105"/>
      <c r="C3" s="105"/>
      <c r="D3" s="105"/>
      <c r="F3" s="124"/>
      <c r="G3" s="125" t="s">
        <v>292</v>
      </c>
      <c r="H3" s="125" t="s">
        <v>293</v>
      </c>
      <c r="I3" s="125" t="s">
        <v>294</v>
      </c>
      <c r="J3" s="125" t="s">
        <v>295</v>
      </c>
      <c r="M3" s="124"/>
      <c r="N3" s="125" t="s">
        <v>292</v>
      </c>
      <c r="O3" s="125" t="s">
        <v>293</v>
      </c>
      <c r="P3" s="125" t="s">
        <v>294</v>
      </c>
      <c r="Q3" s="125" t="s">
        <v>295</v>
      </c>
    </row>
    <row r="4" spans="1:17" ht="15" customHeight="1">
      <c r="A4" s="82" t="s">
        <v>118</v>
      </c>
      <c r="B4" s="105"/>
      <c r="C4" s="105"/>
      <c r="D4" s="105"/>
      <c r="F4" s="98" t="s">
        <v>66</v>
      </c>
      <c r="G4" s="127">
        <v>305.07819999999998</v>
      </c>
      <c r="H4" s="127">
        <v>240</v>
      </c>
      <c r="I4" s="127">
        <v>297.04000000000002</v>
      </c>
      <c r="J4" s="127">
        <v>8.0382300000000004</v>
      </c>
      <c r="M4" s="71" t="s">
        <v>69</v>
      </c>
      <c r="N4" s="127">
        <v>299.54300000000001</v>
      </c>
      <c r="O4" s="127">
        <v>278</v>
      </c>
      <c r="P4" s="127">
        <v>291.92</v>
      </c>
      <c r="Q4" s="127">
        <v>7.6229899999999997</v>
      </c>
    </row>
    <row r="5" spans="1:17" ht="15" customHeight="1">
      <c r="F5" s="30"/>
      <c r="G5" s="128">
        <v>304.26159999999999</v>
      </c>
      <c r="H5" s="128">
        <v>713</v>
      </c>
      <c r="I5" s="128">
        <v>296.58</v>
      </c>
      <c r="J5" s="128">
        <v>7.6816300000000002</v>
      </c>
      <c r="M5" s="30"/>
      <c r="N5" s="128">
        <v>299.3741</v>
      </c>
      <c r="O5" s="128">
        <v>753</v>
      </c>
      <c r="P5" s="128">
        <v>292.11</v>
      </c>
      <c r="Q5" s="128">
        <v>7.2641400000000003</v>
      </c>
    </row>
    <row r="6" spans="1:17" ht="15" customHeight="1">
      <c r="F6" s="101"/>
      <c r="G6" s="128">
        <v>304.25310000000002</v>
      </c>
      <c r="H6" s="128">
        <v>1185</v>
      </c>
      <c r="I6" s="128">
        <v>295.77</v>
      </c>
      <c r="J6" s="128">
        <v>8.4831000000000003</v>
      </c>
      <c r="M6" s="30"/>
      <c r="N6" s="128">
        <v>299.46339999999998</v>
      </c>
      <c r="O6" s="128">
        <v>1225</v>
      </c>
      <c r="P6" s="128">
        <v>291.94</v>
      </c>
      <c r="Q6" s="128">
        <v>7.5233699999999999</v>
      </c>
    </row>
    <row r="7" spans="1:17" ht="15" customHeight="1">
      <c r="F7" s="101"/>
      <c r="G7" s="128">
        <v>304.68900000000002</v>
      </c>
      <c r="H7" s="128">
        <v>1662</v>
      </c>
      <c r="I7" s="128">
        <v>297.33999999999997</v>
      </c>
      <c r="J7" s="128">
        <v>7.3489699999999996</v>
      </c>
      <c r="M7" s="30"/>
      <c r="N7" s="128">
        <v>299.45949999999999</v>
      </c>
      <c r="O7" s="128">
        <v>1700</v>
      </c>
      <c r="P7" s="128">
        <v>291.92</v>
      </c>
      <c r="Q7" s="128">
        <v>7.5394899999999998</v>
      </c>
    </row>
    <row r="8" spans="1:17" ht="15" customHeight="1">
      <c r="F8" s="30"/>
      <c r="G8" s="128">
        <v>304.33319999999998</v>
      </c>
      <c r="H8" s="128">
        <v>2133</v>
      </c>
      <c r="I8" s="128">
        <v>296.44</v>
      </c>
      <c r="J8" s="128">
        <v>7.89323</v>
      </c>
      <c r="M8" s="30"/>
      <c r="N8" s="128">
        <v>299.57510000000002</v>
      </c>
      <c r="O8" s="128">
        <v>2172</v>
      </c>
      <c r="P8" s="128">
        <v>291.75</v>
      </c>
      <c r="Q8" s="128">
        <v>7.8251400000000002</v>
      </c>
    </row>
    <row r="9" spans="1:17" ht="15" customHeight="1">
      <c r="F9" s="30"/>
      <c r="G9" s="128">
        <v>304.0942</v>
      </c>
      <c r="H9" s="128">
        <v>2607</v>
      </c>
      <c r="I9" s="128">
        <v>296.48</v>
      </c>
      <c r="J9" s="128">
        <v>7.6141800000000002</v>
      </c>
      <c r="M9" s="30"/>
      <c r="N9" s="128">
        <v>299.45209999999997</v>
      </c>
      <c r="O9" s="128">
        <v>2646</v>
      </c>
      <c r="P9" s="128">
        <v>292.11</v>
      </c>
      <c r="Q9" s="128">
        <v>7.3421000000000003</v>
      </c>
    </row>
    <row r="10" spans="1:17" ht="15" customHeight="1">
      <c r="F10" s="101" t="s">
        <v>23</v>
      </c>
      <c r="G10" s="20">
        <v>302.03320000000002</v>
      </c>
      <c r="H10" s="20">
        <v>3064</v>
      </c>
      <c r="I10" s="20">
        <v>296.14</v>
      </c>
      <c r="J10" s="20">
        <v>5.8932000000000002</v>
      </c>
      <c r="M10" s="30"/>
      <c r="N10" s="128">
        <v>299.3245</v>
      </c>
      <c r="O10" s="128">
        <v>3120</v>
      </c>
      <c r="P10" s="128">
        <v>291.79000000000002</v>
      </c>
      <c r="Q10" s="128">
        <v>7.53444</v>
      </c>
    </row>
    <row r="11" spans="1:17" ht="15" customHeight="1">
      <c r="F11" s="30"/>
      <c r="G11" s="20">
        <v>302.4667</v>
      </c>
      <c r="H11" s="20">
        <v>3542</v>
      </c>
      <c r="I11" s="20">
        <v>296.77</v>
      </c>
      <c r="J11" s="20">
        <v>5.6966799999999997</v>
      </c>
      <c r="M11" s="30" t="s">
        <v>22</v>
      </c>
      <c r="N11" s="20">
        <v>299.39249999999998</v>
      </c>
      <c r="O11" s="20">
        <v>3591</v>
      </c>
      <c r="P11" s="20">
        <v>293.14999999999998</v>
      </c>
      <c r="Q11" s="20">
        <v>6.2424900000000001</v>
      </c>
    </row>
    <row r="12" spans="1:17" ht="15" customHeight="1">
      <c r="F12" s="101"/>
      <c r="G12" s="128">
        <v>302.24220000000003</v>
      </c>
      <c r="H12" s="128">
        <v>4013</v>
      </c>
      <c r="I12" s="128">
        <v>297.25</v>
      </c>
      <c r="J12" s="128">
        <v>4.9922000000000004</v>
      </c>
      <c r="M12" s="30"/>
      <c r="N12" s="20">
        <v>299.48020000000002</v>
      </c>
      <c r="O12" s="20">
        <v>4067</v>
      </c>
      <c r="P12" s="20">
        <v>293.39999999999998</v>
      </c>
      <c r="Q12" s="20">
        <v>6.08019</v>
      </c>
    </row>
    <row r="13" spans="1:17" ht="15" customHeight="1">
      <c r="F13" s="30"/>
      <c r="G13" s="128">
        <v>301.30090000000001</v>
      </c>
      <c r="H13" s="128">
        <v>4485</v>
      </c>
      <c r="I13" s="128">
        <v>296.44</v>
      </c>
      <c r="J13" s="128">
        <v>4.8608700000000002</v>
      </c>
      <c r="M13" s="30"/>
      <c r="N13" s="20">
        <v>299.28710000000001</v>
      </c>
      <c r="O13" s="20">
        <v>4543</v>
      </c>
      <c r="P13" s="20">
        <v>293.49</v>
      </c>
      <c r="Q13" s="20">
        <v>5.7970699999999997</v>
      </c>
    </row>
    <row r="14" spans="1:17" ht="15" customHeight="1">
      <c r="F14" s="30"/>
      <c r="G14" s="128">
        <v>301.89010000000002</v>
      </c>
      <c r="H14" s="128">
        <v>4959</v>
      </c>
      <c r="I14" s="128">
        <v>297.04000000000002</v>
      </c>
      <c r="J14" s="128">
        <v>4.8501099999999999</v>
      </c>
      <c r="M14" s="30"/>
      <c r="N14" s="128">
        <v>299.31599999999997</v>
      </c>
      <c r="O14" s="128">
        <v>5012</v>
      </c>
      <c r="P14" s="128">
        <v>293.72000000000003</v>
      </c>
      <c r="Q14" s="128">
        <v>5.5959599999999998</v>
      </c>
    </row>
    <row r="15" spans="1:17" ht="15" customHeight="1">
      <c r="F15" s="30"/>
      <c r="G15" s="128">
        <v>301.43369999999999</v>
      </c>
      <c r="H15" s="128">
        <v>5433</v>
      </c>
      <c r="I15" s="128">
        <v>296.42</v>
      </c>
      <c r="J15" s="128">
        <v>5.0136900000000004</v>
      </c>
      <c r="M15" s="30"/>
      <c r="N15" s="128">
        <v>299.35809999999998</v>
      </c>
      <c r="O15" s="128">
        <v>5488</v>
      </c>
      <c r="P15" s="128">
        <v>293.8</v>
      </c>
      <c r="Q15" s="128">
        <v>5.5580999999999996</v>
      </c>
    </row>
    <row r="16" spans="1:17" ht="15" customHeight="1">
      <c r="F16" s="30"/>
      <c r="G16" s="128">
        <v>302.23899999999998</v>
      </c>
      <c r="H16" s="128">
        <v>5907</v>
      </c>
      <c r="I16" s="128">
        <v>297.20999999999998</v>
      </c>
      <c r="J16" s="128">
        <v>5.0290299999999997</v>
      </c>
      <c r="M16" s="30"/>
      <c r="N16" s="128">
        <v>299.46120000000002</v>
      </c>
      <c r="O16" s="128">
        <v>5959</v>
      </c>
      <c r="P16" s="128">
        <v>293.93</v>
      </c>
      <c r="Q16" s="128">
        <v>5.5312000000000001</v>
      </c>
    </row>
    <row r="17" spans="6:17" ht="15" customHeight="1">
      <c r="F17" s="30"/>
      <c r="G17" s="128">
        <v>302.101</v>
      </c>
      <c r="H17" s="128">
        <v>6379</v>
      </c>
      <c r="I17" s="128">
        <v>297.69</v>
      </c>
      <c r="J17" s="128">
        <v>4.41099</v>
      </c>
      <c r="M17" s="30"/>
      <c r="N17" s="128">
        <v>299.45549999999997</v>
      </c>
      <c r="O17" s="128">
        <v>6432</v>
      </c>
      <c r="P17" s="128">
        <v>293.95</v>
      </c>
      <c r="Q17" s="128">
        <v>5.50549</v>
      </c>
    </row>
    <row r="18" spans="6:17" ht="15" customHeight="1">
      <c r="M18" s="30"/>
      <c r="N18" s="128">
        <v>299.30439999999999</v>
      </c>
      <c r="O18" s="128">
        <v>6907</v>
      </c>
      <c r="P18" s="128">
        <v>293.66000000000003</v>
      </c>
      <c r="Q18" s="128">
        <v>5.6444000000000001</v>
      </c>
    </row>
    <row r="19" spans="6:17" ht="15" customHeight="1">
      <c r="M19" s="30"/>
      <c r="N19" s="128">
        <v>299.16820000000001</v>
      </c>
      <c r="O19" s="128">
        <v>7379</v>
      </c>
      <c r="P19" s="128">
        <v>293.99</v>
      </c>
      <c r="Q19" s="128">
        <v>5.1781699999999997</v>
      </c>
    </row>
    <row r="20" spans="6:17" ht="15" customHeight="1">
      <c r="M20" s="30"/>
      <c r="N20" s="128">
        <v>299.23289999999997</v>
      </c>
      <c r="O20" s="128">
        <v>7851</v>
      </c>
      <c r="P20" s="128">
        <v>293.8</v>
      </c>
      <c r="Q20" s="128">
        <v>5.4329499999999999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304</v>
      </c>
      <c r="D1" s="68"/>
      <c r="E1" s="139" t="s">
        <v>305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113</v>
      </c>
      <c r="E4" s="74">
        <v>335.86290000000002</v>
      </c>
      <c r="F4" s="91">
        <v>301</v>
      </c>
      <c r="G4" s="74">
        <v>310.60000000000002</v>
      </c>
      <c r="H4" s="75">
        <v>25.26285</v>
      </c>
    </row>
    <row r="5" spans="1:8" ht="15" customHeight="1">
      <c r="D5" s="68"/>
      <c r="E5" s="74">
        <v>337.09120000000001</v>
      </c>
      <c r="F5" s="117">
        <v>775</v>
      </c>
      <c r="G5" s="75">
        <v>310.89999999999998</v>
      </c>
      <c r="H5" s="75">
        <v>26.191179999999999</v>
      </c>
    </row>
    <row r="6" spans="1:8" ht="15" customHeight="1">
      <c r="D6" s="68"/>
      <c r="E6" s="74">
        <v>336.04410000000001</v>
      </c>
      <c r="F6" s="75">
        <v>1247</v>
      </c>
      <c r="G6" s="75">
        <v>310.10000000000002</v>
      </c>
      <c r="H6" s="75">
        <v>25.944120000000002</v>
      </c>
    </row>
    <row r="7" spans="1:8" ht="15" customHeight="1">
      <c r="D7" s="68"/>
      <c r="E7" s="74">
        <v>335.92939999999999</v>
      </c>
      <c r="F7" s="75">
        <v>1719</v>
      </c>
      <c r="G7" s="75">
        <v>310.10000000000002</v>
      </c>
      <c r="H7" s="75">
        <v>25.829419999999999</v>
      </c>
    </row>
    <row r="8" spans="1:8" ht="15" customHeight="1">
      <c r="D8" s="68"/>
      <c r="E8" s="74">
        <v>335.80880000000002</v>
      </c>
      <c r="F8" s="75">
        <v>2192</v>
      </c>
      <c r="G8" s="75">
        <v>309.3</v>
      </c>
      <c r="H8" s="75">
        <v>26.50881</v>
      </c>
    </row>
    <row r="9" spans="1:8" ht="15" customHeight="1">
      <c r="D9" s="68"/>
      <c r="E9" s="19">
        <v>336.85590000000002</v>
      </c>
      <c r="F9" s="20">
        <v>2667</v>
      </c>
      <c r="G9" s="20">
        <v>316.10000000000002</v>
      </c>
      <c r="H9" s="20">
        <v>20.755880000000001</v>
      </c>
    </row>
    <row r="10" spans="1:8" ht="15" customHeight="1">
      <c r="D10" s="68"/>
      <c r="E10" s="19">
        <v>336.91140000000001</v>
      </c>
      <c r="F10" s="20">
        <v>3142</v>
      </c>
      <c r="G10" s="20">
        <v>317.5</v>
      </c>
      <c r="H10" s="20">
        <v>19.411429999999999</v>
      </c>
    </row>
    <row r="11" spans="1:8" ht="15" customHeight="1">
      <c r="D11" s="68" t="s">
        <v>114</v>
      </c>
      <c r="E11" s="19">
        <v>334.5</v>
      </c>
      <c r="F11" s="20">
        <v>3615</v>
      </c>
      <c r="G11" s="20">
        <v>315.8</v>
      </c>
      <c r="H11" s="20">
        <v>18.69999</v>
      </c>
    </row>
    <row r="12" spans="1:8" ht="15" customHeight="1">
      <c r="D12" s="68"/>
      <c r="E12" s="74">
        <v>333.5265</v>
      </c>
      <c r="F12" s="75">
        <v>4088</v>
      </c>
      <c r="G12" s="75">
        <v>316</v>
      </c>
      <c r="H12" s="75">
        <v>17.52647</v>
      </c>
    </row>
    <row r="13" spans="1:8" ht="15" customHeight="1">
      <c r="D13" s="68"/>
      <c r="E13" s="74">
        <v>331.74119999999999</v>
      </c>
      <c r="F13" s="75">
        <v>4567</v>
      </c>
      <c r="G13" s="75">
        <v>314.39999999999998</v>
      </c>
      <c r="H13" s="75">
        <v>17.341190000000001</v>
      </c>
    </row>
    <row r="14" spans="1:8" ht="15" customHeight="1">
      <c r="D14" s="68"/>
      <c r="E14" s="74">
        <v>331.73140000000001</v>
      </c>
      <c r="F14" s="75">
        <v>5041</v>
      </c>
      <c r="G14" s="75">
        <v>314.7</v>
      </c>
      <c r="H14" s="75">
        <v>17.031420000000001</v>
      </c>
    </row>
    <row r="15" spans="1:8" ht="15" customHeight="1">
      <c r="D15" s="68"/>
      <c r="E15" s="74">
        <v>332.07429999999999</v>
      </c>
      <c r="F15" s="75">
        <v>5513</v>
      </c>
      <c r="G15" s="75">
        <v>314.8</v>
      </c>
      <c r="H15" s="75">
        <v>17.2743</v>
      </c>
    </row>
    <row r="16" spans="1:8" ht="15" customHeight="1">
      <c r="D16" s="68"/>
      <c r="E16" s="74">
        <v>328.63139999999999</v>
      </c>
      <c r="F16" s="75">
        <v>5987</v>
      </c>
      <c r="G16" s="75">
        <v>312.89999999999998</v>
      </c>
      <c r="H16" s="75">
        <v>15.73142</v>
      </c>
    </row>
    <row r="17" spans="4:8" ht="15" customHeight="1">
      <c r="D17" s="68"/>
      <c r="E17" s="74">
        <v>327.4853</v>
      </c>
      <c r="F17" s="75">
        <v>6462</v>
      </c>
      <c r="G17" s="75">
        <v>312.2</v>
      </c>
      <c r="H17" s="75">
        <v>15.28528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I26"/>
  <sheetViews>
    <sheetView workbookViewId="0"/>
  </sheetViews>
  <sheetFormatPr defaultColWidth="11.19921875" defaultRowHeight="15" customHeight="1"/>
  <sheetData>
    <row r="1" spans="1:9" ht="15" customHeight="1">
      <c r="A1" s="81" t="s">
        <v>306</v>
      </c>
      <c r="E1" s="68"/>
      <c r="F1" s="139" t="s">
        <v>307</v>
      </c>
      <c r="G1" s="140"/>
      <c r="H1" s="140"/>
      <c r="I1" s="140"/>
    </row>
    <row r="2" spans="1:9" ht="15" customHeight="1">
      <c r="A2" s="81" t="s">
        <v>90</v>
      </c>
      <c r="E2" s="68"/>
      <c r="F2" s="68"/>
      <c r="G2" s="68"/>
      <c r="H2" s="68"/>
      <c r="I2" s="68"/>
    </row>
    <row r="3" spans="1:9" ht="15" customHeight="1">
      <c r="A3" s="82" t="s">
        <v>111</v>
      </c>
      <c r="E3" s="68"/>
      <c r="F3" s="71" t="s">
        <v>10</v>
      </c>
      <c r="G3" s="72" t="s">
        <v>11</v>
      </c>
      <c r="H3" s="72" t="s">
        <v>12</v>
      </c>
      <c r="I3" s="73" t="s">
        <v>85</v>
      </c>
    </row>
    <row r="4" spans="1:9" ht="15" customHeight="1">
      <c r="A4" s="82" t="s">
        <v>118</v>
      </c>
      <c r="E4" s="68" t="s">
        <v>95</v>
      </c>
      <c r="F4" s="74">
        <v>299.57740000000001</v>
      </c>
      <c r="G4" s="75">
        <v>301</v>
      </c>
      <c r="H4" s="75">
        <v>283.66000000000003</v>
      </c>
      <c r="I4" s="75">
        <v>15.91736</v>
      </c>
    </row>
    <row r="5" spans="1:9" ht="15" customHeight="1">
      <c r="E5" s="68"/>
      <c r="F5" s="74">
        <v>299.10980000000001</v>
      </c>
      <c r="G5" s="75">
        <v>775</v>
      </c>
      <c r="H5" s="75">
        <v>283.55</v>
      </c>
      <c r="I5" s="75">
        <v>15.55983</v>
      </c>
    </row>
    <row r="6" spans="1:9" ht="15" customHeight="1">
      <c r="E6" s="68"/>
      <c r="F6" s="74">
        <v>298.8546</v>
      </c>
      <c r="G6" s="75">
        <v>1248</v>
      </c>
      <c r="H6" s="75">
        <v>283.32</v>
      </c>
      <c r="I6" s="75">
        <v>15.53462</v>
      </c>
    </row>
    <row r="7" spans="1:9" ht="15" customHeight="1">
      <c r="E7" s="68"/>
      <c r="F7" s="74">
        <v>299.29149999999998</v>
      </c>
      <c r="G7" s="75">
        <v>1727</v>
      </c>
      <c r="H7" s="75">
        <v>283.95</v>
      </c>
      <c r="I7" s="75">
        <v>15.341469999999999</v>
      </c>
    </row>
    <row r="8" spans="1:9" ht="15" customHeight="1">
      <c r="E8" s="68"/>
      <c r="F8" s="74">
        <v>299.54169999999999</v>
      </c>
      <c r="G8" s="75">
        <v>2199</v>
      </c>
      <c r="H8" s="75">
        <v>283.32</v>
      </c>
      <c r="I8" s="75">
        <v>16.22166</v>
      </c>
    </row>
    <row r="9" spans="1:9" ht="15" customHeight="1">
      <c r="E9" s="68"/>
      <c r="F9" s="74">
        <v>299.3734</v>
      </c>
      <c r="G9" s="75">
        <v>2672</v>
      </c>
      <c r="H9" s="75">
        <v>284.33</v>
      </c>
      <c r="I9" s="75">
        <v>15.04341</v>
      </c>
    </row>
    <row r="10" spans="1:9" ht="15" customHeight="1">
      <c r="E10" s="68" t="s">
        <v>107</v>
      </c>
      <c r="F10" s="19">
        <v>298.5335</v>
      </c>
      <c r="G10" s="20">
        <v>3147</v>
      </c>
      <c r="H10" s="20">
        <v>288.02999999999997</v>
      </c>
      <c r="I10" s="20">
        <v>10.50352</v>
      </c>
    </row>
    <row r="11" spans="1:9" ht="15" customHeight="1">
      <c r="E11" s="68"/>
      <c r="F11" s="74">
        <v>298.75200000000001</v>
      </c>
      <c r="G11" s="75">
        <v>3621</v>
      </c>
      <c r="H11" s="75">
        <v>291.23</v>
      </c>
      <c r="I11" s="75">
        <v>7.52203</v>
      </c>
    </row>
    <row r="12" spans="1:9" ht="15" customHeight="1">
      <c r="E12" s="68"/>
      <c r="F12" s="74">
        <v>298.97570000000002</v>
      </c>
      <c r="G12" s="75">
        <v>4093</v>
      </c>
      <c r="H12" s="75">
        <v>291.67</v>
      </c>
      <c r="I12" s="75">
        <v>7.3057299999999996</v>
      </c>
    </row>
    <row r="13" spans="1:9" ht="15" customHeight="1">
      <c r="E13" s="68"/>
      <c r="F13" s="74">
        <v>298.95519999999999</v>
      </c>
      <c r="G13" s="75">
        <v>4568</v>
      </c>
      <c r="H13" s="75">
        <v>291.42</v>
      </c>
      <c r="I13" s="75">
        <v>7.5351699999999999</v>
      </c>
    </row>
    <row r="14" spans="1:9" ht="15" customHeight="1">
      <c r="E14" s="68"/>
      <c r="F14" s="74">
        <v>298.51940000000002</v>
      </c>
      <c r="G14" s="75">
        <v>5041</v>
      </c>
      <c r="H14" s="75">
        <v>291</v>
      </c>
      <c r="I14" s="75">
        <v>7.5194299999999998</v>
      </c>
    </row>
    <row r="15" spans="1:9" ht="15" customHeight="1">
      <c r="E15" s="68"/>
      <c r="F15" s="74">
        <v>298.86959999999999</v>
      </c>
      <c r="G15" s="75">
        <v>5514</v>
      </c>
      <c r="H15" s="75">
        <v>291.33</v>
      </c>
      <c r="I15" s="75">
        <v>7.5396400000000003</v>
      </c>
    </row>
    <row r="16" spans="1:9" ht="15" customHeight="1">
      <c r="E16" s="68"/>
      <c r="F16" s="74">
        <v>298.52210000000002</v>
      </c>
      <c r="G16" s="75">
        <v>5988</v>
      </c>
      <c r="H16" s="75">
        <v>290.58</v>
      </c>
      <c r="I16" s="75">
        <v>7.9420900000000003</v>
      </c>
    </row>
    <row r="17" spans="5:9" ht="15" customHeight="1">
      <c r="E17" s="68"/>
      <c r="F17" s="68"/>
      <c r="G17" s="68"/>
      <c r="H17" s="68"/>
      <c r="I17" s="68"/>
    </row>
    <row r="18" spans="5:9" ht="15" customHeight="1">
      <c r="E18" s="68"/>
      <c r="F18" s="68"/>
      <c r="G18" s="68"/>
      <c r="H18" s="68"/>
      <c r="I18" s="68"/>
    </row>
    <row r="19" spans="5:9" ht="15" customHeight="1">
      <c r="E19" s="68"/>
      <c r="F19" s="68"/>
      <c r="G19" s="68"/>
      <c r="H19" s="68"/>
      <c r="I19" s="68"/>
    </row>
    <row r="20" spans="5:9" ht="15" customHeight="1">
      <c r="E20" s="68"/>
      <c r="F20" s="68"/>
      <c r="G20" s="68"/>
      <c r="H20" s="68"/>
      <c r="I20" s="68"/>
    </row>
    <row r="21" spans="5:9" ht="15" customHeight="1">
      <c r="E21" s="68"/>
      <c r="F21" s="68"/>
      <c r="G21" s="68"/>
      <c r="H21" s="68"/>
      <c r="I21" s="68"/>
    </row>
    <row r="22" spans="5:9" ht="15" customHeight="1">
      <c r="E22" s="68"/>
      <c r="F22" s="68"/>
      <c r="G22" s="68"/>
      <c r="H22" s="68"/>
      <c r="I22" s="68"/>
    </row>
    <row r="23" spans="5:9" ht="15" customHeight="1">
      <c r="E23" s="68"/>
      <c r="F23" s="68"/>
      <c r="G23" s="68"/>
      <c r="H23" s="68"/>
      <c r="I23" s="68"/>
    </row>
    <row r="24" spans="5:9" ht="15" customHeight="1">
      <c r="E24" s="68"/>
      <c r="F24" s="68"/>
      <c r="G24" s="68"/>
      <c r="H24" s="68"/>
      <c r="I24" s="68"/>
    </row>
    <row r="25" spans="5:9" ht="15" customHeight="1">
      <c r="E25" s="68"/>
      <c r="F25" s="68"/>
      <c r="G25" s="68"/>
      <c r="H25" s="68"/>
      <c r="I25" s="68"/>
    </row>
    <row r="26" spans="5:9" ht="15" customHeight="1">
      <c r="E26" s="68"/>
      <c r="F26" s="68"/>
      <c r="G26" s="68"/>
      <c r="H26" s="68"/>
      <c r="I26" s="68"/>
    </row>
  </sheetData>
  <mergeCells count="1">
    <mergeCell ref="F1:I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H26"/>
  <sheetViews>
    <sheetView zoomScaleNormal="100" workbookViewId="0"/>
  </sheetViews>
  <sheetFormatPr defaultColWidth="11.19921875" defaultRowHeight="15" customHeight="1"/>
  <sheetData>
    <row r="1" spans="1:8" ht="15" customHeight="1">
      <c r="A1" s="81" t="s">
        <v>308</v>
      </c>
      <c r="D1" s="68"/>
      <c r="E1" s="139" t="s">
        <v>309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95</v>
      </c>
      <c r="E4" s="74">
        <v>337.94659999999999</v>
      </c>
      <c r="F4" s="75">
        <v>301</v>
      </c>
      <c r="G4" s="75">
        <v>314.60000000000002</v>
      </c>
      <c r="H4" s="75">
        <v>23.34656</v>
      </c>
    </row>
    <row r="5" spans="1:8" ht="15" customHeight="1">
      <c r="D5" s="68"/>
      <c r="E5" s="74">
        <v>337.33280000000002</v>
      </c>
      <c r="F5" s="75">
        <v>774</v>
      </c>
      <c r="G5" s="75">
        <v>313.8</v>
      </c>
      <c r="H5" s="75">
        <v>23.53275</v>
      </c>
    </row>
    <row r="6" spans="1:8" ht="15" customHeight="1">
      <c r="D6" s="68"/>
      <c r="E6" s="74">
        <v>335.77589999999998</v>
      </c>
      <c r="F6" s="75">
        <v>1249</v>
      </c>
      <c r="G6" s="75">
        <v>310.5</v>
      </c>
      <c r="H6" s="75">
        <v>25.275860000000002</v>
      </c>
    </row>
    <row r="7" spans="1:8" ht="15" customHeight="1">
      <c r="D7" s="68"/>
      <c r="E7" s="74">
        <v>336.00689999999997</v>
      </c>
      <c r="F7" s="75">
        <v>1721</v>
      </c>
      <c r="G7" s="75">
        <v>311.3</v>
      </c>
      <c r="H7" s="75">
        <v>24.706880000000002</v>
      </c>
    </row>
    <row r="8" spans="1:8" ht="15" customHeight="1">
      <c r="D8" s="68"/>
      <c r="E8" s="74">
        <v>335.69139999999999</v>
      </c>
      <c r="F8" s="75">
        <v>2195</v>
      </c>
      <c r="G8" s="75">
        <v>310.7</v>
      </c>
      <c r="H8" s="75">
        <v>24.991379999999999</v>
      </c>
    </row>
    <row r="9" spans="1:8" ht="15" customHeight="1">
      <c r="D9" s="68"/>
      <c r="E9" s="74">
        <v>333.5</v>
      </c>
      <c r="F9" s="75">
        <v>2668</v>
      </c>
      <c r="G9" s="75">
        <v>308.2</v>
      </c>
      <c r="H9" s="75">
        <v>25.3</v>
      </c>
    </row>
    <row r="10" spans="1:8" ht="15" customHeight="1">
      <c r="D10" s="68"/>
      <c r="E10" s="19">
        <v>333.5729</v>
      </c>
      <c r="F10" s="20">
        <v>3142</v>
      </c>
      <c r="G10" s="20">
        <v>307.2</v>
      </c>
      <c r="H10" s="20">
        <v>26.372869999999999</v>
      </c>
    </row>
    <row r="11" spans="1:8" ht="15" customHeight="1">
      <c r="D11" s="68" t="s">
        <v>107</v>
      </c>
      <c r="E11" s="19">
        <v>335.16379999999998</v>
      </c>
      <c r="F11" s="20">
        <v>3615</v>
      </c>
      <c r="G11" s="20">
        <v>310.89999999999998</v>
      </c>
      <c r="H11" s="20">
        <v>24.26379</v>
      </c>
    </row>
    <row r="12" spans="1:8" ht="15" customHeight="1">
      <c r="D12" s="68"/>
      <c r="E12" s="74">
        <v>333.45519999999999</v>
      </c>
      <c r="F12" s="75">
        <v>4089</v>
      </c>
      <c r="G12" s="75">
        <v>314.60000000000002</v>
      </c>
      <c r="H12" s="75">
        <v>18.855180000000001</v>
      </c>
    </row>
    <row r="13" spans="1:8" ht="15" customHeight="1">
      <c r="D13" s="68"/>
      <c r="E13" s="74">
        <v>332.8621</v>
      </c>
      <c r="F13" s="75">
        <v>4563</v>
      </c>
      <c r="G13" s="75">
        <v>315.39999999999998</v>
      </c>
      <c r="H13" s="75">
        <v>17.462070000000001</v>
      </c>
    </row>
    <row r="14" spans="1:8" ht="15" customHeight="1">
      <c r="D14" s="68"/>
      <c r="E14" s="74">
        <v>332.6644</v>
      </c>
      <c r="F14" s="75">
        <v>5036</v>
      </c>
      <c r="G14" s="75">
        <v>316.5</v>
      </c>
      <c r="H14" s="75">
        <v>16.164400000000001</v>
      </c>
    </row>
    <row r="15" spans="1:8" ht="15" customHeight="1">
      <c r="D15" s="68"/>
      <c r="E15" s="74">
        <v>333.31549999999999</v>
      </c>
      <c r="F15" s="75">
        <v>5509</v>
      </c>
      <c r="G15" s="75">
        <v>318.3</v>
      </c>
      <c r="H15" s="75">
        <v>15.015510000000001</v>
      </c>
    </row>
    <row r="16" spans="1:8" ht="15" customHeight="1">
      <c r="D16" s="68"/>
      <c r="E16" s="74">
        <v>331.65350000000001</v>
      </c>
      <c r="F16" s="75">
        <v>5983</v>
      </c>
      <c r="G16" s="75">
        <v>317.39999999999998</v>
      </c>
      <c r="H16" s="75">
        <v>14.253439999999999</v>
      </c>
    </row>
    <row r="17" spans="4:8" ht="15" customHeight="1">
      <c r="D17" s="68"/>
      <c r="E17" s="74">
        <v>331.4862</v>
      </c>
      <c r="F17" s="75">
        <v>6457</v>
      </c>
      <c r="G17" s="75">
        <v>317.2</v>
      </c>
      <c r="H17" s="75">
        <v>14.286199999999999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310</v>
      </c>
      <c r="D1" s="68"/>
      <c r="E1" s="139" t="s">
        <v>311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112</v>
      </c>
      <c r="D4" s="68" t="s">
        <v>138</v>
      </c>
      <c r="E4" s="74">
        <v>282.9144</v>
      </c>
      <c r="F4" s="75">
        <v>301</v>
      </c>
      <c r="G4" s="75">
        <v>277.89</v>
      </c>
      <c r="H4" s="75">
        <v>5.0244</v>
      </c>
    </row>
    <row r="5" spans="1:8" ht="15" customHeight="1">
      <c r="D5" s="68"/>
      <c r="E5" s="74">
        <v>281.75689999999997</v>
      </c>
      <c r="F5" s="75">
        <v>776</v>
      </c>
      <c r="G5" s="75">
        <v>276.63</v>
      </c>
      <c r="H5" s="75">
        <v>5.1268599999999998</v>
      </c>
    </row>
    <row r="6" spans="1:8" ht="15" customHeight="1">
      <c r="D6" s="68"/>
      <c r="E6" s="74">
        <v>281.5643</v>
      </c>
      <c r="F6" s="75">
        <v>1246</v>
      </c>
      <c r="G6" s="75">
        <v>276.89999999999998</v>
      </c>
      <c r="H6" s="75">
        <v>4.6642700000000001</v>
      </c>
    </row>
    <row r="7" spans="1:8" ht="15" customHeight="1">
      <c r="D7" s="68"/>
      <c r="E7" s="74">
        <v>281.61259999999999</v>
      </c>
      <c r="F7" s="75">
        <v>1720</v>
      </c>
      <c r="G7" s="75">
        <v>276.8</v>
      </c>
      <c r="H7" s="75">
        <v>4.8125999999999998</v>
      </c>
    </row>
    <row r="8" spans="1:8" ht="15" customHeight="1">
      <c r="D8" s="68"/>
      <c r="E8" s="74">
        <v>280.98930000000001</v>
      </c>
      <c r="F8" s="75">
        <v>2196</v>
      </c>
      <c r="G8" s="75">
        <v>276.05</v>
      </c>
      <c r="H8" s="75">
        <v>4.9392699999999996</v>
      </c>
    </row>
    <row r="9" spans="1:8" ht="15" customHeight="1">
      <c r="D9" s="68"/>
      <c r="E9" s="74">
        <v>280.9074</v>
      </c>
      <c r="F9" s="75">
        <v>2668</v>
      </c>
      <c r="G9" s="75">
        <v>276.13</v>
      </c>
      <c r="H9" s="75">
        <v>4.7773599999999998</v>
      </c>
    </row>
    <row r="10" spans="1:8" ht="15" customHeight="1">
      <c r="D10" s="68" t="s">
        <v>107</v>
      </c>
      <c r="E10" s="19">
        <v>282.16239999999999</v>
      </c>
      <c r="F10" s="20">
        <v>3146</v>
      </c>
      <c r="G10" s="20">
        <v>278.16000000000003</v>
      </c>
      <c r="H10" s="20">
        <v>4.0024100000000002</v>
      </c>
    </row>
    <row r="11" spans="1:8" ht="15" customHeight="1">
      <c r="D11" s="68"/>
      <c r="E11" s="74">
        <v>281.93689999999998</v>
      </c>
      <c r="F11" s="75">
        <v>3617</v>
      </c>
      <c r="G11" s="75">
        <v>278.68</v>
      </c>
      <c r="H11" s="75">
        <v>3.2568600000000001</v>
      </c>
    </row>
    <row r="12" spans="1:8" ht="15" customHeight="1">
      <c r="D12" s="68"/>
      <c r="E12" s="74">
        <v>281.04899999999998</v>
      </c>
      <c r="F12" s="75">
        <v>4090</v>
      </c>
      <c r="G12" s="75">
        <v>278.58</v>
      </c>
      <c r="H12" s="75">
        <v>2.4690099999999999</v>
      </c>
    </row>
    <row r="13" spans="1:8" ht="15" customHeight="1">
      <c r="D13" s="68"/>
      <c r="E13" s="74">
        <v>281.43</v>
      </c>
      <c r="F13" s="75">
        <v>4566</v>
      </c>
      <c r="G13" s="75">
        <v>278.26</v>
      </c>
      <c r="H13" s="75">
        <v>3.1699899999999999</v>
      </c>
    </row>
    <row r="14" spans="1:8" ht="15" customHeight="1">
      <c r="D14" s="68"/>
      <c r="E14" s="74">
        <v>281.30450000000002</v>
      </c>
      <c r="F14" s="75">
        <v>5038</v>
      </c>
      <c r="G14" s="75">
        <v>278.95</v>
      </c>
      <c r="H14" s="75">
        <v>2.3544900000000002</v>
      </c>
    </row>
    <row r="15" spans="1:8" ht="15" customHeight="1">
      <c r="D15" s="68"/>
      <c r="E15" s="74">
        <v>280.58949999999999</v>
      </c>
      <c r="F15" s="75">
        <v>5514</v>
      </c>
      <c r="G15" s="75">
        <v>278.27999999999997</v>
      </c>
      <c r="H15" s="75">
        <v>2.3094999999999999</v>
      </c>
    </row>
    <row r="16" spans="1:8" ht="15" customHeight="1">
      <c r="D16" s="68"/>
      <c r="E16" s="74">
        <v>282.16370000000001</v>
      </c>
      <c r="F16" s="75">
        <v>5983</v>
      </c>
      <c r="G16" s="75">
        <v>278.68</v>
      </c>
      <c r="H16" s="75">
        <v>3.48367</v>
      </c>
    </row>
    <row r="17" spans="4:8" ht="15" customHeight="1">
      <c r="D17" s="68"/>
      <c r="E17" s="74">
        <v>281.4015</v>
      </c>
      <c r="F17" s="75">
        <v>6459</v>
      </c>
      <c r="G17" s="75">
        <v>278.60000000000002</v>
      </c>
      <c r="H17" s="75">
        <v>2.8014899999999998</v>
      </c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312</v>
      </c>
      <c r="D1" s="68"/>
      <c r="E1" s="139" t="s">
        <v>313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112</v>
      </c>
      <c r="D4" s="68" t="s">
        <v>119</v>
      </c>
      <c r="E4" s="74">
        <v>307.7878</v>
      </c>
      <c r="F4" s="75">
        <v>301</v>
      </c>
      <c r="G4" s="75">
        <v>291.2</v>
      </c>
      <c r="H4" s="75">
        <v>16.58775</v>
      </c>
    </row>
    <row r="5" spans="1:8" ht="15" customHeight="1">
      <c r="D5" s="68"/>
      <c r="E5" s="74">
        <v>307.39</v>
      </c>
      <c r="F5" s="75">
        <v>775</v>
      </c>
      <c r="G5" s="75">
        <v>289.7</v>
      </c>
      <c r="H5" s="75">
        <v>17.690000000000001</v>
      </c>
    </row>
    <row r="6" spans="1:8" ht="15" customHeight="1">
      <c r="D6" s="68"/>
      <c r="E6" s="74">
        <v>306.09390000000002</v>
      </c>
      <c r="F6" s="75">
        <v>1254</v>
      </c>
      <c r="G6" s="75">
        <v>289.3</v>
      </c>
      <c r="H6" s="75">
        <v>16.793890000000001</v>
      </c>
    </row>
    <row r="7" spans="1:8" ht="15" customHeight="1">
      <c r="D7" s="68"/>
      <c r="E7" s="74">
        <v>306.05509999999998</v>
      </c>
      <c r="F7" s="75">
        <v>1725</v>
      </c>
      <c r="G7" s="75">
        <v>288.3</v>
      </c>
      <c r="H7" s="75">
        <v>17.755099999999999</v>
      </c>
    </row>
    <row r="8" spans="1:8" ht="15" customHeight="1">
      <c r="D8" s="68"/>
      <c r="E8" s="74">
        <v>305.16109999999998</v>
      </c>
      <c r="F8" s="75">
        <v>2199</v>
      </c>
      <c r="G8" s="75">
        <v>288</v>
      </c>
      <c r="H8" s="75">
        <v>17.16112</v>
      </c>
    </row>
    <row r="9" spans="1:8" ht="15" customHeight="1">
      <c r="D9" s="68"/>
      <c r="E9" s="74">
        <v>305.73059999999998</v>
      </c>
      <c r="F9" s="75">
        <v>2672</v>
      </c>
      <c r="G9" s="75">
        <v>288.2</v>
      </c>
      <c r="H9" s="75">
        <v>17.530570000000001</v>
      </c>
    </row>
    <row r="10" spans="1:8" ht="15" customHeight="1">
      <c r="D10" s="68" t="s">
        <v>107</v>
      </c>
      <c r="E10" s="74">
        <v>303.1028</v>
      </c>
      <c r="F10" s="75">
        <v>3146</v>
      </c>
      <c r="G10" s="75">
        <v>285.3</v>
      </c>
      <c r="H10" s="75">
        <v>17.802790000000002</v>
      </c>
    </row>
    <row r="11" spans="1:8" ht="15" customHeight="1">
      <c r="D11" s="68"/>
      <c r="E11" s="74">
        <v>306.16390000000001</v>
      </c>
      <c r="F11" s="75">
        <v>3625</v>
      </c>
      <c r="G11" s="75">
        <v>294.39999999999998</v>
      </c>
      <c r="H11" s="75">
        <v>11.76388</v>
      </c>
    </row>
    <row r="12" spans="1:8" ht="15" customHeight="1">
      <c r="D12" s="68"/>
      <c r="E12" s="74">
        <v>306.42779999999999</v>
      </c>
      <c r="F12" s="75">
        <v>4101</v>
      </c>
      <c r="G12" s="75">
        <v>294.5</v>
      </c>
      <c r="H12" s="75">
        <v>11.92779</v>
      </c>
    </row>
    <row r="13" spans="1:8" ht="15" customHeight="1">
      <c r="D13" s="68"/>
      <c r="E13" s="74">
        <v>305.35140000000001</v>
      </c>
      <c r="F13" s="75">
        <v>4574</v>
      </c>
      <c r="G13" s="75">
        <v>295</v>
      </c>
      <c r="H13" s="75">
        <v>10.35136</v>
      </c>
    </row>
    <row r="14" spans="1:8" ht="15" customHeight="1">
      <c r="D14" s="68"/>
      <c r="E14" s="74">
        <v>306.35559999999998</v>
      </c>
      <c r="F14" s="75">
        <v>5049</v>
      </c>
      <c r="G14" s="75">
        <v>294.7</v>
      </c>
      <c r="H14" s="75">
        <v>11.655559999999999</v>
      </c>
    </row>
    <row r="15" spans="1:8" ht="15" customHeight="1">
      <c r="D15" s="68"/>
      <c r="E15" s="74">
        <v>305.41669999999999</v>
      </c>
      <c r="F15" s="75">
        <v>5521</v>
      </c>
      <c r="G15" s="75">
        <v>295.2</v>
      </c>
      <c r="H15" s="75">
        <v>10.21668</v>
      </c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314</v>
      </c>
      <c r="D1" s="68"/>
      <c r="E1" s="139" t="s">
        <v>315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119</v>
      </c>
      <c r="E4" s="74">
        <v>289.72500000000002</v>
      </c>
      <c r="F4" s="75">
        <v>301</v>
      </c>
      <c r="G4" s="75">
        <v>282.26</v>
      </c>
      <c r="H4" s="75">
        <v>7.4649900000000002</v>
      </c>
    </row>
    <row r="5" spans="1:8" ht="15" customHeight="1">
      <c r="D5" s="68"/>
      <c r="E5" s="74">
        <v>289.89499999999998</v>
      </c>
      <c r="F5" s="75">
        <v>775</v>
      </c>
      <c r="G5" s="75">
        <v>281.61</v>
      </c>
      <c r="H5" s="75">
        <v>8.2850099999999998</v>
      </c>
    </row>
    <row r="6" spans="1:8" ht="15" customHeight="1">
      <c r="D6" s="68"/>
      <c r="E6" s="74">
        <v>289.1653</v>
      </c>
      <c r="F6" s="75">
        <v>1247</v>
      </c>
      <c r="G6" s="75">
        <v>280.64999999999998</v>
      </c>
      <c r="H6" s="75">
        <v>8.5153300000000005</v>
      </c>
    </row>
    <row r="7" spans="1:8" ht="15" customHeight="1">
      <c r="D7" s="68"/>
      <c r="E7" s="74">
        <v>289.28399999999999</v>
      </c>
      <c r="F7" s="75">
        <v>1721</v>
      </c>
      <c r="G7" s="75">
        <v>280.52</v>
      </c>
      <c r="H7" s="75">
        <v>8.7640499999999992</v>
      </c>
    </row>
    <row r="8" spans="1:8" ht="15" customHeight="1">
      <c r="D8" s="68"/>
      <c r="E8" s="74">
        <v>289.25229999999999</v>
      </c>
      <c r="F8" s="75">
        <v>2195</v>
      </c>
      <c r="G8" s="75">
        <v>280.38</v>
      </c>
      <c r="H8" s="75">
        <v>8.8723399999999994</v>
      </c>
    </row>
    <row r="9" spans="1:8" ht="15" customHeight="1">
      <c r="D9" s="68"/>
      <c r="E9" s="74">
        <v>289.32040000000001</v>
      </c>
      <c r="F9" s="75">
        <v>2669</v>
      </c>
      <c r="G9" s="75">
        <v>280.06</v>
      </c>
      <c r="H9" s="75">
        <v>9.2604299999999995</v>
      </c>
    </row>
    <row r="10" spans="1:8" ht="15" customHeight="1">
      <c r="D10" s="68" t="s">
        <v>107</v>
      </c>
      <c r="E10" s="19">
        <v>289.45890000000003</v>
      </c>
      <c r="F10" s="20">
        <v>3141</v>
      </c>
      <c r="G10" s="20">
        <v>281.57</v>
      </c>
      <c r="H10" s="20">
        <v>7.8889300000000002</v>
      </c>
    </row>
    <row r="11" spans="1:8" ht="15" customHeight="1">
      <c r="D11" s="68"/>
      <c r="E11" s="74">
        <v>289.5915</v>
      </c>
      <c r="F11" s="75">
        <v>3614</v>
      </c>
      <c r="G11" s="75">
        <v>283.85000000000002</v>
      </c>
      <c r="H11" s="75">
        <v>5.7414500000000004</v>
      </c>
    </row>
    <row r="12" spans="1:8" ht="15" customHeight="1">
      <c r="D12" s="68"/>
      <c r="E12" s="74">
        <v>289.44940000000003</v>
      </c>
      <c r="F12" s="75">
        <v>4088</v>
      </c>
      <c r="G12" s="75">
        <v>283.89</v>
      </c>
      <c r="H12" s="75">
        <v>5.5593700000000004</v>
      </c>
    </row>
    <row r="13" spans="1:8" ht="15" customHeight="1">
      <c r="D13" s="68"/>
      <c r="E13" s="74">
        <v>289.45229999999998</v>
      </c>
      <c r="F13" s="75">
        <v>4562</v>
      </c>
      <c r="G13" s="75">
        <v>284.31</v>
      </c>
      <c r="H13" s="75">
        <v>5.14229</v>
      </c>
    </row>
    <row r="14" spans="1:8" ht="15" customHeight="1">
      <c r="D14" s="68"/>
      <c r="E14" s="74">
        <v>289.66860000000003</v>
      </c>
      <c r="F14" s="75">
        <v>5035</v>
      </c>
      <c r="G14" s="75">
        <v>284.52</v>
      </c>
      <c r="H14" s="75">
        <v>5.1485599999999998</v>
      </c>
    </row>
    <row r="15" spans="1:8" ht="15" customHeight="1">
      <c r="D15" s="68"/>
      <c r="E15" s="74">
        <v>290.25959999999998</v>
      </c>
      <c r="F15" s="75">
        <v>5508</v>
      </c>
      <c r="G15" s="75">
        <v>285.35000000000002</v>
      </c>
      <c r="H15" s="75">
        <v>4.9095599999999999</v>
      </c>
    </row>
    <row r="16" spans="1:8" ht="15" customHeight="1">
      <c r="D16" s="68"/>
      <c r="E16" s="74">
        <v>290.32709999999997</v>
      </c>
      <c r="F16" s="75">
        <v>5980</v>
      </c>
      <c r="G16" s="75">
        <v>285.67</v>
      </c>
      <c r="H16" s="75">
        <v>4.65707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316</v>
      </c>
      <c r="D1" s="68"/>
      <c r="E1" s="139" t="s">
        <v>317</v>
      </c>
      <c r="F1" s="140"/>
      <c r="G1" s="140"/>
      <c r="H1" s="140"/>
      <c r="J1" s="68"/>
      <c r="K1" s="139" t="s">
        <v>318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118</v>
      </c>
      <c r="D4" s="68" t="s">
        <v>138</v>
      </c>
      <c r="E4" s="74">
        <v>331.1576</v>
      </c>
      <c r="F4" s="75">
        <v>301</v>
      </c>
      <c r="G4" s="75">
        <v>295.8</v>
      </c>
      <c r="H4" s="75">
        <v>35.357579999999999</v>
      </c>
      <c r="J4" s="68" t="s">
        <v>143</v>
      </c>
      <c r="K4" s="74">
        <v>338.66469999999998</v>
      </c>
      <c r="L4" s="75">
        <v>301</v>
      </c>
      <c r="M4" s="75">
        <v>299.2</v>
      </c>
      <c r="N4" s="75">
        <v>39.464709999999997</v>
      </c>
    </row>
    <row r="5" spans="1:14" ht="15" customHeight="1">
      <c r="D5" s="68"/>
      <c r="E5" s="74">
        <v>329.27350000000001</v>
      </c>
      <c r="F5" s="75">
        <v>773</v>
      </c>
      <c r="G5" s="75">
        <v>293.60000000000002</v>
      </c>
      <c r="H5" s="75">
        <v>35.673540000000003</v>
      </c>
      <c r="J5" s="68"/>
      <c r="K5" s="74">
        <v>339.2824</v>
      </c>
      <c r="L5" s="75">
        <v>774</v>
      </c>
      <c r="M5" s="75">
        <v>298.5</v>
      </c>
      <c r="N5" s="75">
        <v>40.782350000000001</v>
      </c>
    </row>
    <row r="6" spans="1:14" ht="15" customHeight="1">
      <c r="D6" s="68"/>
      <c r="E6" s="74">
        <v>329.89120000000003</v>
      </c>
      <c r="F6" s="75">
        <v>1246</v>
      </c>
      <c r="G6" s="75">
        <v>293.39999999999998</v>
      </c>
      <c r="H6" s="75">
        <v>36.491190000000003</v>
      </c>
      <c r="J6" s="68"/>
      <c r="K6" s="74">
        <v>339.09699999999998</v>
      </c>
      <c r="L6" s="75">
        <v>1253</v>
      </c>
      <c r="M6" s="75">
        <v>296.60000000000002</v>
      </c>
      <c r="N6" s="75">
        <v>42.496960000000001</v>
      </c>
    </row>
    <row r="7" spans="1:14" ht="15" customHeight="1">
      <c r="D7" s="68"/>
      <c r="E7" s="74">
        <v>327.2</v>
      </c>
      <c r="F7" s="75">
        <v>1719</v>
      </c>
      <c r="G7" s="75">
        <v>291.3</v>
      </c>
      <c r="H7" s="75">
        <v>35.9</v>
      </c>
      <c r="J7" s="68"/>
      <c r="K7" s="74">
        <v>338.76179999999999</v>
      </c>
      <c r="L7" s="75">
        <v>1727</v>
      </c>
      <c r="M7" s="75">
        <v>295.8</v>
      </c>
      <c r="N7" s="75">
        <v>42.961759999999998</v>
      </c>
    </row>
    <row r="8" spans="1:14" ht="15" customHeight="1">
      <c r="D8" s="68"/>
      <c r="E8" s="74">
        <v>326.01769999999999</v>
      </c>
      <c r="F8" s="75">
        <v>2198</v>
      </c>
      <c r="G8" s="75">
        <v>291.5</v>
      </c>
      <c r="H8" s="75">
        <v>34.517650000000003</v>
      </c>
      <c r="J8" s="68"/>
      <c r="K8" s="74">
        <v>333.44119999999998</v>
      </c>
      <c r="L8" s="75">
        <v>2206</v>
      </c>
      <c r="M8" s="75">
        <v>292.5</v>
      </c>
      <c r="N8" s="75">
        <v>40.941189999999999</v>
      </c>
    </row>
    <row r="9" spans="1:14" ht="15" customHeight="1">
      <c r="D9" s="68"/>
      <c r="E9" s="74">
        <v>325.8</v>
      </c>
      <c r="F9" s="75">
        <v>2671</v>
      </c>
      <c r="G9" s="75">
        <v>291.8</v>
      </c>
      <c r="H9" s="75">
        <v>34.000010000000003</v>
      </c>
      <c r="J9" s="68" t="s">
        <v>138</v>
      </c>
      <c r="K9" s="74">
        <v>331.1576</v>
      </c>
      <c r="L9" s="75">
        <v>2680</v>
      </c>
      <c r="M9" s="75">
        <v>295.8</v>
      </c>
      <c r="N9" s="75">
        <v>35.357579999999999</v>
      </c>
    </row>
    <row r="10" spans="1:14" ht="15" customHeight="1">
      <c r="D10" s="68" t="s">
        <v>114</v>
      </c>
      <c r="E10" s="74">
        <v>319.45460000000003</v>
      </c>
      <c r="F10" s="75">
        <v>3150</v>
      </c>
      <c r="G10" s="75">
        <v>293.8</v>
      </c>
      <c r="H10" s="75">
        <v>25.65455</v>
      </c>
      <c r="J10" s="68"/>
      <c r="K10" s="74">
        <v>329.27350000000001</v>
      </c>
      <c r="L10" s="75">
        <v>3152</v>
      </c>
      <c r="M10" s="75">
        <v>293.60000000000002</v>
      </c>
      <c r="N10" s="75">
        <v>35.673540000000003</v>
      </c>
    </row>
    <row r="11" spans="1:14" ht="15" customHeight="1">
      <c r="D11" s="68"/>
      <c r="E11" s="74">
        <v>319.68239999999997</v>
      </c>
      <c r="F11" s="75">
        <v>3623</v>
      </c>
      <c r="G11" s="75">
        <v>294.5</v>
      </c>
      <c r="H11" s="75">
        <v>25.182359999999999</v>
      </c>
      <c r="J11" s="68"/>
      <c r="K11" s="74">
        <v>329.89120000000003</v>
      </c>
      <c r="L11" s="75">
        <v>3625</v>
      </c>
      <c r="M11" s="75">
        <v>293.39999999999998</v>
      </c>
      <c r="N11" s="75">
        <v>36.491190000000003</v>
      </c>
    </row>
    <row r="12" spans="1:14" ht="15" customHeight="1">
      <c r="D12" s="68"/>
      <c r="E12" s="74">
        <v>318.7441</v>
      </c>
      <c r="F12" s="75">
        <v>4097</v>
      </c>
      <c r="G12" s="75">
        <v>293.60000000000002</v>
      </c>
      <c r="H12" s="75">
        <v>25.144130000000001</v>
      </c>
      <c r="J12" s="68"/>
      <c r="K12" s="74">
        <v>327.2</v>
      </c>
      <c r="L12" s="75">
        <v>4098</v>
      </c>
      <c r="M12" s="75">
        <v>291.3</v>
      </c>
      <c r="N12" s="75">
        <v>35.9</v>
      </c>
    </row>
    <row r="13" spans="1:14" ht="15" customHeight="1">
      <c r="D13" s="68"/>
      <c r="E13" s="74">
        <v>318.90589999999997</v>
      </c>
      <c r="F13" s="75">
        <v>4570</v>
      </c>
      <c r="G13" s="75">
        <v>295.5</v>
      </c>
      <c r="H13" s="75">
        <v>23.40587</v>
      </c>
      <c r="J13" s="68"/>
      <c r="K13" s="74">
        <v>326.01769999999999</v>
      </c>
      <c r="L13" s="75">
        <v>4577</v>
      </c>
      <c r="M13" s="75">
        <v>291.5</v>
      </c>
      <c r="N13" s="75">
        <v>34.517650000000003</v>
      </c>
    </row>
    <row r="14" spans="1:14" ht="15" customHeight="1">
      <c r="D14" s="68"/>
      <c r="E14" s="74">
        <v>317.71469999999999</v>
      </c>
      <c r="F14" s="75">
        <v>5044</v>
      </c>
      <c r="G14" s="75">
        <v>294.3</v>
      </c>
      <c r="H14" s="75">
        <v>23.414719999999999</v>
      </c>
      <c r="J14" s="68"/>
      <c r="K14" s="74">
        <v>325.8</v>
      </c>
      <c r="L14" s="75">
        <v>5050</v>
      </c>
      <c r="M14" s="75">
        <v>291.8</v>
      </c>
      <c r="N14" s="75">
        <v>34.000010000000003</v>
      </c>
    </row>
    <row r="15" spans="1:14" ht="15" customHeight="1">
      <c r="D15" s="68"/>
      <c r="E15" s="68"/>
      <c r="F15" s="68"/>
      <c r="G15" s="68"/>
      <c r="H15" s="68"/>
      <c r="J15" s="68"/>
      <c r="K15" s="68"/>
      <c r="L15" s="68"/>
      <c r="M15" s="68"/>
      <c r="N15" s="68"/>
    </row>
    <row r="16" spans="1:14" ht="15" customHeight="1">
      <c r="D16" s="68"/>
      <c r="E16" s="68"/>
      <c r="F16" s="68"/>
      <c r="G16" s="68"/>
      <c r="H16" s="68"/>
      <c r="J16" s="68"/>
      <c r="K16" s="68"/>
      <c r="L16" s="68"/>
      <c r="M16" s="68"/>
      <c r="N16" s="68"/>
    </row>
    <row r="17" spans="4:14" ht="15" customHeight="1">
      <c r="D17" s="68"/>
      <c r="E17" s="68"/>
      <c r="F17" s="68"/>
      <c r="G17" s="68"/>
      <c r="H17" s="68"/>
      <c r="J17" s="68"/>
      <c r="K17" s="68"/>
      <c r="L17" s="68"/>
      <c r="M17" s="68"/>
      <c r="N17" s="68"/>
    </row>
    <row r="18" spans="4:14" ht="15" customHeight="1">
      <c r="D18" s="68"/>
      <c r="E18" s="68"/>
      <c r="F18" s="68"/>
      <c r="G18" s="68"/>
      <c r="H18" s="68"/>
      <c r="J18" s="68"/>
      <c r="K18" s="68"/>
      <c r="L18" s="68"/>
      <c r="M18" s="68"/>
      <c r="N18" s="68"/>
    </row>
    <row r="19" spans="4:14" ht="15" customHeight="1">
      <c r="D19" s="68"/>
      <c r="E19" s="68"/>
      <c r="F19" s="68"/>
      <c r="G19" s="68"/>
      <c r="H19" s="68"/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319</v>
      </c>
      <c r="D1" s="68"/>
      <c r="E1" s="139" t="s">
        <v>320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95</v>
      </c>
      <c r="E4" s="74">
        <v>288.84359999999998</v>
      </c>
      <c r="F4" s="75">
        <v>301</v>
      </c>
      <c r="G4" s="75">
        <v>283.3</v>
      </c>
      <c r="H4" s="75">
        <v>5.5436100000000001</v>
      </c>
    </row>
    <row r="5" spans="1:8" ht="15" customHeight="1">
      <c r="D5" s="68"/>
      <c r="E5" s="74">
        <v>288.6114</v>
      </c>
      <c r="F5" s="75">
        <v>779</v>
      </c>
      <c r="G5" s="75">
        <v>283.14</v>
      </c>
      <c r="H5" s="75">
        <v>5.4714200000000002</v>
      </c>
    </row>
    <row r="6" spans="1:8" ht="15" customHeight="1">
      <c r="D6" s="68"/>
      <c r="E6" s="74">
        <v>288.5831</v>
      </c>
      <c r="F6" s="75">
        <v>1249</v>
      </c>
      <c r="G6" s="75">
        <v>283.2</v>
      </c>
      <c r="H6" s="75">
        <v>5.3830499999999999</v>
      </c>
    </row>
    <row r="7" spans="1:8" ht="15" customHeight="1">
      <c r="D7" s="68"/>
      <c r="E7" s="74">
        <v>288.63420000000002</v>
      </c>
      <c r="F7" s="75">
        <v>1728</v>
      </c>
      <c r="G7" s="75">
        <v>282.97000000000003</v>
      </c>
      <c r="H7" s="75">
        <v>5.6642000000000001</v>
      </c>
    </row>
    <row r="8" spans="1:8" ht="15" customHeight="1">
      <c r="D8" s="68"/>
      <c r="E8" s="74">
        <v>288.44779999999997</v>
      </c>
      <c r="F8" s="75">
        <v>2199</v>
      </c>
      <c r="G8" s="75">
        <v>283.01</v>
      </c>
      <c r="H8" s="75">
        <v>5.4377399999999998</v>
      </c>
    </row>
    <row r="9" spans="1:8" ht="15" customHeight="1">
      <c r="D9" s="68"/>
      <c r="E9" s="74">
        <v>288.39839999999998</v>
      </c>
      <c r="F9" s="75">
        <v>2669</v>
      </c>
      <c r="G9" s="75">
        <v>284.01</v>
      </c>
      <c r="H9" s="75">
        <v>4.3883599999999996</v>
      </c>
    </row>
    <row r="10" spans="1:8" ht="15" customHeight="1">
      <c r="D10" s="68" t="s">
        <v>107</v>
      </c>
      <c r="E10" s="74">
        <v>288.90249999999997</v>
      </c>
      <c r="F10" s="91">
        <v>3148</v>
      </c>
      <c r="G10" s="74">
        <v>284.45</v>
      </c>
      <c r="H10" s="75">
        <v>4.4524400000000002</v>
      </c>
    </row>
    <row r="11" spans="1:8" ht="15" customHeight="1">
      <c r="D11" s="68"/>
      <c r="E11" s="74">
        <v>289.0188</v>
      </c>
      <c r="F11" s="117">
        <v>3618</v>
      </c>
      <c r="G11" s="75">
        <v>284.77</v>
      </c>
      <c r="H11" s="75">
        <v>4.2488099999999998</v>
      </c>
    </row>
    <row r="12" spans="1:8" ht="15" customHeight="1">
      <c r="D12" s="68"/>
      <c r="E12" s="74">
        <v>289.61</v>
      </c>
      <c r="F12" s="75">
        <v>4097</v>
      </c>
      <c r="G12" s="75">
        <v>285.37</v>
      </c>
      <c r="H12" s="75">
        <v>4.24</v>
      </c>
    </row>
    <row r="13" spans="1:8" ht="15" customHeight="1">
      <c r="D13" s="68"/>
      <c r="E13" s="74">
        <v>289.45370000000003</v>
      </c>
      <c r="F13" s="75">
        <v>4568</v>
      </c>
      <c r="G13" s="75">
        <v>285.27</v>
      </c>
      <c r="H13" s="75">
        <v>4.1837299999999997</v>
      </c>
    </row>
    <row r="14" spans="1:8" ht="15" customHeight="1">
      <c r="D14" s="68"/>
      <c r="E14" s="74">
        <v>289.42790000000002</v>
      </c>
      <c r="F14" s="75">
        <v>5042</v>
      </c>
      <c r="G14" s="75">
        <v>285</v>
      </c>
      <c r="H14" s="75">
        <v>4.4279099999999998</v>
      </c>
    </row>
    <row r="15" spans="1:8" ht="15" customHeight="1">
      <c r="D15" s="68"/>
      <c r="E15" s="68"/>
      <c r="F15" s="68"/>
      <c r="G15" s="68"/>
      <c r="H15" s="68"/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321</v>
      </c>
      <c r="D1" s="68"/>
      <c r="E1" s="139" t="s">
        <v>322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138</v>
      </c>
      <c r="E4" s="92">
        <v>286.36430000000001</v>
      </c>
      <c r="F4" s="117">
        <v>300</v>
      </c>
      <c r="G4" s="117">
        <v>281.13</v>
      </c>
      <c r="H4" s="117">
        <v>5.23428</v>
      </c>
    </row>
    <row r="5" spans="1:8" ht="15" customHeight="1">
      <c r="D5" s="68"/>
      <c r="E5" s="74">
        <v>286.19409999999999</v>
      </c>
      <c r="F5" s="75">
        <v>771</v>
      </c>
      <c r="G5" s="75">
        <v>281.20999999999998</v>
      </c>
      <c r="H5" s="75">
        <v>4.9840900000000001</v>
      </c>
    </row>
    <row r="6" spans="1:8" ht="15" customHeight="1">
      <c r="D6" s="68"/>
      <c r="E6" s="74">
        <v>286.03609999999998</v>
      </c>
      <c r="F6" s="75">
        <v>1244</v>
      </c>
      <c r="G6" s="75">
        <v>281.08999999999997</v>
      </c>
      <c r="H6" s="75">
        <v>4.9461199999999996</v>
      </c>
    </row>
    <row r="7" spans="1:8" ht="15" customHeight="1">
      <c r="D7" s="68"/>
      <c r="E7" s="74">
        <v>286.04020000000003</v>
      </c>
      <c r="F7" s="75">
        <v>1718</v>
      </c>
      <c r="G7" s="75">
        <v>280.63</v>
      </c>
      <c r="H7" s="75">
        <v>5.4101999999999997</v>
      </c>
    </row>
    <row r="8" spans="1:8" ht="15" customHeight="1">
      <c r="D8" s="68"/>
      <c r="E8" s="74">
        <v>285.82690000000002</v>
      </c>
      <c r="F8" s="75">
        <v>2192</v>
      </c>
      <c r="G8" s="75">
        <v>280.23</v>
      </c>
      <c r="H8" s="75">
        <v>5.5969300000000004</v>
      </c>
    </row>
    <row r="9" spans="1:8" ht="15" customHeight="1">
      <c r="D9" s="68"/>
      <c r="E9" s="74">
        <v>285.99349999999998</v>
      </c>
      <c r="F9" s="91">
        <v>2665</v>
      </c>
      <c r="G9" s="91">
        <v>280.35000000000002</v>
      </c>
      <c r="H9" s="74">
        <v>5.6434899999999999</v>
      </c>
    </row>
    <row r="10" spans="1:8" ht="15" customHeight="1">
      <c r="D10" s="68" t="s">
        <v>107</v>
      </c>
      <c r="E10" s="19">
        <v>285.75130000000001</v>
      </c>
      <c r="F10" s="126">
        <v>3138</v>
      </c>
      <c r="G10" s="126">
        <v>279.85000000000002</v>
      </c>
      <c r="H10" s="20">
        <v>5.9012700000000002</v>
      </c>
    </row>
    <row r="11" spans="1:8" ht="15" customHeight="1">
      <c r="D11" s="68"/>
      <c r="E11" s="74">
        <v>285.52620000000002</v>
      </c>
      <c r="F11" s="75">
        <v>3614</v>
      </c>
      <c r="G11" s="75">
        <v>281.27</v>
      </c>
      <c r="H11" s="75">
        <v>4.2561600000000004</v>
      </c>
    </row>
    <row r="12" spans="1:8" ht="15" customHeight="1">
      <c r="D12" s="68"/>
      <c r="E12" s="74">
        <v>285.61669999999998</v>
      </c>
      <c r="F12" s="75">
        <v>4086</v>
      </c>
      <c r="G12" s="75">
        <v>281.63</v>
      </c>
      <c r="H12" s="75">
        <v>3.9866600000000001</v>
      </c>
    </row>
    <row r="13" spans="1:8" ht="15" customHeight="1">
      <c r="D13" s="68"/>
      <c r="E13" s="74">
        <v>285.53739999999999</v>
      </c>
      <c r="F13" s="75">
        <v>4558</v>
      </c>
      <c r="G13" s="75">
        <v>281.92</v>
      </c>
      <c r="H13" s="75">
        <v>3.6174200000000001</v>
      </c>
    </row>
    <row r="14" spans="1:8" ht="15" customHeight="1">
      <c r="D14" s="68"/>
      <c r="E14" s="74">
        <v>285.64800000000002</v>
      </c>
      <c r="F14" s="75">
        <v>5032</v>
      </c>
      <c r="G14" s="75">
        <v>281.70999999999998</v>
      </c>
      <c r="H14" s="75">
        <v>3.9379599999999999</v>
      </c>
    </row>
    <row r="15" spans="1:8" ht="15" customHeight="1">
      <c r="D15" s="68"/>
      <c r="E15" s="74">
        <v>285.43970000000002</v>
      </c>
      <c r="F15" s="75">
        <v>5508</v>
      </c>
      <c r="G15" s="75">
        <v>281.61</v>
      </c>
      <c r="H15" s="75">
        <v>3.8297500000000002</v>
      </c>
    </row>
    <row r="16" spans="1:8" ht="15" customHeight="1">
      <c r="D16" s="68"/>
      <c r="E16" s="68"/>
      <c r="F16" s="68"/>
      <c r="G16" s="68"/>
      <c r="H16" s="68"/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</sheetData>
  <mergeCells count="1">
    <mergeCell ref="E1:H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H36"/>
  <sheetViews>
    <sheetView workbookViewId="0"/>
  </sheetViews>
  <sheetFormatPr defaultColWidth="11.19921875" defaultRowHeight="15" customHeight="1"/>
  <sheetData>
    <row r="1" spans="1:8" ht="15" customHeight="1">
      <c r="A1" s="112" t="s">
        <v>323</v>
      </c>
      <c r="D1" s="68"/>
      <c r="E1" s="139" t="s">
        <v>324</v>
      </c>
      <c r="F1" s="140"/>
      <c r="G1" s="140"/>
      <c r="H1" s="140"/>
    </row>
    <row r="2" spans="1:8" ht="15" customHeight="1">
      <c r="A2" s="112" t="s">
        <v>90</v>
      </c>
      <c r="D2" s="68"/>
      <c r="E2" s="68"/>
      <c r="F2" s="68"/>
      <c r="G2" s="68"/>
      <c r="H2" s="68"/>
    </row>
    <row r="3" spans="1:8" ht="15" customHeight="1">
      <c r="A3" s="113" t="s">
        <v>111</v>
      </c>
      <c r="D3" s="68"/>
      <c r="E3" s="115" t="s">
        <v>10</v>
      </c>
      <c r="F3" s="129" t="s">
        <v>11</v>
      </c>
      <c r="G3" s="129" t="s">
        <v>12</v>
      </c>
      <c r="H3" s="130" t="s">
        <v>85</v>
      </c>
    </row>
    <row r="4" spans="1:8" ht="15" customHeight="1">
      <c r="A4" s="113" t="s">
        <v>112</v>
      </c>
      <c r="D4" s="131" t="s">
        <v>119</v>
      </c>
      <c r="E4" s="74">
        <v>294.10840000000002</v>
      </c>
      <c r="F4" s="75">
        <v>301</v>
      </c>
      <c r="G4" s="75">
        <v>260.3</v>
      </c>
      <c r="H4" s="75">
        <v>33.808450000000001</v>
      </c>
    </row>
    <row r="5" spans="1:8" ht="15" customHeight="1">
      <c r="D5" s="68"/>
      <c r="E5" s="74">
        <v>293.83210000000003</v>
      </c>
      <c r="F5" s="75">
        <v>777</v>
      </c>
      <c r="G5" s="75">
        <v>260.77999999999997</v>
      </c>
      <c r="H5" s="75">
        <v>33.052079999999997</v>
      </c>
    </row>
    <row r="6" spans="1:8" ht="15" customHeight="1">
      <c r="D6" s="68"/>
      <c r="E6" s="74">
        <v>291.76170000000002</v>
      </c>
      <c r="F6" s="75">
        <v>1252</v>
      </c>
      <c r="G6" s="75">
        <v>260.07</v>
      </c>
      <c r="H6" s="75">
        <v>31.691659999999999</v>
      </c>
    </row>
    <row r="7" spans="1:8" ht="15" customHeight="1">
      <c r="D7" s="68"/>
      <c r="E7" s="74">
        <v>292.57240000000002</v>
      </c>
      <c r="F7" s="75">
        <v>1725</v>
      </c>
      <c r="G7" s="75">
        <v>260.64999999999998</v>
      </c>
      <c r="H7" s="75">
        <v>31.922409999999999</v>
      </c>
    </row>
    <row r="8" spans="1:8" ht="15" customHeight="1">
      <c r="D8" s="68"/>
      <c r="E8" s="74">
        <v>293.11559999999997</v>
      </c>
      <c r="F8" s="75">
        <v>2197</v>
      </c>
      <c r="G8" s="75">
        <v>260.24</v>
      </c>
      <c r="H8" s="75">
        <v>32.875610000000002</v>
      </c>
    </row>
    <row r="9" spans="1:8" ht="15" customHeight="1">
      <c r="D9" s="68"/>
      <c r="E9" s="74">
        <v>292.71789999999999</v>
      </c>
      <c r="F9" s="75">
        <v>2670</v>
      </c>
      <c r="G9" s="75">
        <v>259.45999999999998</v>
      </c>
      <c r="H9" s="75">
        <v>33.257919999999999</v>
      </c>
    </row>
    <row r="10" spans="1:8" ht="15" customHeight="1">
      <c r="D10" s="68"/>
      <c r="E10" s="74">
        <v>295.10759999999999</v>
      </c>
      <c r="F10" s="75">
        <v>3144</v>
      </c>
      <c r="G10" s="75">
        <v>259.44</v>
      </c>
      <c r="H10" s="75">
        <v>35.6676</v>
      </c>
    </row>
    <row r="11" spans="1:8" ht="15" customHeight="1">
      <c r="D11" s="68"/>
      <c r="E11" s="74">
        <v>293.36040000000003</v>
      </c>
      <c r="F11" s="75">
        <v>3617</v>
      </c>
      <c r="G11" s="75">
        <v>259.33999999999997</v>
      </c>
      <c r="H11" s="75">
        <v>34.020400000000002</v>
      </c>
    </row>
    <row r="12" spans="1:8" ht="15" customHeight="1">
      <c r="D12" s="131" t="s">
        <v>138</v>
      </c>
      <c r="E12" s="19">
        <v>291.05040000000002</v>
      </c>
      <c r="F12" s="20">
        <v>4090</v>
      </c>
      <c r="G12" s="20">
        <v>259.82</v>
      </c>
      <c r="H12" s="20">
        <v>31.230409999999999</v>
      </c>
    </row>
    <row r="13" spans="1:8" ht="15" customHeight="1">
      <c r="D13" s="68"/>
      <c r="E13" s="19">
        <v>293.26760000000002</v>
      </c>
      <c r="F13" s="20">
        <v>4566</v>
      </c>
      <c r="G13" s="20">
        <v>260.3</v>
      </c>
      <c r="H13" s="20">
        <v>32.967610000000001</v>
      </c>
    </row>
    <row r="14" spans="1:8" ht="15" customHeight="1">
      <c r="D14" s="68"/>
      <c r="E14" s="74">
        <v>292.50400000000002</v>
      </c>
      <c r="F14" s="75">
        <v>5037</v>
      </c>
      <c r="G14" s="75">
        <v>259.77999999999997</v>
      </c>
      <c r="H14" s="75">
        <v>32.723999999999997</v>
      </c>
    </row>
    <row r="15" spans="1:8" ht="15" customHeight="1">
      <c r="D15" s="68"/>
      <c r="E15" s="74">
        <v>290.79919999999998</v>
      </c>
      <c r="F15" s="75">
        <v>5511</v>
      </c>
      <c r="G15" s="75">
        <v>258.58</v>
      </c>
      <c r="H15" s="75">
        <v>32.219209999999997</v>
      </c>
    </row>
    <row r="16" spans="1:8" ht="15" customHeight="1">
      <c r="D16" s="68"/>
      <c r="E16" s="74">
        <v>292.96600000000001</v>
      </c>
      <c r="F16" s="75">
        <v>5984</v>
      </c>
      <c r="G16" s="75">
        <v>259.02</v>
      </c>
      <c r="H16" s="75">
        <v>33.946010000000001</v>
      </c>
    </row>
    <row r="17" spans="4:8" ht="15" customHeight="1">
      <c r="D17" s="68"/>
      <c r="E17" s="74">
        <v>290.91289999999998</v>
      </c>
      <c r="F17" s="75">
        <v>6458</v>
      </c>
      <c r="G17" s="75">
        <v>259.73</v>
      </c>
      <c r="H17" s="75">
        <v>31.18291</v>
      </c>
    </row>
    <row r="18" spans="4:8" ht="15" customHeight="1">
      <c r="D18" s="68"/>
      <c r="E18" s="74">
        <v>290.714</v>
      </c>
      <c r="F18" s="75">
        <v>6931</v>
      </c>
      <c r="G18" s="75">
        <v>259.32</v>
      </c>
      <c r="H18" s="75">
        <v>31.393989999999999</v>
      </c>
    </row>
    <row r="19" spans="4:8" ht="15" customHeight="1">
      <c r="D19" s="68"/>
      <c r="E19" s="74">
        <v>290.31479999999999</v>
      </c>
      <c r="F19" s="75">
        <v>7404</v>
      </c>
      <c r="G19" s="75">
        <v>257.94</v>
      </c>
      <c r="H19" s="75">
        <v>32.3748</v>
      </c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  <row r="27" spans="4:8" ht="15" customHeight="1">
      <c r="D27" s="68"/>
      <c r="E27" s="68"/>
      <c r="F27" s="68"/>
      <c r="G27" s="68"/>
      <c r="H27" s="68"/>
    </row>
    <row r="28" spans="4:8" ht="15.6">
      <c r="D28" s="68"/>
      <c r="E28" s="68"/>
      <c r="F28" s="68"/>
      <c r="G28" s="68"/>
      <c r="H28" s="68"/>
    </row>
    <row r="29" spans="4:8" ht="15.6">
      <c r="D29" s="68"/>
      <c r="E29" s="68"/>
      <c r="F29" s="68"/>
      <c r="G29" s="68"/>
      <c r="H29" s="68"/>
    </row>
    <row r="30" spans="4:8" ht="15.6">
      <c r="D30" s="68"/>
      <c r="E30" s="68"/>
      <c r="F30" s="68"/>
      <c r="G30" s="68"/>
      <c r="H30" s="68"/>
    </row>
    <row r="31" spans="4:8" ht="15.6">
      <c r="D31" s="68"/>
      <c r="E31" s="68"/>
      <c r="F31" s="68"/>
      <c r="G31" s="68"/>
      <c r="H31" s="68"/>
    </row>
    <row r="32" spans="4:8" ht="15.6">
      <c r="D32" s="68"/>
      <c r="E32" s="68"/>
      <c r="F32" s="68"/>
      <c r="G32" s="68"/>
      <c r="H32" s="68"/>
    </row>
    <row r="33" spans="4:8" ht="15.6">
      <c r="D33" s="68"/>
      <c r="E33" s="68"/>
      <c r="F33" s="68"/>
      <c r="G33" s="68"/>
      <c r="H33" s="68"/>
    </row>
    <row r="34" spans="4:8" ht="15.6">
      <c r="D34" s="68"/>
      <c r="E34" s="68"/>
      <c r="F34" s="68"/>
      <c r="G34" s="68"/>
      <c r="H34" s="68"/>
    </row>
    <row r="35" spans="4:8" ht="15.6">
      <c r="D35" s="68"/>
      <c r="E35" s="68"/>
      <c r="F35" s="68"/>
      <c r="G35" s="68"/>
      <c r="H35" s="68"/>
    </row>
    <row r="36" spans="4:8" ht="15.6">
      <c r="D36" s="68"/>
      <c r="E36" s="68"/>
      <c r="F36" s="68"/>
      <c r="G36" s="68"/>
      <c r="H36" s="68"/>
    </row>
  </sheetData>
  <mergeCells count="1">
    <mergeCell ref="E1:H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H36"/>
  <sheetViews>
    <sheetView workbookViewId="0"/>
  </sheetViews>
  <sheetFormatPr defaultColWidth="11.19921875" defaultRowHeight="15" customHeight="1"/>
  <sheetData>
    <row r="1" spans="1:8" ht="15" customHeight="1">
      <c r="A1" s="81" t="s">
        <v>325</v>
      </c>
      <c r="D1" s="68"/>
      <c r="E1" s="139" t="s">
        <v>326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118</v>
      </c>
      <c r="D4" s="68" t="s">
        <v>143</v>
      </c>
      <c r="E4" s="74">
        <v>293.3082</v>
      </c>
      <c r="F4" s="75">
        <v>301</v>
      </c>
      <c r="G4" s="75">
        <v>266.97000000000003</v>
      </c>
      <c r="H4" s="75">
        <v>26.338180000000001</v>
      </c>
    </row>
    <row r="5" spans="1:8" ht="15" customHeight="1">
      <c r="D5" s="68"/>
      <c r="E5" s="74">
        <v>293.6456</v>
      </c>
      <c r="F5" s="75">
        <v>774</v>
      </c>
      <c r="G5" s="75">
        <v>266.3</v>
      </c>
      <c r="H5" s="75">
        <v>27.34563</v>
      </c>
    </row>
    <row r="6" spans="1:8" ht="15" customHeight="1">
      <c r="D6" s="68"/>
      <c r="E6" s="74">
        <v>293.56760000000003</v>
      </c>
      <c r="F6" s="75">
        <v>1247</v>
      </c>
      <c r="G6" s="75">
        <v>266.32</v>
      </c>
      <c r="H6" s="75">
        <v>27.24756</v>
      </c>
    </row>
    <row r="7" spans="1:8" ht="15" customHeight="1">
      <c r="D7" s="68"/>
      <c r="E7" s="74">
        <v>293.5625</v>
      </c>
      <c r="F7" s="75">
        <v>1721</v>
      </c>
      <c r="G7" s="75">
        <v>267.02999999999997</v>
      </c>
      <c r="H7" s="75">
        <v>26.532499999999999</v>
      </c>
    </row>
    <row r="8" spans="1:8" ht="15" customHeight="1">
      <c r="D8" s="68"/>
      <c r="E8" s="74">
        <v>293.59820000000002</v>
      </c>
      <c r="F8" s="75">
        <v>2194</v>
      </c>
      <c r="G8" s="75">
        <v>265.83999999999997</v>
      </c>
      <c r="H8" s="75">
        <v>27.758179999999999</v>
      </c>
    </row>
    <row r="9" spans="1:8" ht="15" customHeight="1">
      <c r="D9" s="68"/>
      <c r="E9" s="74">
        <v>293.52760000000001</v>
      </c>
      <c r="F9" s="75">
        <v>2668</v>
      </c>
      <c r="G9" s="75">
        <v>265.69</v>
      </c>
      <c r="H9" s="75">
        <v>27.837569999999999</v>
      </c>
    </row>
    <row r="10" spans="1:8" ht="15" customHeight="1">
      <c r="D10" s="68" t="s">
        <v>138</v>
      </c>
      <c r="E10" s="19">
        <v>293.5806</v>
      </c>
      <c r="F10" s="20">
        <v>3141</v>
      </c>
      <c r="G10" s="20">
        <v>264.8</v>
      </c>
      <c r="H10" s="20">
        <v>28.780609999999999</v>
      </c>
    </row>
    <row r="11" spans="1:8" ht="15" customHeight="1">
      <c r="D11" s="68"/>
      <c r="E11" s="74">
        <v>292.5009</v>
      </c>
      <c r="F11" s="75">
        <v>3615</v>
      </c>
      <c r="G11" s="75">
        <v>267.12</v>
      </c>
      <c r="H11" s="75">
        <v>25.38091</v>
      </c>
    </row>
    <row r="12" spans="1:8" ht="15" customHeight="1">
      <c r="D12" s="68"/>
      <c r="E12" s="74">
        <v>292.90690000000001</v>
      </c>
      <c r="F12" s="75">
        <v>4088</v>
      </c>
      <c r="G12" s="75">
        <v>266.36</v>
      </c>
      <c r="H12" s="75">
        <v>26.546880000000002</v>
      </c>
    </row>
    <row r="13" spans="1:8" ht="15" customHeight="1">
      <c r="D13" s="68"/>
      <c r="E13" s="74">
        <v>292.46879999999999</v>
      </c>
      <c r="F13" s="75">
        <v>4562</v>
      </c>
      <c r="G13" s="75">
        <v>267.24</v>
      </c>
      <c r="H13" s="75">
        <v>25.2288</v>
      </c>
    </row>
    <row r="14" spans="1:8" ht="15" customHeight="1">
      <c r="D14" s="68"/>
      <c r="E14" s="74">
        <v>292.3972</v>
      </c>
      <c r="F14" s="75">
        <v>5035</v>
      </c>
      <c r="G14" s="75">
        <v>266.82</v>
      </c>
      <c r="H14" s="75">
        <v>25.577179999999998</v>
      </c>
    </row>
    <row r="15" spans="1:8" ht="15" customHeight="1">
      <c r="D15" s="68"/>
      <c r="E15" s="74">
        <v>292.7894</v>
      </c>
      <c r="F15" s="75">
        <v>5508</v>
      </c>
      <c r="G15" s="75">
        <v>267.01</v>
      </c>
      <c r="H15" s="75">
        <v>25.77936</v>
      </c>
    </row>
    <row r="16" spans="1:8" ht="15" customHeight="1">
      <c r="D16" s="68"/>
      <c r="E16" s="74">
        <v>292.73419999999999</v>
      </c>
      <c r="F16" s="75">
        <v>5983</v>
      </c>
      <c r="G16" s="75">
        <v>266.3</v>
      </c>
      <c r="H16" s="75">
        <v>26.434249999999999</v>
      </c>
    </row>
    <row r="17" spans="4:8" ht="15" customHeight="1">
      <c r="D17" s="68"/>
      <c r="E17" s="68"/>
      <c r="F17" s="68"/>
      <c r="G17" s="68"/>
      <c r="H17" s="68"/>
    </row>
    <row r="18" spans="4:8" ht="15" customHeight="1">
      <c r="D18" s="68"/>
      <c r="E18" s="68"/>
      <c r="F18" s="68"/>
      <c r="G18" s="68"/>
      <c r="H18" s="68"/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  <row r="27" spans="4:8" ht="15" customHeight="1">
      <c r="D27" s="68"/>
      <c r="E27" s="68"/>
      <c r="F27" s="68"/>
      <c r="G27" s="68"/>
      <c r="H27" s="68"/>
    </row>
    <row r="28" spans="4:8" ht="15.6">
      <c r="D28" s="68"/>
      <c r="E28" s="68"/>
      <c r="F28" s="68"/>
      <c r="G28" s="68"/>
      <c r="H28" s="68"/>
    </row>
    <row r="29" spans="4:8" ht="15.6">
      <c r="D29" s="68"/>
      <c r="E29" s="68"/>
      <c r="F29" s="68"/>
      <c r="G29" s="68"/>
      <c r="H29" s="68"/>
    </row>
    <row r="30" spans="4:8" ht="15.6">
      <c r="D30" s="68"/>
      <c r="E30" s="68"/>
      <c r="F30" s="68"/>
      <c r="G30" s="68"/>
      <c r="H30" s="68"/>
    </row>
    <row r="31" spans="4:8" ht="15.6">
      <c r="D31" s="68"/>
      <c r="E31" s="68"/>
      <c r="F31" s="68"/>
      <c r="G31" s="68"/>
      <c r="H31" s="68"/>
    </row>
    <row r="32" spans="4:8" ht="15.6">
      <c r="D32" s="68"/>
      <c r="E32" s="68"/>
      <c r="F32" s="68"/>
      <c r="G32" s="68"/>
      <c r="H32" s="68"/>
    </row>
    <row r="33" spans="4:8" ht="15.6">
      <c r="D33" s="68"/>
      <c r="E33" s="68"/>
      <c r="F33" s="68"/>
      <c r="G33" s="68"/>
      <c r="H33" s="68"/>
    </row>
    <row r="34" spans="4:8" ht="15.6">
      <c r="D34" s="68"/>
      <c r="E34" s="68"/>
      <c r="F34" s="68"/>
      <c r="G34" s="68"/>
      <c r="H34" s="68"/>
    </row>
    <row r="35" spans="4:8" ht="15.6">
      <c r="D35" s="68"/>
      <c r="E35" s="68"/>
      <c r="F35" s="68"/>
      <c r="G35" s="68"/>
      <c r="H35" s="68"/>
    </row>
    <row r="36" spans="4:8" ht="15.6">
      <c r="D36" s="68"/>
      <c r="E36" s="68"/>
      <c r="F36" s="68"/>
      <c r="G36" s="68"/>
      <c r="H36" s="68"/>
    </row>
  </sheetData>
  <mergeCells count="1">
    <mergeCell ref="E1:H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H36"/>
  <sheetViews>
    <sheetView workbookViewId="0"/>
  </sheetViews>
  <sheetFormatPr defaultColWidth="11.19921875" defaultRowHeight="15" customHeight="1"/>
  <sheetData>
    <row r="1" spans="1:8" ht="15" customHeight="1">
      <c r="A1" s="81" t="s">
        <v>327</v>
      </c>
      <c r="D1" s="68"/>
      <c r="E1" s="139" t="s">
        <v>328</v>
      </c>
      <c r="F1" s="140"/>
      <c r="G1" s="140"/>
      <c r="H1" s="140"/>
    </row>
    <row r="2" spans="1:8" ht="15" customHeight="1">
      <c r="A2" s="81" t="s">
        <v>90</v>
      </c>
      <c r="D2" s="68"/>
      <c r="E2" s="68"/>
      <c r="F2" s="68"/>
      <c r="G2" s="68"/>
      <c r="H2" s="68"/>
    </row>
    <row r="3" spans="1:8" ht="15" customHeight="1">
      <c r="A3" s="82" t="s">
        <v>111</v>
      </c>
      <c r="D3" s="110"/>
      <c r="E3" s="71" t="s">
        <v>10</v>
      </c>
      <c r="F3" s="72" t="s">
        <v>11</v>
      </c>
      <c r="G3" s="72" t="s">
        <v>12</v>
      </c>
      <c r="H3" s="73" t="s">
        <v>85</v>
      </c>
    </row>
    <row r="4" spans="1:8" ht="15" customHeight="1">
      <c r="A4" s="82" t="s">
        <v>112</v>
      </c>
      <c r="D4" s="68" t="s">
        <v>143</v>
      </c>
      <c r="E4" s="74">
        <v>279.45240000000001</v>
      </c>
      <c r="F4" s="75">
        <v>301</v>
      </c>
      <c r="G4" s="75">
        <v>258.06</v>
      </c>
      <c r="H4" s="75">
        <v>21.392399999999999</v>
      </c>
    </row>
    <row r="5" spans="1:8" ht="15" customHeight="1">
      <c r="D5" s="68"/>
      <c r="E5" s="74">
        <v>279.31560000000002</v>
      </c>
      <c r="F5" s="75">
        <v>774</v>
      </c>
      <c r="G5" s="75">
        <v>257.54000000000002</v>
      </c>
      <c r="H5" s="75">
        <v>21.775590000000001</v>
      </c>
    </row>
    <row r="6" spans="1:8" ht="15" customHeight="1">
      <c r="D6" s="68"/>
      <c r="E6" s="74">
        <v>279.00360000000001</v>
      </c>
      <c r="F6" s="75">
        <v>1248</v>
      </c>
      <c r="G6" s="75">
        <v>257.33</v>
      </c>
      <c r="H6" s="75">
        <v>21.67361</v>
      </c>
    </row>
    <row r="7" spans="1:8" ht="15" customHeight="1">
      <c r="D7" s="68"/>
      <c r="E7" s="74">
        <v>279.0496</v>
      </c>
      <c r="F7" s="75">
        <v>1723</v>
      </c>
      <c r="G7" s="75">
        <v>255.87</v>
      </c>
      <c r="H7" s="75">
        <v>23.179600000000001</v>
      </c>
    </row>
    <row r="8" spans="1:8" ht="15" customHeight="1">
      <c r="D8" s="68"/>
      <c r="E8" s="74">
        <v>278.64920000000001</v>
      </c>
      <c r="F8" s="75">
        <v>2195</v>
      </c>
      <c r="G8" s="75">
        <v>257.77</v>
      </c>
      <c r="H8" s="75">
        <v>20.87921</v>
      </c>
    </row>
    <row r="9" spans="1:8" ht="15" customHeight="1">
      <c r="D9" s="68"/>
      <c r="E9" s="74">
        <v>278.46039999999999</v>
      </c>
      <c r="F9" s="91">
        <v>2670</v>
      </c>
      <c r="G9" s="74">
        <v>258.52</v>
      </c>
      <c r="H9" s="75">
        <v>19.94041</v>
      </c>
    </row>
    <row r="10" spans="1:8" ht="15" customHeight="1">
      <c r="D10" s="68"/>
      <c r="E10" s="74">
        <v>279.37959999999998</v>
      </c>
      <c r="F10" s="117">
        <v>3143</v>
      </c>
      <c r="G10" s="75">
        <v>257.35000000000002</v>
      </c>
      <c r="H10" s="75">
        <v>22.029610000000002</v>
      </c>
    </row>
    <row r="11" spans="1:8" ht="15" customHeight="1">
      <c r="D11" s="68" t="s">
        <v>114</v>
      </c>
      <c r="E11" s="19">
        <v>279.36750000000001</v>
      </c>
      <c r="F11" s="20">
        <v>3619</v>
      </c>
      <c r="G11" s="20">
        <v>256.22000000000003</v>
      </c>
      <c r="H11" s="20">
        <v>23.147500000000001</v>
      </c>
    </row>
    <row r="12" spans="1:8" ht="15" customHeight="1">
      <c r="D12" s="68"/>
      <c r="E12" s="74">
        <v>278.88810000000001</v>
      </c>
      <c r="F12" s="75">
        <v>4089</v>
      </c>
      <c r="G12" s="75">
        <v>259.19</v>
      </c>
      <c r="H12" s="75">
        <v>19.698119999999999</v>
      </c>
    </row>
    <row r="13" spans="1:8" ht="15" customHeight="1">
      <c r="D13" s="68"/>
      <c r="E13" s="74">
        <v>278.77440000000001</v>
      </c>
      <c r="F13" s="75">
        <v>4563</v>
      </c>
      <c r="G13" s="75">
        <v>258.67</v>
      </c>
      <c r="H13" s="75">
        <v>20.10436</v>
      </c>
    </row>
    <row r="14" spans="1:8" ht="15" customHeight="1">
      <c r="D14" s="68"/>
      <c r="E14" s="74">
        <v>279.24059999999997</v>
      </c>
      <c r="F14" s="75">
        <v>5037</v>
      </c>
      <c r="G14" s="75">
        <v>259.39999999999998</v>
      </c>
      <c r="H14" s="75">
        <v>19.84064</v>
      </c>
    </row>
    <row r="15" spans="1:8" ht="15" customHeight="1">
      <c r="D15" s="68"/>
      <c r="E15" s="74">
        <v>278.37130000000002</v>
      </c>
      <c r="F15" s="75">
        <v>5510</v>
      </c>
      <c r="G15" s="75">
        <v>260.26</v>
      </c>
      <c r="H15" s="75">
        <v>18.111239999999999</v>
      </c>
    </row>
    <row r="16" spans="1:8" ht="15" customHeight="1">
      <c r="D16" s="68"/>
      <c r="E16" s="74">
        <v>279.61</v>
      </c>
      <c r="F16" s="75">
        <v>5983</v>
      </c>
      <c r="G16" s="75">
        <v>260.63</v>
      </c>
      <c r="H16" s="75">
        <v>18.98</v>
      </c>
    </row>
    <row r="17" spans="4:8" ht="15" customHeight="1">
      <c r="D17" s="68"/>
      <c r="E17" s="74">
        <v>278.35219999999998</v>
      </c>
      <c r="F17" s="75">
        <v>6459</v>
      </c>
      <c r="G17" s="75">
        <v>258.92</v>
      </c>
      <c r="H17" s="75">
        <v>19.432179999999999</v>
      </c>
    </row>
    <row r="18" spans="4:8" ht="15" customHeight="1">
      <c r="D18" s="68"/>
      <c r="E18" s="74">
        <v>279.59809999999999</v>
      </c>
      <c r="F18" s="75">
        <v>6930</v>
      </c>
      <c r="G18" s="75">
        <v>260.77999999999997</v>
      </c>
      <c r="H18" s="75">
        <v>18.81813</v>
      </c>
    </row>
    <row r="19" spans="4:8" ht="15" customHeight="1">
      <c r="D19" s="68"/>
      <c r="E19" s="68"/>
      <c r="F19" s="68"/>
      <c r="G19" s="68"/>
      <c r="H19" s="68"/>
    </row>
    <row r="20" spans="4:8" ht="15" customHeight="1">
      <c r="D20" s="68"/>
      <c r="E20" s="68"/>
      <c r="F20" s="68"/>
      <c r="G20" s="68"/>
      <c r="H20" s="68"/>
    </row>
    <row r="21" spans="4:8" ht="15" customHeight="1">
      <c r="D21" s="68"/>
      <c r="E21" s="68"/>
      <c r="F21" s="68"/>
      <c r="G21" s="68"/>
      <c r="H21" s="68"/>
    </row>
    <row r="22" spans="4:8" ht="15" customHeight="1">
      <c r="D22" s="68"/>
      <c r="E22" s="68"/>
      <c r="F22" s="68"/>
      <c r="G22" s="68"/>
      <c r="H22" s="68"/>
    </row>
    <row r="23" spans="4:8" ht="15" customHeight="1">
      <c r="D23" s="68"/>
      <c r="E23" s="68"/>
      <c r="F23" s="68"/>
      <c r="G23" s="68"/>
      <c r="H23" s="68"/>
    </row>
    <row r="24" spans="4:8" ht="15" customHeight="1">
      <c r="D24" s="68"/>
      <c r="E24" s="68"/>
      <c r="F24" s="68"/>
      <c r="G24" s="68"/>
      <c r="H24" s="68"/>
    </row>
    <row r="25" spans="4:8" ht="15" customHeight="1">
      <c r="D25" s="68"/>
      <c r="E25" s="68"/>
      <c r="F25" s="68"/>
      <c r="G25" s="68"/>
      <c r="H25" s="68"/>
    </row>
    <row r="26" spans="4:8" ht="15" customHeight="1">
      <c r="D26" s="68"/>
      <c r="E26" s="68"/>
      <c r="F26" s="68"/>
      <c r="G26" s="68"/>
      <c r="H26" s="68"/>
    </row>
    <row r="27" spans="4:8" ht="15" customHeight="1">
      <c r="D27" s="68"/>
      <c r="E27" s="68"/>
      <c r="F27" s="68"/>
      <c r="G27" s="68"/>
      <c r="H27" s="68"/>
    </row>
    <row r="28" spans="4:8" ht="15.6">
      <c r="D28" s="68"/>
      <c r="E28" s="68"/>
      <c r="F28" s="68"/>
      <c r="G28" s="68"/>
      <c r="H28" s="68"/>
    </row>
    <row r="29" spans="4:8" ht="15.6">
      <c r="D29" s="68"/>
      <c r="E29" s="68"/>
      <c r="F29" s="68"/>
      <c r="G29" s="68"/>
      <c r="H29" s="68"/>
    </row>
    <row r="30" spans="4:8" ht="15.6">
      <c r="D30" s="68"/>
      <c r="E30" s="68"/>
      <c r="F30" s="68"/>
      <c r="G30" s="68"/>
      <c r="H30" s="68"/>
    </row>
    <row r="31" spans="4:8" ht="15.6">
      <c r="D31" s="68"/>
      <c r="E31" s="68"/>
      <c r="F31" s="68"/>
      <c r="G31" s="68"/>
      <c r="H31" s="68"/>
    </row>
    <row r="32" spans="4:8" ht="15.6">
      <c r="D32" s="68"/>
      <c r="E32" s="68"/>
      <c r="F32" s="68"/>
      <c r="G32" s="68"/>
      <c r="H32" s="68"/>
    </row>
    <row r="33" spans="4:8" ht="15.6">
      <c r="D33" s="68"/>
      <c r="E33" s="68"/>
      <c r="F33" s="68"/>
      <c r="G33" s="68"/>
      <c r="H33" s="68"/>
    </row>
    <row r="34" spans="4:8" ht="15.6">
      <c r="D34" s="68"/>
      <c r="E34" s="68"/>
      <c r="F34" s="68"/>
      <c r="G34" s="68"/>
      <c r="H34" s="68"/>
    </row>
    <row r="35" spans="4:8" ht="15.6">
      <c r="D35" s="68"/>
      <c r="E35" s="68"/>
      <c r="F35" s="68"/>
      <c r="G35" s="68"/>
      <c r="H35" s="68"/>
    </row>
    <row r="36" spans="4:8" ht="15.6">
      <c r="D36" s="68"/>
      <c r="E36" s="68"/>
      <c r="F36" s="68"/>
      <c r="G36" s="68"/>
      <c r="H36" s="68"/>
    </row>
  </sheetData>
  <mergeCells count="1">
    <mergeCell ref="E1:H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329</v>
      </c>
      <c r="D1" s="68"/>
      <c r="E1" s="139" t="s">
        <v>330</v>
      </c>
      <c r="F1" s="140"/>
      <c r="G1" s="140"/>
      <c r="H1" s="140"/>
      <c r="J1" s="68"/>
      <c r="K1" s="139" t="s">
        <v>331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112</v>
      </c>
      <c r="D4" s="68" t="s">
        <v>95</v>
      </c>
      <c r="E4" s="74">
        <v>357.1429</v>
      </c>
      <c r="F4" s="75">
        <v>301</v>
      </c>
      <c r="G4" s="75">
        <v>309.5</v>
      </c>
      <c r="H4" s="75">
        <v>47.642850000000003</v>
      </c>
      <c r="J4" s="68" t="s">
        <v>114</v>
      </c>
      <c r="K4" s="74">
        <v>347.13209999999998</v>
      </c>
      <c r="L4" s="75">
        <v>301</v>
      </c>
      <c r="M4" s="75">
        <v>307.7</v>
      </c>
      <c r="N4" s="75">
        <v>39.432130000000001</v>
      </c>
    </row>
    <row r="5" spans="1:14" ht="15" customHeight="1">
      <c r="D5" s="68"/>
      <c r="E5" s="74">
        <v>353.22059999999999</v>
      </c>
      <c r="F5" s="75">
        <v>775</v>
      </c>
      <c r="G5" s="75">
        <v>308</v>
      </c>
      <c r="H5" s="75">
        <v>45.220579999999998</v>
      </c>
      <c r="J5" s="68"/>
      <c r="K5" s="74">
        <v>347.19290000000001</v>
      </c>
      <c r="L5" s="75">
        <v>774</v>
      </c>
      <c r="M5" s="75">
        <v>308.89999999999998</v>
      </c>
      <c r="N5" s="75">
        <v>38.292859999999997</v>
      </c>
    </row>
    <row r="6" spans="1:14" ht="15" customHeight="1">
      <c r="D6" s="68"/>
      <c r="E6" s="74">
        <v>351.22289999999998</v>
      </c>
      <c r="F6" s="75">
        <v>1249</v>
      </c>
      <c r="G6" s="75">
        <v>305.60000000000002</v>
      </c>
      <c r="H6" s="75">
        <v>45.622869999999999</v>
      </c>
      <c r="J6" s="68"/>
      <c r="K6" s="74">
        <v>346.94639999999998</v>
      </c>
      <c r="L6" s="75">
        <v>1248</v>
      </c>
      <c r="M6" s="75">
        <v>307.2</v>
      </c>
      <c r="N6" s="75">
        <v>39.746420000000001</v>
      </c>
    </row>
    <row r="7" spans="1:14" ht="15" customHeight="1">
      <c r="D7" s="68"/>
      <c r="E7" s="74">
        <v>350.33429999999998</v>
      </c>
      <c r="F7" s="75">
        <v>1721</v>
      </c>
      <c r="G7" s="75">
        <v>302.8</v>
      </c>
      <c r="H7" s="75">
        <v>47.534289999999999</v>
      </c>
      <c r="J7" s="68"/>
      <c r="K7" s="74">
        <v>345.54640000000001</v>
      </c>
      <c r="L7" s="75">
        <v>1721</v>
      </c>
      <c r="M7" s="75">
        <v>307.2</v>
      </c>
      <c r="N7" s="75">
        <v>38.346420000000002</v>
      </c>
    </row>
    <row r="8" spans="1:14" ht="15" customHeight="1">
      <c r="D8" s="68"/>
      <c r="E8" s="74">
        <v>350.36070000000001</v>
      </c>
      <c r="F8" s="75">
        <v>2195</v>
      </c>
      <c r="G8" s="75">
        <v>302.7</v>
      </c>
      <c r="H8" s="75">
        <v>47.660710000000002</v>
      </c>
      <c r="J8" s="68"/>
      <c r="K8" s="74">
        <v>343.16669999999999</v>
      </c>
      <c r="L8" s="75">
        <v>2195</v>
      </c>
      <c r="M8" s="75">
        <v>305.39999999999998</v>
      </c>
      <c r="N8" s="75">
        <v>37.766660000000002</v>
      </c>
    </row>
    <row r="9" spans="1:14" ht="15" customHeight="1">
      <c r="D9" s="68"/>
      <c r="E9" s="74">
        <v>351.72219999999999</v>
      </c>
      <c r="F9" s="75">
        <v>2668</v>
      </c>
      <c r="G9" s="75">
        <v>303.2</v>
      </c>
      <c r="H9" s="75">
        <v>48.522210000000001</v>
      </c>
      <c r="J9" s="68"/>
      <c r="K9" s="74">
        <v>342.34289999999999</v>
      </c>
      <c r="L9" s="75">
        <v>2669</v>
      </c>
      <c r="M9" s="75">
        <v>304.8</v>
      </c>
      <c r="N9" s="75">
        <v>37.542859999999997</v>
      </c>
    </row>
    <row r="10" spans="1:14" ht="15" customHeight="1">
      <c r="D10" s="68"/>
      <c r="E10" s="74">
        <v>349.23570000000001</v>
      </c>
      <c r="F10" s="91">
        <v>3141</v>
      </c>
      <c r="G10" s="74">
        <v>302.10000000000002</v>
      </c>
      <c r="H10" s="75">
        <v>47.135719999999999</v>
      </c>
      <c r="J10" s="68" t="s">
        <v>107</v>
      </c>
      <c r="K10" s="19">
        <v>342.34289999999999</v>
      </c>
      <c r="L10" s="20">
        <v>3142</v>
      </c>
      <c r="M10" s="20">
        <v>304.5</v>
      </c>
      <c r="N10" s="20">
        <v>37.842860000000002</v>
      </c>
    </row>
    <row r="11" spans="1:14" ht="15" customHeight="1">
      <c r="D11" s="68"/>
      <c r="E11" s="74">
        <v>346.99639999999999</v>
      </c>
      <c r="F11" s="117">
        <v>3616</v>
      </c>
      <c r="G11" s="75">
        <v>300</v>
      </c>
      <c r="H11" s="75">
        <v>46.996420000000001</v>
      </c>
      <c r="J11" s="68"/>
      <c r="K11" s="74">
        <v>344.88749999999999</v>
      </c>
      <c r="L11" s="75">
        <v>3617</v>
      </c>
      <c r="M11" s="75">
        <v>309.10000000000002</v>
      </c>
      <c r="N11" s="75">
        <v>35.787500000000001</v>
      </c>
    </row>
    <row r="12" spans="1:14" ht="15" customHeight="1">
      <c r="D12" s="68" t="s">
        <v>114</v>
      </c>
      <c r="E12" s="19">
        <v>348.07499999999999</v>
      </c>
      <c r="F12" s="20">
        <v>4089</v>
      </c>
      <c r="G12" s="20">
        <v>304.5</v>
      </c>
      <c r="H12" s="20">
        <v>43.57499</v>
      </c>
      <c r="J12" s="68"/>
      <c r="K12" s="74">
        <v>345.72</v>
      </c>
      <c r="L12" s="75">
        <v>4088</v>
      </c>
      <c r="M12" s="75">
        <v>310.89999999999998</v>
      </c>
      <c r="N12" s="75">
        <v>34.82</v>
      </c>
    </row>
    <row r="13" spans="1:14" ht="15" customHeight="1">
      <c r="D13" s="68"/>
      <c r="E13" s="19">
        <v>347.71789999999999</v>
      </c>
      <c r="F13" s="20">
        <v>4561</v>
      </c>
      <c r="G13" s="20">
        <v>305.10000000000002</v>
      </c>
      <c r="H13" s="20">
        <v>42.617870000000003</v>
      </c>
      <c r="J13" s="68"/>
      <c r="K13" s="74">
        <v>345.08249999999998</v>
      </c>
      <c r="L13" s="75">
        <v>4564</v>
      </c>
      <c r="M13" s="75">
        <v>308.60000000000002</v>
      </c>
      <c r="N13" s="75">
        <v>36.482489999999999</v>
      </c>
    </row>
    <row r="14" spans="1:14" ht="15" customHeight="1">
      <c r="D14" s="68"/>
      <c r="E14" s="74">
        <v>347.13209999999998</v>
      </c>
      <c r="F14" s="75">
        <v>5035</v>
      </c>
      <c r="G14" s="75">
        <v>307.7</v>
      </c>
      <c r="H14" s="75">
        <v>39.432130000000001</v>
      </c>
      <c r="J14" s="68"/>
      <c r="K14" s="74">
        <v>347.01249999999999</v>
      </c>
      <c r="L14" s="75">
        <v>5034</v>
      </c>
      <c r="M14" s="75">
        <v>310.10000000000002</v>
      </c>
      <c r="N14" s="75">
        <v>36.912509999999997</v>
      </c>
    </row>
    <row r="15" spans="1:14" ht="15" customHeight="1">
      <c r="D15" s="68"/>
      <c r="E15" s="74">
        <v>347.19290000000001</v>
      </c>
      <c r="F15" s="75">
        <v>5508</v>
      </c>
      <c r="G15" s="75">
        <v>308.89999999999998</v>
      </c>
      <c r="H15" s="75">
        <v>38.292859999999997</v>
      </c>
      <c r="J15" s="68"/>
      <c r="K15" s="74">
        <v>349.42930000000001</v>
      </c>
      <c r="L15" s="75">
        <v>5508</v>
      </c>
      <c r="M15" s="75">
        <v>313</v>
      </c>
      <c r="N15" s="75">
        <v>36.429279999999999</v>
      </c>
    </row>
    <row r="16" spans="1:14" ht="15" customHeight="1">
      <c r="D16" s="68"/>
      <c r="E16" s="74">
        <v>346.94639999999998</v>
      </c>
      <c r="F16" s="75">
        <v>5982</v>
      </c>
      <c r="G16" s="75">
        <v>307.2</v>
      </c>
      <c r="H16" s="75">
        <v>39.746420000000001</v>
      </c>
      <c r="J16" s="68"/>
      <c r="K16" s="74">
        <v>347.44389999999999</v>
      </c>
      <c r="L16" s="75">
        <v>5982</v>
      </c>
      <c r="M16" s="75">
        <v>312.3</v>
      </c>
      <c r="N16" s="75">
        <v>35.143900000000002</v>
      </c>
    </row>
    <row r="17" spans="4:14" ht="15" customHeight="1">
      <c r="D17" s="68"/>
      <c r="E17" s="74">
        <v>345.54640000000001</v>
      </c>
      <c r="F17" s="75">
        <v>6455</v>
      </c>
      <c r="G17" s="75">
        <v>307.2</v>
      </c>
      <c r="H17" s="75">
        <v>38.346420000000002</v>
      </c>
      <c r="J17" s="68"/>
      <c r="K17" s="74">
        <v>347.2475</v>
      </c>
      <c r="L17" s="75">
        <v>6455</v>
      </c>
      <c r="M17" s="75">
        <v>313</v>
      </c>
      <c r="N17" s="75">
        <v>34.247509999999998</v>
      </c>
    </row>
    <row r="18" spans="4:14" ht="15" customHeight="1">
      <c r="D18" s="68"/>
      <c r="E18" s="74">
        <v>343.16669999999999</v>
      </c>
      <c r="F18" s="75">
        <v>6929</v>
      </c>
      <c r="G18" s="75">
        <v>305.39999999999998</v>
      </c>
      <c r="H18" s="75">
        <v>37.766660000000002</v>
      </c>
      <c r="J18" s="68"/>
      <c r="K18" s="68"/>
      <c r="L18" s="68"/>
      <c r="M18" s="68"/>
      <c r="N18" s="68"/>
    </row>
    <row r="19" spans="4:14" ht="15" customHeight="1">
      <c r="D19" s="68"/>
      <c r="E19" s="74">
        <v>342.34289999999999</v>
      </c>
      <c r="F19" s="75">
        <v>7404</v>
      </c>
      <c r="G19" s="75">
        <v>304.5</v>
      </c>
      <c r="H19" s="75">
        <v>37.842849999999999</v>
      </c>
      <c r="J19" s="68"/>
      <c r="K19" s="68"/>
      <c r="L19" s="68"/>
      <c r="M19" s="68"/>
      <c r="N19" s="68"/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  <row r="27" spans="4:14" ht="15" customHeight="1">
      <c r="D27" s="68"/>
      <c r="E27" s="68"/>
      <c r="F27" s="68"/>
      <c r="G27" s="68"/>
      <c r="H27" s="68"/>
      <c r="J27" s="68"/>
      <c r="K27" s="68"/>
      <c r="L27" s="68"/>
      <c r="M27" s="68"/>
      <c r="N27" s="68"/>
    </row>
    <row r="28" spans="4:14" ht="15.6">
      <c r="D28" s="68"/>
      <c r="E28" s="68"/>
      <c r="F28" s="68"/>
      <c r="G28" s="68"/>
      <c r="H28" s="68"/>
      <c r="J28" s="68"/>
      <c r="K28" s="68"/>
      <c r="L28" s="68"/>
      <c r="M28" s="68"/>
      <c r="N28" s="68"/>
    </row>
    <row r="29" spans="4:14" ht="15.6">
      <c r="D29" s="68"/>
      <c r="E29" s="68"/>
      <c r="F29" s="68"/>
      <c r="G29" s="68"/>
      <c r="H29" s="68"/>
      <c r="J29" s="68"/>
      <c r="K29" s="68"/>
      <c r="L29" s="68"/>
      <c r="M29" s="68"/>
      <c r="N29" s="68"/>
    </row>
    <row r="30" spans="4:14" ht="15.6">
      <c r="D30" s="68"/>
      <c r="E30" s="68"/>
      <c r="F30" s="68"/>
      <c r="G30" s="68"/>
      <c r="H30" s="68"/>
      <c r="J30" s="68"/>
      <c r="K30" s="68"/>
      <c r="L30" s="68"/>
      <c r="M30" s="68"/>
      <c r="N30" s="68"/>
    </row>
    <row r="31" spans="4:14" ht="15.6">
      <c r="D31" s="68"/>
      <c r="E31" s="68"/>
      <c r="F31" s="68"/>
      <c r="G31" s="68"/>
      <c r="H31" s="68"/>
      <c r="J31" s="68"/>
      <c r="K31" s="68"/>
      <c r="L31" s="68"/>
      <c r="M31" s="68"/>
      <c r="N31" s="68"/>
    </row>
    <row r="32" spans="4:14" ht="15.6">
      <c r="D32" s="68"/>
      <c r="E32" s="68"/>
      <c r="F32" s="68"/>
      <c r="G32" s="68"/>
      <c r="H32" s="68"/>
      <c r="J32" s="68"/>
      <c r="K32" s="68"/>
      <c r="L32" s="68"/>
      <c r="M32" s="68"/>
      <c r="N32" s="68"/>
    </row>
    <row r="33" spans="4:14" ht="15.6">
      <c r="D33" s="68"/>
      <c r="E33" s="68"/>
      <c r="F33" s="68"/>
      <c r="G33" s="68"/>
      <c r="H33" s="68"/>
      <c r="J33" s="68"/>
      <c r="K33" s="68"/>
      <c r="L33" s="68"/>
      <c r="M33" s="68"/>
      <c r="N33" s="68"/>
    </row>
    <row r="34" spans="4:14" ht="15.6">
      <c r="D34" s="68"/>
      <c r="E34" s="68"/>
      <c r="F34" s="68"/>
      <c r="G34" s="68"/>
      <c r="H34" s="68"/>
      <c r="J34" s="68"/>
      <c r="K34" s="68"/>
      <c r="L34" s="68"/>
      <c r="M34" s="68"/>
      <c r="N34" s="68"/>
    </row>
    <row r="35" spans="4:14" ht="15.6">
      <c r="D35" s="68"/>
      <c r="E35" s="68"/>
      <c r="F35" s="68"/>
      <c r="G35" s="68"/>
      <c r="H35" s="68"/>
      <c r="J35" s="68"/>
      <c r="K35" s="68"/>
      <c r="L35" s="68"/>
      <c r="M35" s="68"/>
      <c r="N35" s="68"/>
    </row>
    <row r="36" spans="4:14" ht="15.6">
      <c r="D36" s="68"/>
      <c r="E36" s="68"/>
      <c r="F36" s="68"/>
      <c r="G36" s="68"/>
      <c r="H36" s="68"/>
      <c r="J36" s="68"/>
      <c r="K36" s="68"/>
      <c r="L36" s="68"/>
      <c r="M36" s="68"/>
      <c r="N36" s="68"/>
    </row>
  </sheetData>
  <mergeCells count="2">
    <mergeCell ref="E1:H1"/>
    <mergeCell ref="K1:N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T36"/>
  <sheetViews>
    <sheetView topLeftCell="E1" workbookViewId="0"/>
  </sheetViews>
  <sheetFormatPr defaultColWidth="11.19921875" defaultRowHeight="15" customHeight="1"/>
  <sheetData>
    <row r="1" spans="1:20" ht="15" customHeight="1">
      <c r="A1" s="81" t="s">
        <v>332</v>
      </c>
      <c r="D1" s="68"/>
      <c r="E1" s="139" t="s">
        <v>333</v>
      </c>
      <c r="F1" s="140"/>
      <c r="G1" s="140"/>
      <c r="H1" s="140"/>
      <c r="J1" s="68"/>
      <c r="K1" s="139" t="s">
        <v>334</v>
      </c>
      <c r="L1" s="140"/>
      <c r="M1" s="140"/>
      <c r="N1" s="140"/>
      <c r="P1" s="68"/>
      <c r="Q1" s="139" t="s">
        <v>335</v>
      </c>
      <c r="R1" s="140"/>
      <c r="S1" s="140"/>
      <c r="T1" s="140"/>
    </row>
    <row r="2" spans="1:20" ht="15" customHeight="1">
      <c r="A2" s="81" t="s">
        <v>90</v>
      </c>
      <c r="D2" s="68"/>
      <c r="E2" s="68"/>
      <c r="F2" s="68"/>
      <c r="G2" s="68"/>
      <c r="H2" s="68"/>
      <c r="J2" s="68"/>
      <c r="K2" s="68"/>
      <c r="L2" s="68"/>
      <c r="M2" s="68"/>
      <c r="N2" s="68"/>
      <c r="P2" s="68"/>
      <c r="Q2" s="68"/>
      <c r="R2" s="68"/>
      <c r="S2" s="68"/>
      <c r="T2" s="68"/>
    </row>
    <row r="3" spans="1:20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  <c r="P3" s="68"/>
      <c r="Q3" s="71" t="s">
        <v>10</v>
      </c>
      <c r="R3" s="72" t="s">
        <v>11</v>
      </c>
      <c r="S3" s="72" t="s">
        <v>12</v>
      </c>
      <c r="T3" s="73" t="s">
        <v>85</v>
      </c>
    </row>
    <row r="4" spans="1:20" ht="15" customHeight="1">
      <c r="A4" s="82" t="s">
        <v>112</v>
      </c>
      <c r="D4" s="68" t="s">
        <v>95</v>
      </c>
      <c r="E4" s="74">
        <v>282.7303</v>
      </c>
      <c r="F4" s="75">
        <v>301</v>
      </c>
      <c r="G4" s="75">
        <v>260.86</v>
      </c>
      <c r="H4" s="75">
        <v>21.87031</v>
      </c>
      <c r="J4" s="68" t="s">
        <v>143</v>
      </c>
      <c r="K4" s="74">
        <v>280.8544</v>
      </c>
      <c r="L4" s="75">
        <v>301</v>
      </c>
      <c r="M4" s="75">
        <v>258</v>
      </c>
      <c r="N4" s="75">
        <v>22.854410000000001</v>
      </c>
      <c r="P4" s="68" t="s">
        <v>113</v>
      </c>
      <c r="Q4" s="74">
        <v>278.66849999999999</v>
      </c>
      <c r="R4" s="75">
        <v>301</v>
      </c>
      <c r="S4" s="75">
        <v>258.54000000000002</v>
      </c>
      <c r="T4" s="75">
        <v>20.128509999999999</v>
      </c>
    </row>
    <row r="5" spans="1:20" ht="15" customHeight="1">
      <c r="D5" s="68"/>
      <c r="E5" s="74">
        <v>282.83999999999997</v>
      </c>
      <c r="F5" s="75">
        <v>774</v>
      </c>
      <c r="G5" s="75">
        <v>260.52999999999997</v>
      </c>
      <c r="H5" s="75">
        <v>22.31</v>
      </c>
      <c r="J5" s="68"/>
      <c r="K5" s="74">
        <v>280.42129999999997</v>
      </c>
      <c r="L5" s="75">
        <v>773</v>
      </c>
      <c r="M5" s="75">
        <v>257.70999999999998</v>
      </c>
      <c r="N5" s="75">
        <v>22.711310000000001</v>
      </c>
      <c r="P5" s="68"/>
      <c r="Q5" s="74">
        <v>278.94959999999998</v>
      </c>
      <c r="R5" s="75">
        <v>775</v>
      </c>
      <c r="S5" s="75">
        <v>258</v>
      </c>
      <c r="T5" s="75">
        <v>20.94961</v>
      </c>
    </row>
    <row r="6" spans="1:20" ht="15" customHeight="1">
      <c r="D6" s="68"/>
      <c r="E6" s="74">
        <v>282.78910000000002</v>
      </c>
      <c r="F6" s="75">
        <v>1249</v>
      </c>
      <c r="G6" s="75">
        <v>260.57</v>
      </c>
      <c r="H6" s="75">
        <v>22.219080000000002</v>
      </c>
      <c r="J6" s="68"/>
      <c r="K6" s="74">
        <v>280.19900000000001</v>
      </c>
      <c r="L6" s="75">
        <v>1248</v>
      </c>
      <c r="M6" s="75">
        <v>258.25</v>
      </c>
      <c r="N6" s="75">
        <v>21.949000000000002</v>
      </c>
      <c r="P6" s="68"/>
      <c r="Q6" s="74">
        <v>279.51299999999998</v>
      </c>
      <c r="R6" s="75">
        <v>1247</v>
      </c>
      <c r="S6" s="75">
        <v>258.27</v>
      </c>
      <c r="T6" s="75">
        <v>21.242979999999999</v>
      </c>
    </row>
    <row r="7" spans="1:20" ht="15" customHeight="1">
      <c r="D7" s="68"/>
      <c r="E7" s="74">
        <v>282.58530000000002</v>
      </c>
      <c r="F7" s="75">
        <v>1723</v>
      </c>
      <c r="G7" s="75">
        <v>259.69</v>
      </c>
      <c r="H7" s="75">
        <v>22.895289999999999</v>
      </c>
      <c r="J7" s="68"/>
      <c r="K7" s="74">
        <v>280.36130000000003</v>
      </c>
      <c r="L7" s="75">
        <v>1720</v>
      </c>
      <c r="M7" s="75">
        <v>257.52</v>
      </c>
      <c r="N7" s="75">
        <v>22.841290000000001</v>
      </c>
      <c r="P7" s="68"/>
      <c r="Q7" s="74">
        <v>279.50729999999999</v>
      </c>
      <c r="R7" s="75">
        <v>1719</v>
      </c>
      <c r="S7" s="75">
        <v>258.39999999999998</v>
      </c>
      <c r="T7" s="75">
        <v>21.107320000000001</v>
      </c>
    </row>
    <row r="8" spans="1:20" ht="15" customHeight="1">
      <c r="D8" s="68"/>
      <c r="E8" s="74">
        <v>282.58300000000003</v>
      </c>
      <c r="F8" s="75">
        <v>2196</v>
      </c>
      <c r="G8" s="75">
        <v>259.92</v>
      </c>
      <c r="H8" s="75">
        <v>22.663019999999999</v>
      </c>
      <c r="J8" s="68"/>
      <c r="K8" s="74">
        <v>280.1277</v>
      </c>
      <c r="L8" s="75">
        <v>2194</v>
      </c>
      <c r="M8" s="75">
        <v>257.60000000000002</v>
      </c>
      <c r="N8" s="75">
        <v>22.52768</v>
      </c>
      <c r="P8" s="68"/>
      <c r="Q8" s="74">
        <v>279.50040000000001</v>
      </c>
      <c r="R8" s="75">
        <v>2193</v>
      </c>
      <c r="S8" s="75">
        <v>258.25</v>
      </c>
      <c r="T8" s="75">
        <v>21.25037</v>
      </c>
    </row>
    <row r="9" spans="1:20" ht="15" customHeight="1">
      <c r="D9" s="68"/>
      <c r="E9" s="74">
        <v>282.23649999999998</v>
      </c>
      <c r="F9" s="75">
        <v>2670</v>
      </c>
      <c r="G9" s="75">
        <v>260.05</v>
      </c>
      <c r="H9" s="75">
        <v>22.18648</v>
      </c>
      <c r="J9" s="68"/>
      <c r="K9" s="74">
        <v>279.92099999999999</v>
      </c>
      <c r="L9" s="75">
        <v>2666</v>
      </c>
      <c r="M9" s="75">
        <v>258.5</v>
      </c>
      <c r="N9" s="75">
        <v>21.421040000000001</v>
      </c>
      <c r="P9" s="68"/>
      <c r="Q9" s="74">
        <v>279.57670000000002</v>
      </c>
      <c r="R9" s="75">
        <v>2667</v>
      </c>
      <c r="S9" s="75">
        <v>258.27</v>
      </c>
      <c r="T9" s="75">
        <v>21.30668</v>
      </c>
    </row>
    <row r="10" spans="1:20" ht="15" customHeight="1">
      <c r="D10" s="68" t="s">
        <v>114</v>
      </c>
      <c r="E10" s="19">
        <v>281.7362</v>
      </c>
      <c r="F10" s="20">
        <v>3143</v>
      </c>
      <c r="G10" s="20">
        <v>263.25</v>
      </c>
      <c r="H10" s="20">
        <v>18.486180000000001</v>
      </c>
      <c r="J10" s="68"/>
      <c r="K10" s="74">
        <v>279.74279999999999</v>
      </c>
      <c r="L10" s="75">
        <v>3142</v>
      </c>
      <c r="M10" s="75">
        <v>255.66</v>
      </c>
      <c r="N10" s="75">
        <v>24.08276</v>
      </c>
      <c r="P10" s="68" t="s">
        <v>114</v>
      </c>
      <c r="Q10" s="19">
        <v>280.0342</v>
      </c>
      <c r="R10" s="20">
        <v>3142</v>
      </c>
      <c r="S10" s="20">
        <v>261.39</v>
      </c>
      <c r="T10" s="20">
        <v>18.644220000000001</v>
      </c>
    </row>
    <row r="11" spans="1:20" ht="15" customHeight="1">
      <c r="D11" s="68"/>
      <c r="E11" s="74">
        <v>282.73849999999999</v>
      </c>
      <c r="F11" s="75">
        <v>3616</v>
      </c>
      <c r="G11" s="75">
        <v>265.11</v>
      </c>
      <c r="H11" s="75">
        <v>17.628489999999999</v>
      </c>
      <c r="J11" s="68"/>
      <c r="K11" s="74">
        <v>279.77280000000002</v>
      </c>
      <c r="L11" s="75">
        <v>3614</v>
      </c>
      <c r="M11" s="75">
        <v>256.24</v>
      </c>
      <c r="N11" s="75">
        <v>23.532769999999999</v>
      </c>
      <c r="P11" s="68"/>
      <c r="Q11" s="74">
        <v>279.46960000000001</v>
      </c>
      <c r="R11" s="75">
        <v>3616</v>
      </c>
      <c r="S11" s="75">
        <v>263.73</v>
      </c>
      <c r="T11" s="75">
        <v>15.739599999999999</v>
      </c>
    </row>
    <row r="12" spans="1:20" ht="15" customHeight="1">
      <c r="D12" s="68"/>
      <c r="E12" s="74">
        <v>282.57760000000002</v>
      </c>
      <c r="F12" s="75">
        <v>4088</v>
      </c>
      <c r="G12" s="75">
        <v>264.88</v>
      </c>
      <c r="H12" s="75">
        <v>17.697569999999999</v>
      </c>
      <c r="J12" s="68" t="s">
        <v>114</v>
      </c>
      <c r="K12" s="19">
        <v>280.01350000000002</v>
      </c>
      <c r="L12" s="20">
        <v>4088</v>
      </c>
      <c r="M12" s="20">
        <v>258.77</v>
      </c>
      <c r="N12" s="20">
        <v>21.243459999999999</v>
      </c>
      <c r="P12" s="68"/>
      <c r="Q12" s="74">
        <v>279.67410000000001</v>
      </c>
      <c r="R12" s="75">
        <v>4089</v>
      </c>
      <c r="S12" s="75">
        <v>263.85000000000002</v>
      </c>
      <c r="T12" s="75">
        <v>15.824059999999999</v>
      </c>
    </row>
    <row r="13" spans="1:20" ht="15" customHeight="1">
      <c r="D13" s="68"/>
      <c r="E13" s="74">
        <v>281.62060000000002</v>
      </c>
      <c r="F13" s="75">
        <v>4563</v>
      </c>
      <c r="G13" s="75">
        <v>263.52</v>
      </c>
      <c r="H13" s="75">
        <v>18.1006</v>
      </c>
      <c r="J13" s="68"/>
      <c r="K13" s="74">
        <v>279.9169</v>
      </c>
      <c r="L13" s="75">
        <v>4562</v>
      </c>
      <c r="M13" s="75">
        <v>259.64999999999998</v>
      </c>
      <c r="N13" s="75">
        <v>20.266909999999999</v>
      </c>
      <c r="P13" s="68"/>
      <c r="Q13" s="74">
        <v>280.27730000000003</v>
      </c>
      <c r="R13" s="75">
        <v>4562</v>
      </c>
      <c r="S13" s="75">
        <v>264.42</v>
      </c>
      <c r="T13" s="75">
        <v>15.8573</v>
      </c>
    </row>
    <row r="14" spans="1:20" ht="15" customHeight="1">
      <c r="D14" s="68"/>
      <c r="E14" s="74">
        <v>281.60759999999999</v>
      </c>
      <c r="F14" s="75">
        <v>5036</v>
      </c>
      <c r="G14" s="75">
        <v>264.13</v>
      </c>
      <c r="H14" s="75">
        <v>17.477640000000001</v>
      </c>
      <c r="J14" s="68"/>
      <c r="K14" s="74">
        <v>280.17169999999999</v>
      </c>
      <c r="L14" s="75">
        <v>5034</v>
      </c>
      <c r="M14" s="75">
        <v>259.95999999999998</v>
      </c>
      <c r="N14" s="75">
        <v>20.211729999999999</v>
      </c>
      <c r="P14" s="68"/>
      <c r="Q14" s="74">
        <v>280.50259999999997</v>
      </c>
      <c r="R14" s="75">
        <v>5036</v>
      </c>
      <c r="S14" s="75">
        <v>264.13</v>
      </c>
      <c r="T14" s="75">
        <v>16.372589999999999</v>
      </c>
    </row>
    <row r="15" spans="1:20" ht="15" customHeight="1">
      <c r="D15" s="68"/>
      <c r="E15" s="74">
        <v>281.14580000000001</v>
      </c>
      <c r="F15" s="75">
        <v>5510</v>
      </c>
      <c r="G15" s="75">
        <v>262.29000000000002</v>
      </c>
      <c r="H15" s="75">
        <v>18.85575</v>
      </c>
      <c r="J15" s="68"/>
      <c r="K15" s="74">
        <v>279.48410000000001</v>
      </c>
      <c r="L15" s="75">
        <v>5508</v>
      </c>
      <c r="M15" s="75">
        <v>259.94</v>
      </c>
      <c r="N15" s="75">
        <v>19.544139999999999</v>
      </c>
      <c r="P15" s="68"/>
      <c r="Q15" s="74">
        <v>280.6096</v>
      </c>
      <c r="R15" s="75">
        <v>5509</v>
      </c>
      <c r="S15" s="75">
        <v>265.02999999999997</v>
      </c>
      <c r="T15" s="75">
        <v>15.57962</v>
      </c>
    </row>
    <row r="16" spans="1:20" ht="15" customHeight="1">
      <c r="D16" s="68"/>
      <c r="E16" s="68"/>
      <c r="F16" s="68"/>
      <c r="G16" s="68"/>
      <c r="H16" s="68"/>
      <c r="J16" s="68"/>
      <c r="K16" s="74">
        <v>279.73140000000001</v>
      </c>
      <c r="L16" s="91">
        <v>5979</v>
      </c>
      <c r="M16" s="74">
        <v>261.02999999999997</v>
      </c>
      <c r="N16" s="75">
        <v>18.701429999999998</v>
      </c>
      <c r="P16" s="68"/>
      <c r="Q16" s="74">
        <v>280.82560000000001</v>
      </c>
      <c r="R16" s="75">
        <v>5982</v>
      </c>
      <c r="S16" s="75">
        <v>265.99</v>
      </c>
      <c r="T16" s="75">
        <v>14.835559999999999</v>
      </c>
    </row>
    <row r="17" spans="4:20" ht="15" customHeight="1">
      <c r="D17" s="68"/>
      <c r="E17" s="68"/>
      <c r="F17" s="68"/>
      <c r="G17" s="68"/>
      <c r="H17" s="68"/>
      <c r="J17" s="68"/>
      <c r="K17" s="74">
        <v>279.56169999999997</v>
      </c>
      <c r="L17" s="117">
        <v>6453</v>
      </c>
      <c r="M17" s="75">
        <v>259.94</v>
      </c>
      <c r="N17" s="75">
        <v>19.621729999999999</v>
      </c>
      <c r="P17" s="68"/>
      <c r="Q17" s="74">
        <v>280.9058</v>
      </c>
      <c r="R17" s="75">
        <v>6456</v>
      </c>
      <c r="S17" s="75">
        <v>264.94</v>
      </c>
      <c r="T17" s="75">
        <v>15.965769999999999</v>
      </c>
    </row>
    <row r="18" spans="4:20" ht="15" customHeight="1">
      <c r="D18" s="68"/>
      <c r="E18" s="68"/>
      <c r="F18" s="68"/>
      <c r="G18" s="68"/>
      <c r="H18" s="68"/>
      <c r="J18" s="68"/>
      <c r="K18" s="74">
        <v>279.40640000000002</v>
      </c>
      <c r="L18" s="75">
        <v>6927</v>
      </c>
      <c r="M18" s="75">
        <v>259.77999999999997</v>
      </c>
      <c r="N18" s="75">
        <v>19.626429999999999</v>
      </c>
      <c r="P18" s="68"/>
      <c r="Q18" s="68"/>
      <c r="R18" s="68"/>
      <c r="S18" s="68"/>
      <c r="T18" s="68"/>
    </row>
    <row r="19" spans="4:20" ht="15" customHeight="1">
      <c r="D19" s="68"/>
      <c r="E19" s="68"/>
      <c r="F19" s="68"/>
      <c r="G19" s="68"/>
      <c r="H19" s="68"/>
      <c r="J19" s="68"/>
      <c r="K19" s="74">
        <v>279.32659999999998</v>
      </c>
      <c r="L19" s="75">
        <v>7401</v>
      </c>
      <c r="M19" s="75">
        <v>259.64999999999998</v>
      </c>
      <c r="N19" s="75">
        <v>19.676559999999998</v>
      </c>
      <c r="P19" s="68"/>
      <c r="Q19" s="68"/>
      <c r="R19" s="68"/>
      <c r="S19" s="68"/>
      <c r="T19" s="68"/>
    </row>
    <row r="20" spans="4:20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  <c r="P20" s="68"/>
      <c r="Q20" s="68"/>
      <c r="R20" s="68"/>
      <c r="S20" s="68"/>
      <c r="T20" s="68"/>
    </row>
    <row r="21" spans="4:20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  <c r="P21" s="68"/>
      <c r="Q21" s="68"/>
      <c r="R21" s="68"/>
      <c r="S21" s="68"/>
      <c r="T21" s="68"/>
    </row>
    <row r="22" spans="4:20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  <c r="P22" s="68"/>
      <c r="Q22" s="68"/>
      <c r="R22" s="68"/>
      <c r="S22" s="68"/>
      <c r="T22" s="68"/>
    </row>
    <row r="23" spans="4:20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  <c r="P23" s="68"/>
      <c r="Q23" s="68"/>
      <c r="R23" s="68"/>
      <c r="S23" s="68"/>
      <c r="T23" s="68"/>
    </row>
    <row r="24" spans="4:20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  <c r="P24" s="68"/>
      <c r="Q24" s="68"/>
      <c r="R24" s="68"/>
      <c r="S24" s="68"/>
      <c r="T24" s="68"/>
    </row>
    <row r="25" spans="4:20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  <c r="P25" s="68"/>
      <c r="Q25" s="68"/>
      <c r="R25" s="68"/>
      <c r="S25" s="68"/>
      <c r="T25" s="68"/>
    </row>
    <row r="26" spans="4:20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  <c r="P26" s="68"/>
      <c r="Q26" s="68"/>
      <c r="R26" s="68"/>
      <c r="S26" s="68"/>
      <c r="T26" s="68"/>
    </row>
    <row r="27" spans="4:20" ht="15" customHeight="1">
      <c r="D27" s="68"/>
      <c r="E27" s="68"/>
      <c r="F27" s="68"/>
      <c r="G27" s="68"/>
      <c r="H27" s="68"/>
      <c r="J27" s="68"/>
      <c r="K27" s="68"/>
      <c r="L27" s="68"/>
      <c r="M27" s="68"/>
      <c r="N27" s="68"/>
      <c r="P27" s="68"/>
      <c r="Q27" s="68"/>
      <c r="R27" s="68"/>
      <c r="S27" s="68"/>
      <c r="T27" s="68"/>
    </row>
    <row r="28" spans="4:20" ht="15.6">
      <c r="D28" s="68"/>
      <c r="E28" s="68"/>
      <c r="F28" s="68"/>
      <c r="G28" s="68"/>
      <c r="H28" s="68"/>
      <c r="J28" s="68"/>
      <c r="K28" s="68"/>
      <c r="L28" s="68"/>
      <c r="M28" s="68"/>
      <c r="N28" s="68"/>
      <c r="P28" s="68"/>
      <c r="Q28" s="68"/>
      <c r="R28" s="68"/>
      <c r="S28" s="68"/>
      <c r="T28" s="68"/>
    </row>
    <row r="29" spans="4:20" ht="15.6">
      <c r="D29" s="68"/>
      <c r="E29" s="68"/>
      <c r="F29" s="68"/>
      <c r="G29" s="68"/>
      <c r="H29" s="68"/>
      <c r="J29" s="68"/>
      <c r="K29" s="68"/>
      <c r="L29" s="68"/>
      <c r="M29" s="68"/>
      <c r="N29" s="68"/>
      <c r="P29" s="68"/>
      <c r="Q29" s="68"/>
      <c r="R29" s="68"/>
      <c r="S29" s="68"/>
      <c r="T29" s="68"/>
    </row>
    <row r="30" spans="4:20" ht="15.6">
      <c r="D30" s="68"/>
      <c r="E30" s="68"/>
      <c r="F30" s="68"/>
      <c r="G30" s="68"/>
      <c r="H30" s="68"/>
      <c r="J30" s="68"/>
      <c r="K30" s="68"/>
      <c r="L30" s="68"/>
      <c r="M30" s="68"/>
      <c r="N30" s="68"/>
      <c r="P30" s="68"/>
      <c r="Q30" s="68"/>
      <c r="R30" s="68"/>
      <c r="S30" s="68"/>
      <c r="T30" s="68"/>
    </row>
    <row r="31" spans="4:20" ht="15.6">
      <c r="D31" s="68"/>
      <c r="E31" s="68"/>
      <c r="F31" s="68"/>
      <c r="G31" s="68"/>
      <c r="H31" s="68"/>
      <c r="J31" s="68"/>
      <c r="K31" s="68"/>
      <c r="L31" s="68"/>
      <c r="M31" s="68"/>
      <c r="N31" s="68"/>
      <c r="P31" s="68"/>
      <c r="Q31" s="68"/>
      <c r="R31" s="68"/>
      <c r="S31" s="68"/>
      <c r="T31" s="68"/>
    </row>
    <row r="32" spans="4:20" ht="15.6">
      <c r="D32" s="68"/>
      <c r="E32" s="68"/>
      <c r="F32" s="68"/>
      <c r="G32" s="68"/>
      <c r="H32" s="68"/>
      <c r="J32" s="68"/>
      <c r="K32" s="68"/>
      <c r="L32" s="68"/>
      <c r="M32" s="68"/>
      <c r="N32" s="68"/>
      <c r="P32" s="68"/>
      <c r="Q32" s="68"/>
      <c r="R32" s="68"/>
      <c r="S32" s="68"/>
      <c r="T32" s="68"/>
    </row>
    <row r="33" spans="4:20" ht="15.6">
      <c r="D33" s="68"/>
      <c r="E33" s="68"/>
      <c r="F33" s="68"/>
      <c r="G33" s="68"/>
      <c r="H33" s="68"/>
      <c r="J33" s="68"/>
      <c r="K33" s="68"/>
      <c r="L33" s="68"/>
      <c r="M33" s="68"/>
      <c r="N33" s="68"/>
      <c r="P33" s="68"/>
      <c r="Q33" s="68"/>
      <c r="R33" s="68"/>
      <c r="S33" s="68"/>
      <c r="T33" s="68"/>
    </row>
    <row r="34" spans="4:20" ht="15.6">
      <c r="D34" s="68"/>
      <c r="E34" s="68"/>
      <c r="F34" s="68"/>
      <c r="G34" s="68"/>
      <c r="H34" s="68"/>
      <c r="J34" s="68"/>
      <c r="K34" s="68"/>
      <c r="L34" s="68"/>
      <c r="M34" s="68"/>
      <c r="N34" s="68"/>
      <c r="P34" s="68"/>
      <c r="Q34" s="68"/>
      <c r="R34" s="68"/>
      <c r="S34" s="68"/>
      <c r="T34" s="68"/>
    </row>
    <row r="35" spans="4:20" ht="15.6">
      <c r="D35" s="68"/>
      <c r="E35" s="68"/>
      <c r="F35" s="68"/>
      <c r="G35" s="68"/>
      <c r="H35" s="68"/>
      <c r="J35" s="68"/>
      <c r="K35" s="68"/>
      <c r="L35" s="68"/>
      <c r="M35" s="68"/>
      <c r="N35" s="68"/>
      <c r="P35" s="68"/>
      <c r="Q35" s="68"/>
      <c r="R35" s="68"/>
      <c r="S35" s="68"/>
      <c r="T35" s="68"/>
    </row>
    <row r="36" spans="4:20" ht="15.6">
      <c r="D36" s="68"/>
      <c r="E36" s="68"/>
      <c r="F36" s="68"/>
      <c r="G36" s="68"/>
      <c r="H36" s="68"/>
      <c r="J36" s="68"/>
      <c r="K36" s="68"/>
      <c r="L36" s="68"/>
      <c r="M36" s="68"/>
      <c r="N36" s="68"/>
      <c r="P36" s="68"/>
      <c r="Q36" s="68"/>
      <c r="R36" s="68"/>
      <c r="S36" s="68"/>
      <c r="T36" s="68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336</v>
      </c>
      <c r="D1" s="68"/>
      <c r="E1" s="139" t="s">
        <v>337</v>
      </c>
      <c r="F1" s="140"/>
      <c r="G1" s="140"/>
      <c r="H1" s="140"/>
      <c r="J1" s="68"/>
      <c r="K1" s="139" t="s">
        <v>338</v>
      </c>
      <c r="L1" s="140"/>
      <c r="M1" s="140"/>
      <c r="N1" s="140"/>
    </row>
    <row r="2" spans="1:14" ht="15" customHeight="1">
      <c r="A2" s="81" t="s">
        <v>90</v>
      </c>
      <c r="D2" s="68"/>
      <c r="E2" s="68"/>
      <c r="F2" s="68"/>
      <c r="G2" s="68"/>
      <c r="H2" s="68"/>
      <c r="J2" s="110"/>
      <c r="K2" s="68"/>
      <c r="L2" s="68"/>
      <c r="M2" s="68"/>
      <c r="N2" s="68"/>
    </row>
    <row r="3" spans="1:14" ht="15" customHeight="1">
      <c r="A3" s="82" t="s">
        <v>111</v>
      </c>
      <c r="D3" s="68"/>
      <c r="E3" s="71" t="s">
        <v>10</v>
      </c>
      <c r="F3" s="72" t="s">
        <v>11</v>
      </c>
      <c r="G3" s="72" t="s">
        <v>12</v>
      </c>
      <c r="H3" s="73" t="s">
        <v>85</v>
      </c>
      <c r="J3" s="68"/>
      <c r="K3" s="71" t="s">
        <v>10</v>
      </c>
      <c r="L3" s="72" t="s">
        <v>11</v>
      </c>
      <c r="M3" s="72" t="s">
        <v>12</v>
      </c>
      <c r="N3" s="73" t="s">
        <v>85</v>
      </c>
    </row>
    <row r="4" spans="1:14" ht="15" customHeight="1">
      <c r="A4" s="82" t="s">
        <v>112</v>
      </c>
      <c r="D4" s="68" t="s">
        <v>95</v>
      </c>
      <c r="E4" s="74">
        <v>360.44869999999997</v>
      </c>
      <c r="F4" s="75">
        <v>301</v>
      </c>
      <c r="G4" s="75">
        <v>292.7</v>
      </c>
      <c r="H4" s="75">
        <v>67.748729999999995</v>
      </c>
      <c r="J4" s="68" t="s">
        <v>143</v>
      </c>
      <c r="K4" s="74">
        <v>351.46409999999997</v>
      </c>
      <c r="L4" s="75">
        <v>301</v>
      </c>
      <c r="M4" s="75">
        <v>280.60000000000002</v>
      </c>
      <c r="N4" s="75">
        <v>70.864090000000004</v>
      </c>
    </row>
    <row r="5" spans="1:14" ht="15" customHeight="1">
      <c r="D5" s="68"/>
      <c r="E5" s="74">
        <v>360.27440000000001</v>
      </c>
      <c r="F5" s="75">
        <v>774</v>
      </c>
      <c r="G5" s="75">
        <v>291.7</v>
      </c>
      <c r="H5" s="75">
        <v>68.574349999999995</v>
      </c>
      <c r="J5" s="68"/>
      <c r="K5" s="74">
        <v>351.17689999999999</v>
      </c>
      <c r="L5" s="75">
        <v>774</v>
      </c>
      <c r="M5" s="75">
        <v>280.3</v>
      </c>
      <c r="N5" s="75">
        <v>70.876930000000002</v>
      </c>
    </row>
    <row r="6" spans="1:14" ht="15" customHeight="1">
      <c r="D6" s="68"/>
      <c r="E6" s="74">
        <v>361.55250000000001</v>
      </c>
      <c r="F6" s="75">
        <v>1247</v>
      </c>
      <c r="G6" s="75">
        <v>293.7</v>
      </c>
      <c r="H6" s="75">
        <v>67.852490000000003</v>
      </c>
      <c r="J6" s="68"/>
      <c r="K6" s="74">
        <v>350.07249999999999</v>
      </c>
      <c r="L6" s="75">
        <v>1247</v>
      </c>
      <c r="M6" s="75">
        <v>279.60000000000002</v>
      </c>
      <c r="N6" s="75">
        <v>70.47251</v>
      </c>
    </row>
    <row r="7" spans="1:14" ht="15" customHeight="1">
      <c r="D7" s="68"/>
      <c r="E7" s="74">
        <v>360.25639999999999</v>
      </c>
      <c r="F7" s="75">
        <v>1720</v>
      </c>
      <c r="G7" s="75">
        <v>290.89999999999998</v>
      </c>
      <c r="H7" s="75">
        <v>69.35642</v>
      </c>
      <c r="J7" s="68"/>
      <c r="K7" s="74">
        <v>352.88209999999998</v>
      </c>
      <c r="L7" s="75">
        <v>1720</v>
      </c>
      <c r="M7" s="75">
        <v>282.3</v>
      </c>
      <c r="N7" s="75">
        <v>70.582049999999995</v>
      </c>
    </row>
    <row r="8" spans="1:14" ht="15" customHeight="1">
      <c r="D8" s="68"/>
      <c r="E8" s="74">
        <v>357.63</v>
      </c>
      <c r="F8" s="75">
        <v>2199</v>
      </c>
      <c r="G8" s="75">
        <v>290.39999999999998</v>
      </c>
      <c r="H8" s="75">
        <v>67.23</v>
      </c>
      <c r="J8" s="68"/>
      <c r="K8" s="74">
        <v>351.38720000000001</v>
      </c>
      <c r="L8" s="75">
        <v>2194</v>
      </c>
      <c r="M8" s="75">
        <v>279.7</v>
      </c>
      <c r="N8" s="75">
        <v>71.687169999999995</v>
      </c>
    </row>
    <row r="9" spans="1:14" ht="15" customHeight="1">
      <c r="D9" s="68"/>
      <c r="E9" s="74">
        <v>356.0077</v>
      </c>
      <c r="F9" s="75">
        <v>2673</v>
      </c>
      <c r="G9" s="75">
        <v>287.10000000000002</v>
      </c>
      <c r="H9" s="75">
        <v>68.907700000000006</v>
      </c>
      <c r="J9" s="68"/>
      <c r="K9" s="74">
        <v>349.91</v>
      </c>
      <c r="L9" s="75">
        <v>2667</v>
      </c>
      <c r="M9" s="75">
        <v>277.89999999999998</v>
      </c>
      <c r="N9" s="75">
        <v>72.009990000000002</v>
      </c>
    </row>
    <row r="10" spans="1:14" ht="15" customHeight="1">
      <c r="D10" s="68"/>
      <c r="E10" s="74">
        <v>353.65640000000002</v>
      </c>
      <c r="F10" s="75">
        <v>3145</v>
      </c>
      <c r="G10" s="75">
        <v>288.10000000000002</v>
      </c>
      <c r="H10" s="75">
        <v>65.55641</v>
      </c>
      <c r="J10" s="68"/>
      <c r="K10" s="74">
        <v>348.67950000000002</v>
      </c>
      <c r="L10" s="75">
        <v>3141</v>
      </c>
      <c r="M10" s="75">
        <v>277.10000000000002</v>
      </c>
      <c r="N10" s="75">
        <v>71.579490000000007</v>
      </c>
    </row>
    <row r="11" spans="1:14" ht="15" customHeight="1">
      <c r="D11" s="68" t="s">
        <v>120</v>
      </c>
      <c r="E11" s="19">
        <v>356.02820000000003</v>
      </c>
      <c r="F11" s="20">
        <v>3619</v>
      </c>
      <c r="G11" s="20">
        <v>295.8</v>
      </c>
      <c r="H11" s="20">
        <v>60.228200000000001</v>
      </c>
      <c r="J11" s="68"/>
      <c r="K11" s="74">
        <v>348.28750000000002</v>
      </c>
      <c r="L11" s="75">
        <v>3614</v>
      </c>
      <c r="M11" s="75">
        <v>276.5</v>
      </c>
      <c r="N11" s="75">
        <v>71.787509999999997</v>
      </c>
    </row>
    <row r="12" spans="1:14" ht="15" customHeight="1">
      <c r="D12" s="68"/>
      <c r="E12" s="74">
        <v>355.47949999999997</v>
      </c>
      <c r="F12" s="75">
        <v>4093</v>
      </c>
      <c r="G12" s="75">
        <v>297.7</v>
      </c>
      <c r="H12" s="75">
        <v>57.779490000000003</v>
      </c>
      <c r="J12" s="68" t="s">
        <v>120</v>
      </c>
      <c r="K12" s="19">
        <v>348.17180000000002</v>
      </c>
      <c r="L12" s="20">
        <v>4090</v>
      </c>
      <c r="M12" s="20">
        <v>285.7</v>
      </c>
      <c r="N12" s="20">
        <v>62.471809999999998</v>
      </c>
    </row>
    <row r="13" spans="1:14" ht="15" customHeight="1">
      <c r="D13" s="68"/>
      <c r="E13" s="74">
        <v>355.45639999999997</v>
      </c>
      <c r="F13" s="75">
        <v>4566</v>
      </c>
      <c r="G13" s="75">
        <v>298.60000000000002</v>
      </c>
      <c r="H13" s="75">
        <v>56.85642</v>
      </c>
      <c r="J13" s="68"/>
      <c r="K13" s="19">
        <v>352.61279999999999</v>
      </c>
      <c r="L13" s="20">
        <v>4561</v>
      </c>
      <c r="M13" s="20">
        <v>292.39999999999998</v>
      </c>
      <c r="N13" s="20">
        <v>60.212820000000001</v>
      </c>
    </row>
    <row r="14" spans="1:14" ht="15" customHeight="1">
      <c r="D14" s="68"/>
      <c r="E14" s="74">
        <v>354.24250000000001</v>
      </c>
      <c r="F14" s="75">
        <v>5040</v>
      </c>
      <c r="G14" s="75">
        <v>297.10000000000002</v>
      </c>
      <c r="H14" s="75">
        <v>57.142490000000002</v>
      </c>
      <c r="J14" s="68"/>
      <c r="K14" s="74">
        <v>353.61</v>
      </c>
      <c r="L14" s="75">
        <v>5034</v>
      </c>
      <c r="M14" s="75">
        <v>292.39999999999998</v>
      </c>
      <c r="N14" s="75">
        <v>61.21</v>
      </c>
    </row>
    <row r="15" spans="1:14" ht="15" customHeight="1">
      <c r="D15" s="68"/>
      <c r="E15" s="74">
        <v>353.67439999999999</v>
      </c>
      <c r="F15" s="75">
        <v>5513</v>
      </c>
      <c r="G15" s="75">
        <v>298</v>
      </c>
      <c r="H15" s="75">
        <v>55.674349999999997</v>
      </c>
      <c r="J15" s="68"/>
      <c r="K15" s="74">
        <v>352.92</v>
      </c>
      <c r="L15" s="75">
        <v>5508</v>
      </c>
      <c r="M15" s="75">
        <v>291.39999999999998</v>
      </c>
      <c r="N15" s="75">
        <v>61.520009999999999</v>
      </c>
    </row>
    <row r="16" spans="1:14" ht="15" customHeight="1">
      <c r="D16" s="68"/>
      <c r="E16" s="74">
        <v>351.82049999999998</v>
      </c>
      <c r="F16" s="75">
        <v>5986</v>
      </c>
      <c r="G16" s="75">
        <v>294.5</v>
      </c>
      <c r="H16" s="75">
        <v>57.320529999999998</v>
      </c>
      <c r="J16" s="68"/>
      <c r="K16" s="74">
        <v>352.61279999999999</v>
      </c>
      <c r="L16" s="75">
        <v>5980</v>
      </c>
      <c r="M16" s="75">
        <v>290.60000000000002</v>
      </c>
      <c r="N16" s="75">
        <v>62.012819999999998</v>
      </c>
    </row>
    <row r="17" spans="4:14" ht="15" customHeight="1">
      <c r="D17" s="68"/>
      <c r="E17" s="74">
        <v>347.75</v>
      </c>
      <c r="F17" s="75">
        <v>6460</v>
      </c>
      <c r="G17" s="75">
        <v>290.60000000000002</v>
      </c>
      <c r="H17" s="75">
        <v>57.15</v>
      </c>
      <c r="J17" s="68"/>
      <c r="K17" s="74">
        <v>352.3974</v>
      </c>
      <c r="L17" s="75">
        <v>6454</v>
      </c>
      <c r="M17" s="75">
        <v>289.5</v>
      </c>
      <c r="N17" s="75">
        <v>62.89743</v>
      </c>
    </row>
    <row r="18" spans="4:14" ht="15" customHeight="1">
      <c r="D18" s="68"/>
      <c r="E18" s="68"/>
      <c r="F18" s="68"/>
      <c r="G18" s="68"/>
      <c r="H18" s="68"/>
      <c r="J18" s="68"/>
      <c r="K18" s="74">
        <v>350.63249999999999</v>
      </c>
      <c r="L18" s="91">
        <v>6927</v>
      </c>
      <c r="M18" s="74">
        <v>287.39999999999998</v>
      </c>
      <c r="N18" s="75">
        <v>63.232489999999999</v>
      </c>
    </row>
    <row r="19" spans="4:14" ht="15" customHeight="1">
      <c r="D19" s="68"/>
      <c r="E19" s="68"/>
      <c r="F19" s="68"/>
      <c r="G19" s="68"/>
      <c r="H19" s="68"/>
      <c r="J19" s="68"/>
      <c r="K19" s="74">
        <v>349.88720000000001</v>
      </c>
      <c r="L19" s="117">
        <v>7401</v>
      </c>
      <c r="M19" s="75">
        <v>287.10000000000002</v>
      </c>
      <c r="N19" s="75">
        <v>62.787190000000002</v>
      </c>
    </row>
    <row r="20" spans="4:14" ht="15" customHeight="1">
      <c r="D20" s="68"/>
      <c r="E20" s="68"/>
      <c r="F20" s="68"/>
      <c r="G20" s="68"/>
      <c r="H20" s="68"/>
      <c r="J20" s="68"/>
      <c r="K20" s="68"/>
      <c r="L20" s="68"/>
      <c r="M20" s="68"/>
      <c r="N20" s="68"/>
    </row>
    <row r="21" spans="4:14" ht="15" customHeight="1">
      <c r="D21" s="68"/>
      <c r="E21" s="68"/>
      <c r="F21" s="68"/>
      <c r="G21" s="68"/>
      <c r="H21" s="68"/>
      <c r="J21" s="68"/>
      <c r="K21" s="68"/>
      <c r="L21" s="68"/>
      <c r="M21" s="68"/>
      <c r="N21" s="68"/>
    </row>
    <row r="22" spans="4:14" ht="15" customHeight="1">
      <c r="D22" s="68"/>
      <c r="E22" s="68"/>
      <c r="F22" s="68"/>
      <c r="G22" s="68"/>
      <c r="H22" s="68"/>
      <c r="J22" s="68"/>
      <c r="K22" s="68"/>
      <c r="L22" s="68"/>
      <c r="M22" s="68"/>
      <c r="N22" s="68"/>
    </row>
    <row r="23" spans="4:14" ht="15" customHeight="1">
      <c r="D23" s="68"/>
      <c r="E23" s="68"/>
      <c r="F23" s="68"/>
      <c r="G23" s="68"/>
      <c r="H23" s="68"/>
      <c r="J23" s="68"/>
      <c r="K23" s="68"/>
      <c r="L23" s="68"/>
      <c r="M23" s="68"/>
      <c r="N23" s="68"/>
    </row>
    <row r="24" spans="4:14" ht="15" customHeight="1">
      <c r="D24" s="68"/>
      <c r="E24" s="68"/>
      <c r="F24" s="68"/>
      <c r="G24" s="68"/>
      <c r="H24" s="68"/>
      <c r="J24" s="68"/>
      <c r="K24" s="68"/>
      <c r="L24" s="68"/>
      <c r="M24" s="68"/>
      <c r="N24" s="68"/>
    </row>
    <row r="25" spans="4:14" ht="15" customHeight="1">
      <c r="D25" s="68"/>
      <c r="E25" s="68"/>
      <c r="F25" s="68"/>
      <c r="G25" s="68"/>
      <c r="H25" s="68"/>
      <c r="J25" s="68"/>
      <c r="K25" s="68"/>
      <c r="L25" s="68"/>
      <c r="M25" s="68"/>
      <c r="N25" s="68"/>
    </row>
    <row r="26" spans="4:14" ht="15" customHeight="1">
      <c r="D26" s="68"/>
      <c r="E26" s="68"/>
      <c r="F26" s="68"/>
      <c r="G26" s="68"/>
      <c r="H26" s="68"/>
      <c r="J26" s="68"/>
      <c r="K26" s="68"/>
      <c r="L26" s="68"/>
      <c r="M26" s="68"/>
      <c r="N26" s="68"/>
    </row>
    <row r="27" spans="4:14" ht="15" customHeight="1">
      <c r="D27" s="68"/>
      <c r="E27" s="68"/>
      <c r="F27" s="68"/>
      <c r="G27" s="68"/>
      <c r="H27" s="68"/>
      <c r="J27" s="68"/>
      <c r="K27" s="68"/>
      <c r="L27" s="68"/>
      <c r="M27" s="68"/>
      <c r="N27" s="68"/>
    </row>
    <row r="28" spans="4:14" ht="15.6">
      <c r="D28" s="68"/>
      <c r="E28" s="68"/>
      <c r="F28" s="68"/>
      <c r="G28" s="68"/>
      <c r="H28" s="68"/>
      <c r="J28" s="68"/>
      <c r="K28" s="68"/>
      <c r="L28" s="68"/>
      <c r="M28" s="68"/>
      <c r="N28" s="68"/>
    </row>
    <row r="29" spans="4:14" ht="15.6">
      <c r="D29" s="68"/>
      <c r="E29" s="68"/>
      <c r="F29" s="68"/>
      <c r="G29" s="68"/>
      <c r="H29" s="68"/>
      <c r="J29" s="68"/>
      <c r="K29" s="68"/>
      <c r="L29" s="68"/>
      <c r="M29" s="68"/>
      <c r="N29" s="68"/>
    </row>
    <row r="30" spans="4:14" ht="15.6">
      <c r="D30" s="68"/>
      <c r="E30" s="68"/>
      <c r="F30" s="68"/>
      <c r="G30" s="68"/>
      <c r="H30" s="68"/>
      <c r="J30" s="68"/>
      <c r="K30" s="68"/>
      <c r="L30" s="68"/>
      <c r="M30" s="68"/>
      <c r="N30" s="68"/>
    </row>
    <row r="31" spans="4:14" ht="15.6">
      <c r="D31" s="68"/>
      <c r="E31" s="68"/>
      <c r="F31" s="68"/>
      <c r="G31" s="68"/>
      <c r="H31" s="68"/>
      <c r="J31" s="68"/>
      <c r="K31" s="68"/>
      <c r="L31" s="68"/>
      <c r="M31" s="68"/>
      <c r="N31" s="68"/>
    </row>
    <row r="32" spans="4:14" ht="15.6">
      <c r="D32" s="68"/>
      <c r="E32" s="68"/>
      <c r="F32" s="68"/>
      <c r="G32" s="68"/>
      <c r="H32" s="68"/>
      <c r="J32" s="68"/>
      <c r="K32" s="68"/>
      <c r="L32" s="68"/>
      <c r="M32" s="68"/>
      <c r="N32" s="68"/>
    </row>
    <row r="33" spans="4:14" ht="15.6">
      <c r="D33" s="68"/>
      <c r="E33" s="68"/>
      <c r="F33" s="68"/>
      <c r="G33" s="68"/>
      <c r="H33" s="68"/>
      <c r="J33" s="68"/>
      <c r="K33" s="68"/>
      <c r="L33" s="68"/>
      <c r="M33" s="68"/>
      <c r="N33" s="68"/>
    </row>
    <row r="34" spans="4:14" ht="15.6">
      <c r="D34" s="68"/>
      <c r="E34" s="68"/>
      <c r="F34" s="68"/>
      <c r="G34" s="68"/>
      <c r="H34" s="68"/>
      <c r="J34" s="68"/>
      <c r="K34" s="68"/>
      <c r="L34" s="68"/>
      <c r="M34" s="68"/>
      <c r="N34" s="68"/>
    </row>
    <row r="35" spans="4:14" ht="15.6">
      <c r="D35" s="68"/>
      <c r="E35" s="68"/>
      <c r="F35" s="68"/>
      <c r="G35" s="68"/>
      <c r="H35" s="68"/>
      <c r="J35" s="68"/>
      <c r="K35" s="68"/>
      <c r="L35" s="68"/>
      <c r="M35" s="68"/>
      <c r="N35" s="68"/>
    </row>
    <row r="36" spans="4:14" ht="15.6">
      <c r="D36" s="68"/>
      <c r="E36" s="68"/>
      <c r="F36" s="68"/>
      <c r="G36" s="68"/>
      <c r="H36" s="68"/>
      <c r="J36" s="68"/>
      <c r="K36" s="68"/>
      <c r="L36" s="68"/>
      <c r="M36" s="68"/>
      <c r="N36" s="68"/>
    </row>
  </sheetData>
  <mergeCells count="2">
    <mergeCell ref="E1:H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N4-25.03.2024</vt:lpstr>
      <vt:lpstr>U1-26.03.2024</vt:lpstr>
      <vt:lpstr>U2-03.04.2024</vt:lpstr>
      <vt:lpstr>U4-15.04.2024</vt:lpstr>
      <vt:lpstr>U1-VS2-21.04.2024</vt:lpstr>
      <vt:lpstr>U10-VS1-25.04.2024</vt:lpstr>
      <vt:lpstr>U4-VS2-26.04.2024</vt:lpstr>
      <vt:lpstr>U11-VS1-29.04.2024</vt:lpstr>
      <vt:lpstr>U6-VSV2-03.05.2024</vt:lpstr>
      <vt:lpstr>U7-VSV2-03.05.2024 </vt:lpstr>
      <vt:lpstr>U8-VS2-03.05.2024</vt:lpstr>
      <vt:lpstr>U10-VS2-06.05.2024</vt:lpstr>
      <vt:lpstr>U12-VS2-07.05.2024</vt:lpstr>
      <vt:lpstr>U13-VS2-07.05.2024</vt:lpstr>
      <vt:lpstr>U15-VS2-08.05.2024</vt:lpstr>
      <vt:lpstr>U16-VS2-08.05.2024</vt:lpstr>
      <vt:lpstr>U18-VS2-09.05.2024</vt:lpstr>
      <vt:lpstr>U19-H1-VS2-10.05.2024</vt:lpstr>
      <vt:lpstr>U20-H2-VS2-10.05.2024</vt:lpstr>
      <vt:lpstr>U21-H1-VS2-12.05.2024</vt:lpstr>
      <vt:lpstr>U22-H2-VS2-12.05.2024</vt:lpstr>
      <vt:lpstr>U23-H1-VS2-12.05.2024</vt:lpstr>
      <vt:lpstr>U25-H1-VS2-13.05.2024</vt:lpstr>
      <vt:lpstr>U27-H1-VS2-14.05.2024</vt:lpstr>
      <vt:lpstr>U28-H2-VS2-14.05.2024</vt:lpstr>
      <vt:lpstr>U29-H1-VS2-15.05.2024</vt:lpstr>
      <vt:lpstr>U30-H2-VS2-15052024</vt:lpstr>
      <vt:lpstr>U31-H1-VS2-18.05.2024</vt:lpstr>
      <vt:lpstr>U33-H1-VS2-18.05.2024</vt:lpstr>
      <vt:lpstr>U34-H2-VS2-18.05.2024</vt:lpstr>
      <vt:lpstr>U35-H1-VS2-20.05.2024</vt:lpstr>
      <vt:lpstr>U36-H2-VS2-20.05.2024</vt:lpstr>
      <vt:lpstr>U37-H1-VS2-21.05.2024</vt:lpstr>
      <vt:lpstr>U39-H1-VS2-22.05.2024</vt:lpstr>
      <vt:lpstr>U40-H2-VS2-22.05.2024</vt:lpstr>
      <vt:lpstr>U41-H1-VS2-24.05.2024</vt:lpstr>
      <vt:lpstr>U42-H2-VS2-24.05.2024</vt:lpstr>
      <vt:lpstr>U43-H1-VS2-24.05.2024</vt:lpstr>
      <vt:lpstr>U44-H2-VS2-24.05.2024</vt:lpstr>
      <vt:lpstr>U45-H1-VS2-26.05.2024</vt:lpstr>
      <vt:lpstr>U46-H2-VS2-26.05.2024</vt:lpstr>
      <vt:lpstr>U47-H1-VS2-27.05.2024</vt:lpstr>
      <vt:lpstr>U48-H2-VS2-27.05.2024</vt:lpstr>
      <vt:lpstr>U49-H1-VS2-28.05.2024</vt:lpstr>
      <vt:lpstr>U50-H2-VS2-28.05.2024</vt:lpstr>
      <vt:lpstr>U51-H1-VS2-29.05.2024</vt:lpstr>
      <vt:lpstr>U52-28.05.2024</vt:lpstr>
      <vt:lpstr>U53-H1-VS2-30.05.2024</vt:lpstr>
      <vt:lpstr>U54-H3-VS2-31.05.2024</vt:lpstr>
      <vt:lpstr>U55-H1-VS2-31.05.2024</vt:lpstr>
      <vt:lpstr>U57-H1-VS2-03.06.2024</vt:lpstr>
      <vt:lpstr>U59-H1-VS2-04.06.2024</vt:lpstr>
      <vt:lpstr>U61-H1-VS2-05.06.2024</vt:lpstr>
      <vt:lpstr>U62-H3-VS2-05.06.2024</vt:lpstr>
      <vt:lpstr>U63-H1-VS2-06.06.2024</vt:lpstr>
      <vt:lpstr>U65-H1-VS2-07.06.2024</vt:lpstr>
      <vt:lpstr>U67-H1-VS2-10.06.2024</vt:lpstr>
      <vt:lpstr>U69-H1-VS2-11.06.2024</vt:lpstr>
      <vt:lpstr>U71-H1-VS2-12.06.2024</vt:lpstr>
      <vt:lpstr>U72-H3-VS2-12.06.2024</vt:lpstr>
      <vt:lpstr>U73-H1-VS2-14.06.2024</vt:lpstr>
      <vt:lpstr>U74-H3-VS2-14.06.2024</vt:lpstr>
      <vt:lpstr>U75-H1-VS2-14.06.2024</vt:lpstr>
      <vt:lpstr>U76-H3-VS2-14.06.2024</vt:lpstr>
      <vt:lpstr>U77-H1-VS2-16.06.2024</vt:lpstr>
      <vt:lpstr>U78-H3-VS2-16.06.2024</vt:lpstr>
      <vt:lpstr>U79-H1-VS2-17.06.2024</vt:lpstr>
      <vt:lpstr>U80-H3-VS2-17.06.2024</vt:lpstr>
      <vt:lpstr>U81-H1-VS2-18.06.2024</vt:lpstr>
      <vt:lpstr>U82-H3-VS2-18.06.2024</vt:lpstr>
      <vt:lpstr>U83-H1-VS2-19.06.2024</vt:lpstr>
      <vt:lpstr>U84-H3-VS2-19.06.2024</vt:lpstr>
      <vt:lpstr>U85-H1-VS2-20.06.2024</vt:lpstr>
      <vt:lpstr>U86-H3-VS2-20.06.2024</vt:lpstr>
      <vt:lpstr>U87-H1-VS2-21062024</vt:lpstr>
      <vt:lpstr>U88-H3-VS2-21062024</vt:lpstr>
      <vt:lpstr>U90-H3-VS2-24062024</vt:lpstr>
      <vt:lpstr>U89-H1-VS2-24062024</vt:lpstr>
      <vt:lpstr>U92-H3-VS2-25.06.2024</vt:lpstr>
      <vt:lpstr>U93-H1-VS2-26.06.2024</vt:lpstr>
      <vt:lpstr>U94-H3-VS2-26.06.2024</vt:lpstr>
      <vt:lpstr>U95-H1-VS2-27.06.2024</vt:lpstr>
      <vt:lpstr>U98-H3-VS2-28.06.2024</vt:lpstr>
      <vt:lpstr>U99-H1-VS2-01.07.2024</vt:lpstr>
      <vt:lpstr>U100-H3-VS2-01.07.2024</vt:lpstr>
      <vt:lpstr>U101-H1-VS2-01.07.2024</vt:lpstr>
      <vt:lpstr>U103-H1-VS2-03.07.2024</vt:lpstr>
      <vt:lpstr>U165-H1-VS2-16.08.2024</vt:lpstr>
      <vt:lpstr>U167-H1-VS2-19.08.2024</vt:lpstr>
      <vt:lpstr>U173-H1-VS2-22.08.2024</vt:lpstr>
      <vt:lpstr>U174-H3-VS2-22.08.2024</vt:lpstr>
      <vt:lpstr>U175-H1-VS2-23.08.2024</vt:lpstr>
      <vt:lpstr>U176-H3-VS2-23.08.2024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Khanh Lê Xuân</cp:lastModifiedBy>
  <dcterms:created xsi:type="dcterms:W3CDTF">2024-04-18T09:32:41Z</dcterms:created>
  <dcterms:modified xsi:type="dcterms:W3CDTF">2024-10-11T07:28:52Z</dcterms:modified>
</cp:coreProperties>
</file>