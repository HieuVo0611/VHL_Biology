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92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4-25.03.2024" sheetId="1" r:id="rId4"/>
    <sheet state="visible" name="U1-26.03.2024" sheetId="2" r:id="rId5"/>
    <sheet state="visible" name="U2-03.04.2024" sheetId="3" r:id="rId6"/>
    <sheet state="visible" name="U4-15.04.2024" sheetId="4" r:id="rId7"/>
    <sheet state="visible" name="U1-VS2-21.04.2024" sheetId="5" r:id="rId8"/>
    <sheet state="visible" name="U10-VS1-25.04.2024" sheetId="6" r:id="rId9"/>
    <sheet state="visible" name="U4-VS2-26.04.2024" sheetId="7" r:id="rId10"/>
    <sheet state="visible" name="U11-VS1-29.04.2024" sheetId="8" r:id="rId11"/>
    <sheet state="visible" name="U6-VSV2-03.05.2024" sheetId="9" r:id="rId12"/>
    <sheet state="visible" name="U7-VSV2-03.05.2024 " sheetId="10" r:id="rId13"/>
    <sheet state="visible" name="U8-VS2-03.05.2024" sheetId="11" r:id="rId14"/>
    <sheet state="visible" name="U10-VS2-06.05.2024" sheetId="12" r:id="rId15"/>
    <sheet state="visible" name="U12-VS2-07.05.2024" sheetId="13" r:id="rId16"/>
    <sheet state="visible" name="U13-VS2-07.05.2024" sheetId="14" r:id="rId17"/>
    <sheet state="visible" name="U15-VS2-08.05.2024" sheetId="15" r:id="rId18"/>
    <sheet state="visible" name="U16-VS2-08.05.2024" sheetId="16" r:id="rId19"/>
    <sheet state="visible" name="U18-VS2-09.05.2024" sheetId="17" r:id="rId20"/>
    <sheet state="visible" name="U19-H1-VS2-10.05.2024" sheetId="18" r:id="rId21"/>
    <sheet state="visible" name="U20-H2-VS2-10.05.2024" sheetId="19" r:id="rId22"/>
    <sheet state="visible" name="U21-H1-VS2-12.05.2024" sheetId="20" r:id="rId23"/>
    <sheet state="visible" name="U22-H2-VS2-12.05.2024" sheetId="21" r:id="rId24"/>
    <sheet state="visible" name="U23-H1-VS2-12.05.2024" sheetId="22" r:id="rId25"/>
    <sheet state="visible" name="U25-H1-VS2-13.05.2024" sheetId="23" r:id="rId26"/>
    <sheet state="visible" name="U27-H1-VS2-14.05.2024" sheetId="24" r:id="rId27"/>
    <sheet state="visible" name="U28-H2-VS2-14.05.2024" sheetId="25" r:id="rId28"/>
    <sheet state="visible" name="U29-H1-VS2-15.05.2024" sheetId="26" r:id="rId29"/>
    <sheet state="visible" name="U30-H2-VS2-15052024" sheetId="27" r:id="rId30"/>
    <sheet state="visible" name="U31-H1-VS2-18.05.2024" sheetId="28" r:id="rId31"/>
    <sheet state="visible" name="U33-H1-VS2-18.05.2024" sheetId="29" r:id="rId32"/>
    <sheet state="visible" name="U34-H2-VS2-18.05.2024" sheetId="30" r:id="rId33"/>
    <sheet state="visible" name="U35-H1-VS2-20.05.2024" sheetId="31" r:id="rId34"/>
    <sheet state="visible" name="U36-H2-VS2-20.05.2024" sheetId="32" r:id="rId35"/>
    <sheet state="visible" name="U37-H1-VS2-21.05.2024" sheetId="33" r:id="rId36"/>
    <sheet state="visible" name="U39-H1-VS2-22.05.2024" sheetId="34" r:id="rId37"/>
    <sheet state="visible" name="U40-H2-VS2-22.05.2024" sheetId="35" r:id="rId38"/>
    <sheet state="visible" name="U41-H1-VS2-24.05.2024" sheetId="36" r:id="rId39"/>
    <sheet state="visible" name="U42-H2-VS2-24.05.2024" sheetId="37" r:id="rId40"/>
    <sheet state="visible" name="U43-H1-VS2-24.05.2024" sheetId="38" r:id="rId41"/>
    <sheet state="visible" name="U44-H2-VS2-24.05.2024" sheetId="39" r:id="rId42"/>
    <sheet state="visible" name="U45-H1-VS2-26.05.2024" sheetId="40" r:id="rId43"/>
    <sheet state="visible" name="U46-H2-VS2-26.05.2024" sheetId="41" r:id="rId44"/>
    <sheet state="visible" name="U47-H1-VS2-27.05.2024" sheetId="42" r:id="rId45"/>
    <sheet state="visible" name="U48-H2-VS2-27.05.2024" sheetId="43" r:id="rId46"/>
    <sheet state="visible" name="U49-H1-VS2-28.05.2024" sheetId="44" r:id="rId47"/>
    <sheet state="visible" name="U50-H2-VS2-28.05.2024" sheetId="45" r:id="rId48"/>
    <sheet state="visible" name="U51-H1-VS2-29.05.2024" sheetId="46" r:id="rId49"/>
    <sheet state="visible" name="U52-28.05.2024" sheetId="47" r:id="rId50"/>
    <sheet state="visible" name="U53-H1-VS2-30.05.2024" sheetId="48" r:id="rId51"/>
    <sheet state="visible" name="U54-H3-VS2-31.05.2024" sheetId="49" r:id="rId52"/>
    <sheet state="visible" name="U55-H1-VS2-31.05.2024" sheetId="50" r:id="rId53"/>
    <sheet state="visible" name="U57-H1-VS2-03.06.2024" sheetId="51" r:id="rId54"/>
    <sheet state="visible" name="U59-H1-VS2-04.06.2024" sheetId="52" r:id="rId55"/>
    <sheet state="visible" name="U61-H1-VS2-05.06.2024" sheetId="53" r:id="rId56"/>
    <sheet state="visible" name="U62-H3-VS2-05.06.2024" sheetId="54" r:id="rId57"/>
    <sheet state="visible" name="U63-H1-VS2-06.06.2024" sheetId="55" r:id="rId58"/>
    <sheet state="visible" name="U65-H1-VS2-07.06.2024" sheetId="56" r:id="rId59"/>
    <sheet state="visible" name="U67-H1-VS2-10.06.2024" sheetId="57" r:id="rId60"/>
    <sheet state="visible" name="U69-H1-VS2-11.06.2024" sheetId="58" r:id="rId61"/>
    <sheet state="visible" name="U71-H1-VS2-12.06.2024" sheetId="59" r:id="rId62"/>
    <sheet state="visible" name="U72-H3-VS2-12.06.2024" sheetId="60" r:id="rId63"/>
    <sheet state="visible" name="U73-H1-VS2-14.06.2024" sheetId="61" r:id="rId64"/>
    <sheet state="visible" name="U74-H3-VS2-14.06.2024" sheetId="62" r:id="rId65"/>
    <sheet state="visible" name="U75-H1-VS2-14.06.2024" sheetId="63" r:id="rId66"/>
    <sheet state="visible" name="U76-H3-VS2-14.06.2024" sheetId="64" r:id="rId67"/>
    <sheet state="visible" name="U77-H1-VS2-16.06.2024" sheetId="65" r:id="rId68"/>
    <sheet state="visible" name="U78-H3-VS2-16.06.2024" sheetId="66" r:id="rId69"/>
    <sheet state="visible" name="U79-H1-VS2-17.06.2024" sheetId="67" r:id="rId70"/>
    <sheet state="visible" name="U80-H3-VS2-17.06.2024" sheetId="68" r:id="rId71"/>
    <sheet state="visible" name="U81-H1-VS2-18.06.2024" sheetId="69" r:id="rId72"/>
    <sheet state="visible" name="U82-H3-VS2-18.06.2024" sheetId="70" r:id="rId73"/>
    <sheet state="visible" name="U83-H1-VS2-19.06.2024" sheetId="71" r:id="rId74"/>
    <sheet state="visible" name="U84-H3-VS2-19.06.2024" sheetId="72" r:id="rId75"/>
    <sheet state="visible" name="U85-H1-VS2-20.06.2024" sheetId="73" r:id="rId76"/>
    <sheet state="visible" name="U86-H3-VS2-20.06.2024" sheetId="74" r:id="rId77"/>
    <sheet state="visible" name="U87-H1-VS2-21062024" sheetId="75" r:id="rId78"/>
    <sheet state="visible" name="U88-H3-VS2-21062024" sheetId="76" r:id="rId79"/>
    <sheet state="visible" name="U90-H3-VS2-24062024" sheetId="77" r:id="rId80"/>
    <sheet state="visible" name="U89-H1-VS2-24062024" sheetId="78" r:id="rId81"/>
    <sheet state="visible" name="U92-H3-VS2-25.06.2024" sheetId="79" r:id="rId82"/>
    <sheet state="visible" name="U93-H1-VS2-26.06.2024" sheetId="80" r:id="rId83"/>
    <sheet state="visible" name="U94-H3-VS2-26.06.2024" sheetId="81" r:id="rId84"/>
    <sheet state="visible" name="U95-H1-VS2-27.06.2024" sheetId="82" r:id="rId85"/>
    <sheet state="visible" name="U98-H3-VS2-28.06.2024" sheetId="83" r:id="rId86"/>
    <sheet state="visible" name="U99-H1-VS2-01.07.2024" sheetId="84" r:id="rId87"/>
    <sheet state="visible" name="U100-H3-VS2-01.07.2024" sheetId="85" r:id="rId88"/>
    <sheet state="visible" name="U101-H1-VS2-01.07.2024" sheetId="86" r:id="rId89"/>
    <sheet state="visible" name="U103-H1-VS2-03.07.2024" sheetId="87" r:id="rId90"/>
    <sheet state="visible" name="U165-H1-VS2-16.08.2024" sheetId="88" r:id="rId91"/>
    <sheet state="visible" name="U167-H1-VS2-19.08.2024" sheetId="89" r:id="rId92"/>
    <sheet state="visible" name="U173-H1-VS2-22.08.2024" sheetId="90" r:id="rId93"/>
    <sheet state="visible" name="U174-H3-VS2-22.08.2024" sheetId="91" r:id="rId94"/>
    <sheet state="visible" name="U175-H1-VS2-23.08.2024" sheetId="92" r:id="rId95"/>
    <sheet state="visible" name="U176-H3-VS2-23.08.2024" sheetId="93" r:id="rId96"/>
  </sheets>
  <definedNames/>
  <calcPr/>
  <extLst>
    <ext uri="GoogleSheetsCustomDataVersion2">
      <go:sheetsCustomData xmlns:go="http://customooxmlschemas.google.com/" r:id="rId97" roundtripDataChecksum="pvcX2iGXbNYl4gVIQy1jLHB5sNY2DbQZsAJq5xPy1kY="/>
    </ext>
  </extLst>
</workbook>
</file>

<file path=xl/sharedStrings.xml><?xml version="1.0" encoding="utf-8"?>
<sst xmlns="http://schemas.openxmlformats.org/spreadsheetml/2006/main" count="1490" uniqueCount="340">
  <si>
    <t>Tên cell: N4</t>
  </si>
  <si>
    <t>27032024-BOD-15-10-Q=49.66mL/phút-1</t>
  </si>
  <si>
    <t>27032024-BOD-10-5-Q=50.45mL/phút-1</t>
  </si>
  <si>
    <t>29032024-BOD-10-5-Q=50.81mL/phút-2</t>
  </si>
  <si>
    <t>29032024-BOD-5-0-Q=50.19mL/phút-1</t>
  </si>
  <si>
    <t>01042024-BOD-15-10-Q=49.88mL/phút-2</t>
  </si>
  <si>
    <t>01042024-BOD-10-5-Q=49.81mL/phút-3</t>
  </si>
  <si>
    <t>01042024-BOD-5-0-Q49.99=mL/phút-2</t>
  </si>
  <si>
    <t>Ngày cấy: 25/03/2024</t>
  </si>
  <si>
    <t>Điều kiện cấy: 11 biochips/400 mL bùn</t>
  </si>
  <si>
    <t>Doin (mV)</t>
  </si>
  <si>
    <t>No.peak</t>
  </si>
  <si>
    <t>DOmin (mV)</t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</si>
  <si>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</si>
  <si>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</si>
  <si>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</si>
  <si>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</si>
  <si>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Noto Sans Symbols"/>
        <color rgb="FF000000"/>
        <sz val="11.0"/>
      </rPr>
      <t>D</t>
    </r>
    <r>
      <rPr>
        <rFont val="Calibri"/>
        <color rgb="FF000000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</si>
  <si>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</si>
  <si>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</si>
  <si>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t xml:space="preserve">                        BOD 100mg/L/ cấy 2 ngày</t>
  </si>
  <si>
    <t>BOD15</t>
  </si>
  <si>
    <t>BOD10</t>
  </si>
  <si>
    <t>BOD5</t>
  </si>
  <si>
    <t>BOD0</t>
  </si>
  <si>
    <t>Tên cell: U1</t>
  </si>
  <si>
    <t>02042024-BOD-20-15-Q=49.83mL/phút-1</t>
  </si>
  <si>
    <t xml:space="preserve"> </t>
  </si>
  <si>
    <t>02042024-BOD-15-10-Q=49.81mL/phút-3</t>
  </si>
  <si>
    <t>02042024-BOD-10-5-Q=49.74mL/phút-4</t>
  </si>
  <si>
    <t>02042024-BOD-5-0-Q=50.01mL/phút-3</t>
  </si>
  <si>
    <t>03042024-BOD-20-15-Q=50.46mL/phút-2</t>
  </si>
  <si>
    <t>03042024-BOD-15-10-Q=50.76mL/phút-4</t>
  </si>
  <si>
    <t>03042024-BOD-10-5-Q=50.41mL/phút-5</t>
  </si>
  <si>
    <t>03042024-BOD-5-0-Q=50.30mL/phút-4</t>
  </si>
  <si>
    <t>04042024-BOD-12.5-7.5-Q=49.9mL/phút-1</t>
  </si>
  <si>
    <t>04042024-BOD-7.5-2.5-Q=49.93mL/phút-1</t>
  </si>
  <si>
    <t>04042024-BOD-2.5-0-Q=49.96mL/phút-1</t>
  </si>
  <si>
    <t>05042024-BOD-17.5-12.5-Q=49.88mL/phút-1</t>
  </si>
  <si>
    <t>05042024-BOD-7.5-2.5-Q=49.84mL/phút-2</t>
  </si>
  <si>
    <t>05042024-BOD-2.5-0-Q=49.63mL/phút-2</t>
  </si>
  <si>
    <t>08042024-BOD-17.5-12.5-Q=50.04mL/phút-2</t>
  </si>
  <si>
    <t>08042024-BOD-12.5-7.5-Q=50mL/phút-2</t>
  </si>
  <si>
    <t>08042024-BOD-7.5-2.5-Q=49.62mL/phút-3</t>
  </si>
  <si>
    <t>08042024-BOD-2.5-0-Q=49.85mL/phút-3</t>
  </si>
  <si>
    <t>Ngày cấy: 26/03/2024</t>
  </si>
  <si>
    <t>Điều kiện cấy: 100 biochips/BOD 100mg/L/ cấy 7 ngày</t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</si>
  <si>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</si>
  <si>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</si>
  <si>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</si>
  <si>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</si>
  <si>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</si>
  <si>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</si>
  <si>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</si>
  <si>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</si>
  <si>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</si>
  <si>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</si>
  <si>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</si>
  <si>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</si>
  <si>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</si>
  <si>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</si>
  <si>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</si>
  <si>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</si>
  <si>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</si>
  <si>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</si>
  <si>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t>BOD20</t>
  </si>
  <si>
    <t>BOD12.5</t>
  </si>
  <si>
    <t>BOD7.5</t>
  </si>
  <si>
    <t>BOD2.5</t>
  </si>
  <si>
    <t>BOD17.5</t>
  </si>
  <si>
    <t>Tên cell: U2</t>
  </si>
  <si>
    <t>09042024-BOD-10-5-Q=49.78mL/phút-6</t>
  </si>
  <si>
    <t>09042024-BOD-5-0-Q=49.76mL/phút-5</t>
  </si>
  <si>
    <t>Ngày cấy: 03/04/2024</t>
  </si>
  <si>
    <t>Điều kiện cấy: 100 biochips/BOD 100mg/L/cấy 6 ngày</t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</si>
  <si>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</si>
  <si>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</si>
  <si>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t>Tên cell: U4</t>
  </si>
  <si>
    <t>U4-20-10-18042024-Q=49.73mL/phút-1</t>
  </si>
  <si>
    <t>U4-10-0-18042024-Q=49.70mL/phút-1</t>
  </si>
  <si>
    <t>U4-12.5-7.5-18042024-Q=49.88mL/phút-1</t>
  </si>
  <si>
    <t>U4-20-10-19042024-Q=50.28mL/phút-2</t>
  </si>
  <si>
    <t>U4-10-0-19042024=50.32mL/phút-2</t>
  </si>
  <si>
    <t>Ngày cấy: 15/04/2024</t>
  </si>
  <si>
    <t>Điều kiện cấy: 100 biochips/BOD 100mg/L/cấy 2 ngày</t>
  </si>
  <si>
    <t>DDO (mV)</t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</si>
  <si>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</si>
  <si>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r>
      <rPr>
        <rFont val="Symbol"/>
        <color theme="1"/>
        <sz val="11.0"/>
      </rPr>
      <t>D</t>
    </r>
    <r>
      <rPr>
        <rFont val="Calibri"/>
        <color theme="1"/>
        <sz val="11.0"/>
      </rPr>
      <t>DO (mV)</t>
    </r>
  </si>
  <si>
    <t>U1-VS2- Ngày cấy: 21/04/2024</t>
  </si>
  <si>
    <t>U1-VS2-20-10-23042024-Q=49.43mL/phút-3</t>
  </si>
  <si>
    <t>Điều kiện cấy: 100 biochips</t>
  </si>
  <si>
    <t xml:space="preserve">                              BOD 100mg/L</t>
  </si>
  <si>
    <r>
      <rPr>
        <rFont val="&quot;Noto Sans Symbols&quot;, Arial"/>
        <color theme="1"/>
        <sz val="11.0"/>
      </rPr>
      <t>D</t>
    </r>
    <r>
      <rPr>
        <rFont val="Calibri"/>
        <color rgb="FF000000"/>
        <sz val="11.0"/>
      </rPr>
      <t>DO (mV)</t>
    </r>
  </si>
  <si>
    <t xml:space="preserve">                              cấy 1 ngày</t>
  </si>
  <si>
    <t>GGA10</t>
  </si>
  <si>
    <t>GGA20</t>
  </si>
  <si>
    <t>U10-VS1- Ngày cấy: 25/04/2024</t>
  </si>
  <si>
    <t>U10-17,5-10-29042024-Q50.18mLmin-1</t>
  </si>
  <si>
    <t>U10-10-0-29042024-Q50.18mLmin-3</t>
  </si>
  <si>
    <t>U10-17.5-10-30042024-Q52.11mLmin-2</t>
  </si>
  <si>
    <t>U10-10-2.5-30042024-Q52.11mLmin-1</t>
  </si>
  <si>
    <r>
      <rPr>
        <rFont val="&quot;Noto Sans Symbols&quot;, Arial"/>
        <color theme="1"/>
        <sz val="11.0"/>
      </rPr>
      <t>D</t>
    </r>
    <r>
      <rPr>
        <rFont val="Calibri"/>
        <color rgb="FF000000"/>
        <sz val="11.0"/>
      </rPr>
      <t>DO (mV)</t>
    </r>
  </si>
  <si>
    <r>
      <rPr>
        <rFont val="&quot;Noto Sans Symbols&quot;, Arial"/>
        <color theme="1"/>
        <sz val="11.0"/>
      </rPr>
      <t>D</t>
    </r>
    <r>
      <rPr>
        <rFont val="Calibri"/>
        <color rgb="FF000000"/>
        <sz val="11.0"/>
      </rPr>
      <t>DO (mV)</t>
    </r>
  </si>
  <si>
    <r>
      <rPr>
        <rFont val="Arial"/>
        <color theme="1"/>
        <sz val="11.0"/>
      </rPr>
      <t>D</t>
    </r>
    <r>
      <rPr>
        <rFont val="Arial"/>
        <color rgb="FF000000"/>
        <sz val="11.0"/>
      </rPr>
      <t>DO (mV)</t>
    </r>
  </si>
  <si>
    <r>
      <rPr>
        <rFont val="Arial"/>
        <color theme="1"/>
        <sz val="11.0"/>
      </rPr>
      <t>D</t>
    </r>
    <r>
      <rPr>
        <rFont val="Arial"/>
        <color rgb="FF000000"/>
        <sz val="11.0"/>
      </rPr>
      <t>DO (mV)</t>
    </r>
  </si>
  <si>
    <t xml:space="preserve">                              cấy 4 ngày</t>
  </si>
  <si>
    <t>GGA17,5</t>
  </si>
  <si>
    <t>GGA0</t>
  </si>
  <si>
    <t>U4-VS2- Ngày cấy: 26/04/2024</t>
  </si>
  <si>
    <t>U4-VS2-17.5-10-01052024-Q=50.16mL/phút-3</t>
  </si>
  <si>
    <t>U4-VS2-10-2.5-01052024-Q=50.17mL/phút-3</t>
  </si>
  <si>
    <t>BOD 100mg/L</t>
  </si>
  <si>
    <t>cấy 4 ngày</t>
  </si>
  <si>
    <t>GGA17.5</t>
  </si>
  <si>
    <t>GGA2.5</t>
  </si>
  <si>
    <t>U11-VS1- Ngày cấy: 29/04/2024</t>
  </si>
  <si>
    <t>U11-VS1-10-2.5-02052024-Q=50.17mL/phút-3</t>
  </si>
  <si>
    <t>U11-VS1-12.5-5-02052024-Q=49.92mL/phút-1</t>
  </si>
  <si>
    <t>cấy 2 ngày</t>
  </si>
  <si>
    <t>GGA12.5</t>
  </si>
  <si>
    <t>GGA5</t>
  </si>
  <si>
    <t>U6-VS2- Ngày cấy: 03/05/2024</t>
  </si>
  <si>
    <t>U6-VS2-12.5-5-05052024-Q=49.12mLphut-2</t>
  </si>
  <si>
    <t>U7-VS2- Ngày cấy: 03/05/2024</t>
  </si>
  <si>
    <t>U7-VS2-12.5-2.5-05052024-Q=49.81mLphut-1</t>
  </si>
  <si>
    <t>U8-VS2- Ngày cấy: 03/05/2024</t>
  </si>
  <si>
    <t>U8-VS2-12.5-0-06052024-Q=51.36mL/phút-1</t>
  </si>
  <si>
    <t>cấy 3 ngày</t>
  </si>
  <si>
    <t>U10-VS2- Ngày cấy: 06/05/2024</t>
  </si>
  <si>
    <t>U10-VS2-12.5-10-07052024-Q=49.84mL/phút-1</t>
  </si>
  <si>
    <t>U10-VS2-20-12.5-07052024-Q=51.44mL/phút-1</t>
  </si>
  <si>
    <t>cấy 1 ngày</t>
  </si>
  <si>
    <t>U12-VS2- Ngày cấy: 07/05/2024</t>
  </si>
  <si>
    <t>U12-VS2-20-12.5-08052024-Q=49.28mL/phút-2</t>
  </si>
  <si>
    <t>U13-VS2- Ngày cấy: 07/05/2024</t>
  </si>
  <si>
    <t>U13-VS2-20-12.5-08052024-Q=39.28mL/phút-3</t>
  </si>
  <si>
    <t>U15-VS2- Ngày cấy: 08/05/2024</t>
  </si>
  <si>
    <t>U15-VS2-17.5-7.5-09052024-Q=51.44mL/phút-3</t>
  </si>
  <si>
    <t>GGA7.5</t>
  </si>
  <si>
    <t>U16-VS2- Ngày cấy: 08/05/2024</t>
  </si>
  <si>
    <t>U16-VS2-12.5-10-09052024-Q=49.88mL/phút-1</t>
  </si>
  <si>
    <t>U18-VS2- Ngày cấy: 09/05/2024</t>
  </si>
  <si>
    <t>U18-VS2-15-7.5-10052024-Q=49.38mL/phút-1</t>
  </si>
  <si>
    <t>GGA15</t>
  </si>
  <si>
    <t>U19-VS2- Ngày cấy: 02/05/2024</t>
  </si>
  <si>
    <t>U19-VS2-12.5-10-12052024-Q=50.76mLphut-3</t>
  </si>
  <si>
    <t>U19-VS2-15-7.5-12052024-Q=50.56mLphut-2</t>
  </si>
  <si>
    <t>DeltaDO (mV)</t>
  </si>
  <si>
    <t>BOD 7.5</t>
  </si>
  <si>
    <t>U20-VS2- Ngày cấy: 10/05/2024</t>
  </si>
  <si>
    <t>U20-VS2-15-7.5-12052024-Q=40.11mLphut-3</t>
  </si>
  <si>
    <t>U20-VS2-12.5-2.5-12052024-Q=40.23mLphut-2</t>
  </si>
  <si>
    <t>Delta DO</t>
  </si>
  <si>
    <t>BOD 15</t>
  </si>
  <si>
    <t>BOD 12.5</t>
  </si>
  <si>
    <t>BOD 2.5</t>
  </si>
  <si>
    <t>U21-VS2- Ngày cấy: 12/05/2024</t>
  </si>
  <si>
    <t>U21-VS2-20-7.5-13052024-Q=49.52mLphut-2</t>
  </si>
  <si>
    <t>U21-VS2-17,5-7.5-13052024-Q=49.77mLphut-2</t>
  </si>
  <si>
    <t>BOD 17.5</t>
  </si>
  <si>
    <t>U22-VS2- Ngày cấy: 12/05/2024</t>
  </si>
  <si>
    <t>U22-VS2-20-7.5-13052024-Q=40.11mLphut-1</t>
  </si>
  <si>
    <t>U22-VS2-7.5-0-13052024-Q=39.58mLphut-1</t>
  </si>
  <si>
    <t>BOD 20</t>
  </si>
  <si>
    <t>BOD 0</t>
  </si>
  <si>
    <t>U23-VS2- Ngày cấy: 12/05/2024</t>
  </si>
  <si>
    <t>U23-H1-VS2-20-12.5-14052024-Q=50.6mL/phút-3</t>
  </si>
  <si>
    <t>U23-H1-VS2-12.5-0-14052024-Q=51.44mL/phút-2</t>
  </si>
  <si>
    <t>U25-VS2- Ngày cấy: 13/05/2024</t>
  </si>
  <si>
    <t>U25-H1-20-7.5-15052024-Q=50.72mL/phút-3</t>
  </si>
  <si>
    <t>U25-H1-VS2-12.5-0-15052024-Q=50.88mL/phút-3</t>
  </si>
  <si>
    <t>U27-VS2- Ngày cấy: 14/05/2024</t>
  </si>
  <si>
    <t>U27-H1-VS2-7.5-0-16052024-Q=51.72mL/phút-2</t>
  </si>
  <si>
    <t>U28-VS2- Ngày cấy: 14/05/2024</t>
  </si>
  <si>
    <t>U28-H2-VS2-17.5-15-16052024-Q=40.3mL/phút-2</t>
  </si>
  <si>
    <t>U29-VS2- Ngày cấy: 15/05/2024</t>
  </si>
  <si>
    <t>U29-H1-VS2-20-7.5-17052024-Q=50.18mL/phút-4</t>
  </si>
  <si>
    <t>U29-H1-VS2-12.5-2.5-17052024-Q=50.42mL/phút-3</t>
  </si>
  <si>
    <t>U30-VS2- Ngày cấy: 15/05/2024</t>
  </si>
  <si>
    <t>U30-H2-VS2-20-7.5-17052024-Q=41.2mL/phút-4</t>
  </si>
  <si>
    <t>U31-VS2- Ngày cấy: 18/05/2024</t>
  </si>
  <si>
    <t>U31-H1-VS2-17.5-12.5-20052024-Q=50.64mL-phút-4</t>
  </si>
  <si>
    <t>U33-VS2- Ngày cấy: 18/05/2024</t>
  </si>
  <si>
    <t>U33-H1-VS2-17.5-2.5-21052024-Q=49.86mL-phút-1</t>
  </si>
  <si>
    <t>U33-H1-VS2-7.5-0-21052024-Q=48.82mL-phút-3</t>
  </si>
  <si>
    <t>U34-VS2- Ngày cấy: 18/05/2024</t>
  </si>
  <si>
    <t>U34-H2-VS2-17.5-2.5-21052024-Q=39.14mL-phút-2</t>
  </si>
  <si>
    <t>U35-VS2- Ngày cấy: 20/05/2024</t>
  </si>
  <si>
    <t>U35-H1-VS2-17.5-2.5-22052024-Q=48.38mL-phút-3</t>
  </si>
  <si>
    <t>U36-VS2- Ngày cấy: 20/05/2024</t>
  </si>
  <si>
    <t>U36-H2-VS2-20-5-22052024-Q=40.52mL-phút-1</t>
  </si>
  <si>
    <t>U37-VS2- Ngày cấy: 21/05/2024</t>
  </si>
  <si>
    <t>U37-H1-VS2-20-5-23052024-Q=50.12mL-phút-2</t>
  </si>
  <si>
    <t>U37-H1-VS2-15-2.5-23052024-Q=50.04mL-phút-1</t>
  </si>
  <si>
    <t>U39-VS2- Ngày cấy: 22/05/2024</t>
  </si>
  <si>
    <t>U39-H1-VS2-15-2.5-24052024-Q=49.78mL-phút-2</t>
  </si>
  <si>
    <t>U39-H1-VS2-17.5-7.5-24052024-Q=51.74mL-phút-1</t>
  </si>
  <si>
    <t>U40-VS2- Ngày cấy: 22/05/2024</t>
  </si>
  <si>
    <t>U40-H2-VS2-15-2.5-24052024-Q=40.72mL-phút-3</t>
  </si>
  <si>
    <t>U41-VS2- Ngày cấy: 24/05/2024</t>
  </si>
  <si>
    <t>U41-h1-VS2-17.5-7.5-26052024-Q=49.83mLphut-2</t>
  </si>
  <si>
    <t>U42-VS2- Ngày cấy: 24/05/2024</t>
  </si>
  <si>
    <t>U42-h2-VS2-17.5-7.5-26052024-Q=39.54mLphut-3</t>
  </si>
  <si>
    <t>U43-VS2- Ngày cấy: 24/05/2024</t>
  </si>
  <si>
    <t>U43-H1-VS2-15-5-27052024-Q=49.80mL-phút-1</t>
  </si>
  <si>
    <t>U43-H1-VS2-20-2.5-27052024-Q=50.56mL-phút-1</t>
  </si>
  <si>
    <t>U44-VS2- Ngày cấy: 24/05/2024</t>
  </si>
  <si>
    <t>U44-H2-VS2-15-7.5-27052024-Q=40.2mL-phút-4</t>
  </si>
  <si>
    <t>U45-VS2- Ngày cấy: 26/05/2024</t>
  </si>
  <si>
    <t>U45-H1-VS2-20-2.5-28052024-Q=48.92mL-phút-2</t>
  </si>
  <si>
    <t>U46-VS2- Ngày cấy: 26/05/2024</t>
  </si>
  <si>
    <t>U46-H2-VS2-10-2.5-28052024-Q=38.96mL-phút-4</t>
  </si>
  <si>
    <t>U46-H2-VS2-17.5-7.5-28052024-Q=40.28mL-phút-3</t>
  </si>
  <si>
    <t>U47-VS2- Ngày cấy: 27/05/2024</t>
  </si>
  <si>
    <t>U47-H1-VS2-15-2.5-29052024-Q=50.48mL-phút-4</t>
  </si>
  <si>
    <t>U47-H1-VS2-20-2.5-29052024-Q=49.44mL-phút-3</t>
  </si>
  <si>
    <t>U48-VS2- Ngày cấy: 27/05/2024</t>
  </si>
  <si>
    <t>U48-H2-VS2-15-5-29052024-Q=36.56mL-phút-2</t>
  </si>
  <si>
    <t>U49-VS2- Ngày cấy: 28/05/2024</t>
  </si>
  <si>
    <t>U49-H1-VS2-17.5-5-30052024-Q=51.08mL-phút-1</t>
  </si>
  <si>
    <t>U49-H1-VS2-17.5-7.5-30052024-Q=50.28mL-phút-5</t>
  </si>
  <si>
    <t>U50-VS2- Ngày cấy: 28/05/2024</t>
  </si>
  <si>
    <t>U50-H2-VS2-15-5-30052024-Q=43.02mL-phút-3</t>
  </si>
  <si>
    <t>U51-VS2- Ngày cấy: 29/05/2024</t>
  </si>
  <si>
    <t>U51-H1-VS2-17.5-5-31052024-Q=49.62mL-phút-2</t>
  </si>
  <si>
    <t>U52-VS2- Ngày cấy: 28/05/2024</t>
  </si>
  <si>
    <t>U52-H2-VS2-17.5-5-31052024-Q=41.04mL-phút-3</t>
  </si>
  <si>
    <t>U53-VS2- Ngày cấy: 30/05/2024</t>
  </si>
  <si>
    <t>U53-H1-VS2-15-0-03062024-Q=49.8mL-phút-1</t>
  </si>
  <si>
    <t>U54-VS2- Ngày cấy: 31/05/2024</t>
  </si>
  <si>
    <t>U54-H3-VS2-12.5-7.5-03062024-Q=50.26mL-phút-3</t>
  </si>
  <si>
    <t>U55-VS2- Ngày cấy: 31/05/2024</t>
  </si>
  <si>
    <t>U55-H1-VS2-15-0-04062024-Q=51.44mL-phút-1</t>
  </si>
  <si>
    <t>U57-VS2- Ngày cấy: 03/06/2024</t>
  </si>
  <si>
    <t>U57-H1-12.5-2.5-L-05062024-Q=50.2mL-phút-4</t>
  </si>
  <si>
    <t>U59-VS2- Ngày cấy: 04/06/2024</t>
  </si>
  <si>
    <t>U59-H1-VS2-12.5-2.5-06062024-Q=49.54mL-phút-4</t>
  </si>
  <si>
    <t>U61-VS2- Ngày cấy: 05/06/2024</t>
  </si>
  <si>
    <t>U61-H1-VS2-12.5-5-07062024-Q=50.84mL-phút-4</t>
  </si>
  <si>
    <t>U62-VS2- Ngày cấy: 05/06/2024</t>
  </si>
  <si>
    <t>U62-H3-VS2-15-0-07062024-Q=51.16mL-phút-3</t>
  </si>
  <si>
    <t>U63-VS2- Ngày cấy: 06/06/2024</t>
  </si>
  <si>
    <t>U63-H1-VS2-12.5-7.5-10062024-Q=50.54mL-phút-4</t>
  </si>
  <si>
    <t>U63-H1-VS2-15-0-10062024-Q=50.28mL-phút-4</t>
  </si>
  <si>
    <t>U65-VS2- Ngày cấy: 07/06/2024</t>
  </si>
  <si>
    <t>U65-H1-VS2-15-5-1162024-Q=50.34mL-phút-5</t>
  </si>
  <si>
    <t>U65-H1-VS2-17.5-0-1162024-Q=50.96mL-phút-1</t>
  </si>
  <si>
    <t>U67-VS2- Ngày cấy: 10/06/2024</t>
  </si>
  <si>
    <t>U67-H1-VS2-17.5-2.5-12062024-Q=50.24mL-phút-4</t>
  </si>
  <si>
    <t>U69-VS2- Ngày cấy: 11/06/2024</t>
  </si>
  <si>
    <t>U69-H1-VS2-20-15-13062024-Q=50.10mL-phút-4</t>
  </si>
  <si>
    <t>U69-H1-VS2-17.5-0-13062024-Q=50.6mL-phút-2</t>
  </si>
  <si>
    <t>U71-VS2- Ngày cấy: 12/06/2024</t>
  </si>
  <si>
    <t>U71-H1-VS2-17.5-0-14062024-Q=50.2mL-phút-3</t>
  </si>
  <si>
    <t>U72-VS2- Ngày cấy: 12/06/2024</t>
  </si>
  <si>
    <t>U72-H3-VS2-17.5-0-14062024-Q=50.36mL-phút-4</t>
  </si>
  <si>
    <t>U73-VS2- Ngày cấy: 14/06/2024</t>
  </si>
  <si>
    <t>U73-H1-VS2-20-15-16062024-Q=49.88mLphut-5</t>
  </si>
  <si>
    <t>U74-VS2- Ngày cấy: 14/06/2024</t>
  </si>
  <si>
    <t>U74-H3-VS2-17.5-12.5-16062024-Q=50.42mLphut-4</t>
  </si>
  <si>
    <t>U74-H3-VS2-17.5-12.5-16062024-Q=50.14mLphut-5</t>
  </si>
  <si>
    <t>U75-VS2- Ngày cấy: 14/06/2024</t>
  </si>
  <si>
    <t>U75-H1-VS2-20-12.5-17062024-Q=50.36mL-phút-4</t>
  </si>
  <si>
    <t>U75-H1-VS2-10-0-17062024-Q=49.88mL-phút-4</t>
  </si>
  <si>
    <t>U76-VS2- Ngày cấy: 14/06/2024</t>
  </si>
  <si>
    <t>U76-H3-VS2-10-0-17062024-Q=50.92mL-phút-5</t>
  </si>
  <si>
    <t>U77-VS2- Ngày cấy: 16/06/2024</t>
  </si>
  <si>
    <t>U77-H1-VS2-17.5-5-18062024-Q=50.02mL-phút-4</t>
  </si>
  <si>
    <t>U78-VS2- Ngày cấy: 16/06/2024</t>
  </si>
  <si>
    <t>U78-H3-VS2-2.5-0-17062024-Q=49.68mL-phút-4</t>
  </si>
  <si>
    <t>U79-VS2- Ngày cấy: 17/06/2024</t>
  </si>
  <si>
    <t>U79-H1-VS2-20-12.5-19062024-Q=50.2mL-phút-3</t>
  </si>
  <si>
    <t>U79-H1-VS2-20-10-19062024-Q=50.22mL-phút-4</t>
  </si>
  <si>
    <t>U80-VS2- Ngày cấy: 17/06/2024</t>
  </si>
  <si>
    <t>U80-H3-VS2-20-10-19062024-Q=51.06mL-phút-5</t>
  </si>
  <si>
    <t>U81-VS2- Ngày cấy: 18/06/2024</t>
  </si>
  <si>
    <t>U81-H1-VS2-20-5-20062024-Q=50.28mL-phút-4</t>
  </si>
  <si>
    <t>U81-H1-VS2-20-0-20062024-Q=51.08mL-phút-1</t>
  </si>
  <si>
    <t>U82-VS2- Ngày cấy: 18/06/2024</t>
  </si>
  <si>
    <t>U82-H3-VS2-20-5-20062024-Q=50.92mL-phút-5</t>
  </si>
  <si>
    <t>U83-VS2- Ngày cấy: 19/06/2024</t>
  </si>
  <si>
    <t>U83-H1-VS2-17.5-5-L-21062024-Q=50.38mL-phút-5</t>
  </si>
  <si>
    <t>U84-VS2- Ngày cấy: 19/06/2024</t>
  </si>
  <si>
    <t>U84-H3-VS2-20-2.5-21062024-Q=50.58mL-phút-4</t>
  </si>
  <si>
    <t>U85-VS2- Ngày cấy: 20/06/2024</t>
  </si>
  <si>
    <t>U85-H1-VS2-15-5-24062024-Q=49.8mL-phút-5</t>
  </si>
  <si>
    <t>U85-H1-VS2-20-0-24062024-Q=50.2mL-phút-2</t>
  </si>
  <si>
    <t>U86-VS2- Ngày cấy: 20/06/2024</t>
  </si>
  <si>
    <t>U86-H3-VS2-20-2.5-24062024-Q=49.8mL-phút-5</t>
  </si>
  <si>
    <t>U87-VS2- Ngày cấy: 21/06/2024</t>
  </si>
  <si>
    <t>U87-H1-VS2-15-5-25062024-Q=49,33mLphut-5</t>
  </si>
  <si>
    <t>U87-H1-VS2-15-0-25062024-Q=49,58mLphut-5</t>
  </si>
  <si>
    <t>Doin</t>
  </si>
  <si>
    <t>No-peak</t>
  </si>
  <si>
    <t>DOmin</t>
  </si>
  <si>
    <t>Hpeak</t>
  </si>
  <si>
    <t>U88-VS2- Ngày cấy: 21/06/2024</t>
  </si>
  <si>
    <t>U88-H3-VS2-7.5-2.5-25062024-Q=51.14mLphut-4</t>
  </si>
  <si>
    <t>U90-VS2- Ngày cấy: 24/06/2024</t>
  </si>
  <si>
    <t>U90-H3-VS2-17,5-10-26062024-Q=51.52mLphut-5</t>
  </si>
  <si>
    <t>U90-H3-VS2-10-2.5-26062024-Q=51.44mLphut-5</t>
  </si>
  <si>
    <t>c</t>
  </si>
  <si>
    <t>U89-VS2- Ngày cấy: 24/06/2024</t>
  </si>
  <si>
    <t>U89-H1-VS2-12.5-5-26062024-Q=49.63mLphut-5</t>
  </si>
  <si>
    <t>U89-H1-VS2-17,5-10-26062024-Q=50.09mLphut-4</t>
  </si>
  <si>
    <t>U92-VS2- Ngày cấy: 25/06/2024</t>
  </si>
  <si>
    <t>U92-H3-VS2-17.5-2.5-27062024-Q=50.14mL-phút-5</t>
  </si>
  <si>
    <t>U93-VS2- Ngày cấy: 26/06/2024</t>
  </si>
  <si>
    <t>U93-H1-VS2-20-0-28062024-Q=50.66mL-phút-3</t>
  </si>
  <si>
    <t>U94-VS2- Ngày cấy: 26/06/2024</t>
  </si>
  <si>
    <t>U94-H3-VS2-20-0-28062024-Q=49.72mL-phút-4</t>
  </si>
  <si>
    <t>U95-VS2- Ngày cấy: 27/06/2024</t>
  </si>
  <si>
    <t>U95-H1-VS2-7.5-0-01072024-Q=49.24mL-phút-4</t>
  </si>
  <si>
    <t>U98-VS2- Ngày cấy: 28/06/2024</t>
  </si>
  <si>
    <t>U98-H3-VS2-12.5-0-02072024-Q=51.2mL-phút-4</t>
  </si>
  <si>
    <t>U99-VS2- Ngày cấy: 01/07/2024</t>
  </si>
  <si>
    <t>U99-H1-VS2-12.5-0-03072024-Q=48.8mL-phút-5</t>
  </si>
  <si>
    <t>U100-VS2- Ngày cấy: 01/07/2024</t>
  </si>
  <si>
    <t>U100-H3-VS2-7.5-2.5-03072024-Q=50.66mL-phút-5</t>
  </si>
  <si>
    <t>U100-H3-VS2-15-7.5-03072024-Q=50.21mL-phút-5</t>
  </si>
  <si>
    <t>U101-VS2- Ngày cấy: 02/07/2024</t>
  </si>
  <si>
    <t>U101-H1-VS2-20-0-04072024-Q=50.2mL-phút-5</t>
  </si>
  <si>
    <t>U103-VS2- Ngày cấy: 03/07/2024</t>
  </si>
  <si>
    <t>U103-H1-VS2-7.5-0-05072024-Q=50.34mL-phút-5</t>
  </si>
  <si>
    <t>U165-VS2- Ngày cấy: 16/08/2024</t>
  </si>
  <si>
    <t>U165-H1-VS2-12.5-7.5-20082024-Q=49.44mL-phút-5</t>
  </si>
  <si>
    <t>U167-VS2- Ngày cấy: 19/08/2024</t>
  </si>
  <si>
    <t>U167-H1-VS2-15-7.5-21082024-Q=49.92mL-phút-5</t>
  </si>
  <si>
    <t>U173-VS2- Ngày cấy: 22/08/2024</t>
  </si>
  <si>
    <t>U173-H1-VS2-15-2.5-26082024-Q=49.84mL-phút-5</t>
  </si>
  <si>
    <t>U174-VS2- Ngày cấy: 22/08/2024</t>
  </si>
  <si>
    <t>U174-H3-VS2-20-2.5-26082024-Q=49.88mL-phút-6</t>
  </si>
  <si>
    <t>U174-H3-VS2-2.5-0-26082024-Q=49.2mL-phút-5</t>
  </si>
  <si>
    <t>U175-VS2- Ngày cấy: 23/08/2024</t>
  </si>
  <si>
    <t>U175-H1-VS2-17.5-2.5-27082024-Q=50.02mL-phút-7</t>
  </si>
  <si>
    <t>U175-H1-VS2-15-2.5-27082024-Q=49.78mL-phút-5</t>
  </si>
  <si>
    <t>U175-H1-VS2-17.5-2.5-27082024-Q=50.2mL-phút-5</t>
  </si>
  <si>
    <t>U176-VS2- Ngày cấy: 23/08/2024</t>
  </si>
  <si>
    <t>U176-H3-VS2-20-5-27082024-Q=49.74mL-phút-6</t>
  </si>
  <si>
    <t>U176-H3-VS2-15-5-27082024-Q=50.2mL-phút-6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</si>
</sst>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2.0"/>
      <color theme="1"/>
      <name val="Times New Roman"/>
      <scheme val="minor"/>
    </font>
    <font>
      <sz val="12.0"/>
      <color rgb="FFFF0000"/>
      <name val="Times New Roman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sz val="11.0"/>
      <color rgb="FF000000"/>
      <name val="Noto Sans Symbols"/>
    </font>
    <font>
      <sz val="11.0"/>
      <color rgb="FF000000"/>
      <name val="Calibri"/>
    </font>
    <font>
      <color theme="1"/>
      <name val="Times New Roman"/>
      <scheme val="minor"/>
    </font>
    <font>
      <sz val="11.0"/>
      <color rgb="FFFF0000"/>
      <name val="Calibri"/>
    </font>
    <font>
      <sz val="11.0"/>
      <color theme="1"/>
      <name val="Noto Sans Symbols"/>
    </font>
    <font>
      <sz val="11.0"/>
      <color theme="1"/>
      <name val="Arial"/>
    </font>
    <font>
      <sz val="12.0"/>
      <color theme="1"/>
      <name val="Arial"/>
    </font>
    <font>
      <sz val="12.0"/>
      <color rgb="FFFF0000"/>
      <name val="TimesNewRomanPSMT"/>
    </font>
    <font>
      <sz val="11.0"/>
      <color rgb="FF000000"/>
      <name val="Symbol"/>
    </font>
    <font>
      <sz val="12.0"/>
      <color rgb="FF000000"/>
      <name val="&quot;Times New Roman&quot;"/>
    </font>
    <font>
      <sz val="12.0"/>
      <color rgb="FFFF0000"/>
      <name val="Arial"/>
    </font>
    <font>
      <sz val="12.0"/>
      <color theme="1"/>
      <name val="&quot;Times New Roman&quot;"/>
    </font>
    <font>
      <sz val="11.0"/>
      <color theme="1"/>
      <name val="Symbol"/>
    </font>
    <font>
      <sz val="12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000000"/>
      <name val="&quot;Times New Roman&quot;"/>
    </font>
  </fonts>
  <fills count="1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1" fillId="3" fontId="4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4" fillId="0" fontId="2" numFmtId="0" xfId="0" applyBorder="1" applyFont="1"/>
    <xf borderId="4" fillId="0" fontId="5" numFmtId="0" xfId="0" applyBorder="1" applyFont="1"/>
    <xf borderId="4" fillId="0" fontId="4" numFmtId="0" xfId="0" applyBorder="1" applyFont="1"/>
    <xf borderId="5" fillId="0" fontId="4" numFmtId="0" xfId="0" applyBorder="1" applyFont="1"/>
    <xf borderId="5" fillId="0" fontId="6" numFmtId="0" xfId="0" applyBorder="1" applyFont="1"/>
    <xf borderId="0" fillId="0" fontId="2" numFmtId="0" xfId="0" applyFont="1"/>
    <xf borderId="4" fillId="4" fontId="7" numFmtId="0" xfId="0" applyAlignment="1" applyBorder="1" applyFill="1" applyFont="1">
      <alignment horizontal="right" readingOrder="0" shrinkToFit="0" vertical="bottom" wrapText="0"/>
    </xf>
    <xf borderId="5" fillId="4" fontId="7" numFmtId="0" xfId="0" applyAlignment="1" applyBorder="1" applyFont="1">
      <alignment horizontal="right" readingOrder="0" shrinkToFit="0" vertical="bottom" wrapText="0"/>
    </xf>
    <xf borderId="4" fillId="4" fontId="2" numFmtId="0" xfId="0" applyBorder="1" applyFont="1"/>
    <xf borderId="6" fillId="4" fontId="4" numFmtId="0" xfId="0" applyBorder="1" applyFont="1"/>
    <xf borderId="7" fillId="4" fontId="4" numFmtId="0" xfId="0" applyBorder="1" applyFont="1"/>
    <xf borderId="8" fillId="4" fontId="7" numFmtId="0" xfId="0" applyAlignment="1" applyBorder="1" applyFont="1">
      <alignment horizontal="right" readingOrder="0" shrinkToFit="0" vertical="bottom" wrapText="0"/>
    </xf>
    <xf borderId="9" fillId="4" fontId="7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readingOrder="0"/>
    </xf>
    <xf borderId="8" fillId="5" fontId="7" numFmtId="0" xfId="0" applyAlignment="1" applyBorder="1" applyFill="1" applyFont="1">
      <alignment horizontal="right" readingOrder="0" shrinkToFit="0" vertical="bottom" wrapText="0"/>
    </xf>
    <xf borderId="9" fillId="5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9" fillId="0" fontId="7" numFmtId="0" xfId="0" applyAlignment="1" applyBorder="1" applyFont="1">
      <alignment horizontal="right" readingOrder="0" shrinkToFit="0" vertical="bottom" wrapText="0"/>
    </xf>
    <xf borderId="8" fillId="0" fontId="4" numFmtId="0" xfId="0" applyBorder="1" applyFont="1"/>
    <xf borderId="9" fillId="0" fontId="4" numFmtId="0" xfId="0" applyBorder="1" applyFont="1"/>
    <xf borderId="4" fillId="4" fontId="7" numFmtId="0" xfId="0" applyBorder="1" applyFont="1"/>
    <xf borderId="10" fillId="4" fontId="7" numFmtId="0" xfId="0" applyBorder="1" applyFont="1"/>
    <xf borderId="11" fillId="4" fontId="7" numFmtId="0" xfId="0" applyAlignment="1" applyBorder="1" applyFont="1">
      <alignment horizontal="right" readingOrder="0" shrinkToFit="0" vertical="bottom" wrapText="0"/>
    </xf>
    <xf borderId="12" fillId="4" fontId="7" numFmtId="0" xfId="0" applyAlignment="1" applyBorder="1" applyFont="1">
      <alignment horizontal="right" readingOrder="0" shrinkToFit="0" vertical="bottom" wrapText="0"/>
    </xf>
    <xf borderId="6" fillId="4" fontId="7" numFmtId="0" xfId="0" applyBorder="1" applyFont="1"/>
    <xf borderId="7" fillId="4" fontId="7" numFmtId="0" xfId="0" applyBorder="1" applyFont="1"/>
    <xf borderId="13" fillId="4" fontId="2" numFmtId="0" xfId="0" applyBorder="1" applyFont="1"/>
    <xf borderId="8" fillId="0" fontId="7" numFmtId="0" xfId="0" applyBorder="1" applyFont="1"/>
    <xf borderId="9" fillId="0" fontId="7" numFmtId="0" xfId="0" applyBorder="1" applyFont="1"/>
    <xf borderId="11" fillId="0" fontId="7" numFmtId="0" xfId="0" applyAlignment="1" applyBorder="1" applyFont="1">
      <alignment horizontal="right" readingOrder="0" shrinkToFit="0" vertical="bottom" wrapText="0"/>
    </xf>
    <xf borderId="8" fillId="4" fontId="7" numFmtId="0" xfId="0" applyBorder="1" applyFont="1"/>
    <xf borderId="9" fillId="4" fontId="7" numFmtId="0" xfId="0" applyBorder="1" applyFont="1"/>
    <xf borderId="4" fillId="0" fontId="7" numFmtId="0" xfId="0" applyAlignment="1" applyBorder="1" applyFont="1">
      <alignment horizontal="right" readingOrder="0" shrinkToFit="0" vertical="bottom" wrapText="0"/>
    </xf>
    <xf borderId="1" fillId="3" fontId="4" numFmtId="0" xfId="0" applyAlignment="1" applyBorder="1" applyFont="1">
      <alignment horizontal="center"/>
    </xf>
    <xf borderId="14" fillId="0" fontId="4" numFmtId="0" xfId="0" applyBorder="1" applyFont="1"/>
    <xf borderId="6" fillId="4" fontId="4" numFmtId="0" xfId="0" applyAlignment="1" applyBorder="1" applyFont="1">
      <alignment horizontal="right"/>
    </xf>
    <xf borderId="7" fillId="4" fontId="4" numFmtId="0" xfId="0" applyAlignment="1" applyBorder="1" applyFont="1">
      <alignment horizontal="right"/>
    </xf>
    <xf borderId="15" fillId="4" fontId="4" numFmtId="0" xfId="0" applyAlignment="1" applyBorder="1" applyFont="1">
      <alignment horizontal="right"/>
    </xf>
    <xf borderId="5" fillId="0" fontId="2" numFmtId="0" xfId="0" applyBorder="1" applyFont="1"/>
    <xf borderId="4" fillId="6" fontId="2" numFmtId="0" xfId="0" applyBorder="1" applyFill="1" applyFont="1"/>
    <xf borderId="13" fillId="4" fontId="4" numFmtId="0" xfId="0" applyAlignment="1" applyBorder="1" applyFont="1">
      <alignment horizontal="right"/>
    </xf>
    <xf borderId="4" fillId="4" fontId="4" numFmtId="0" xfId="0" applyAlignment="1" applyBorder="1" applyFont="1">
      <alignment horizontal="right"/>
    </xf>
    <xf borderId="8" fillId="0" fontId="4" numFmtId="0" xfId="0" applyAlignment="1" applyBorder="1" applyFont="1">
      <alignment horizontal="right"/>
    </xf>
    <xf borderId="9" fillId="0" fontId="4" numFmtId="0" xfId="0" applyAlignment="1" applyBorder="1" applyFont="1">
      <alignment horizontal="right"/>
    </xf>
    <xf borderId="16" fillId="0" fontId="4" numFmtId="0" xfId="0" applyAlignment="1" applyBorder="1" applyFont="1">
      <alignment horizontal="right"/>
    </xf>
    <xf borderId="1" fillId="3" fontId="5" numFmtId="0" xfId="0" applyAlignment="1" applyBorder="1" applyFont="1">
      <alignment horizontal="center"/>
    </xf>
    <xf borderId="16" fillId="0" fontId="2" numFmtId="0" xfId="0" applyBorder="1" applyFont="1"/>
    <xf borderId="0" fillId="0" fontId="9" numFmtId="0" xfId="0" applyFont="1"/>
    <xf borderId="12" fillId="0" fontId="2" numFmtId="0" xfId="0" applyBorder="1" applyFont="1"/>
    <xf borderId="9" fillId="0" fontId="5" numFmtId="0" xfId="0" applyBorder="1" applyFont="1"/>
    <xf borderId="9" fillId="0" fontId="10" numFmtId="0" xfId="0" applyBorder="1" applyFont="1"/>
    <xf borderId="12" fillId="0" fontId="5" numFmtId="0" xfId="0" applyBorder="1" applyFont="1"/>
    <xf borderId="7" fillId="7" fontId="2" numFmtId="0" xfId="0" applyAlignment="1" applyBorder="1" applyFill="1" applyFont="1">
      <alignment horizontal="right"/>
    </xf>
    <xf borderId="1" fillId="6" fontId="5" numFmtId="0" xfId="0" applyAlignment="1" applyBorder="1" applyFont="1">
      <alignment horizontal="center"/>
    </xf>
    <xf borderId="17" fillId="6" fontId="2" numFmtId="0" xfId="0" applyBorder="1" applyFont="1"/>
    <xf borderId="4" fillId="0" fontId="10" numFmtId="0" xfId="0" applyBorder="1" applyFont="1"/>
    <xf borderId="9" fillId="0" fontId="11" numFmtId="0" xfId="0" applyBorder="1" applyFont="1"/>
    <xf borderId="0" fillId="0" fontId="12" numFmtId="0" xfId="0" applyFont="1"/>
    <xf borderId="4" fillId="0" fontId="11" numFmtId="0" xfId="0" applyBorder="1" applyFont="1"/>
    <xf borderId="7" fillId="6" fontId="2" numFmtId="0" xfId="0" applyAlignment="1" applyBorder="1" applyFont="1">
      <alignment horizontal="right"/>
    </xf>
    <xf borderId="0" fillId="0" fontId="5" numFmtId="0" xfId="0" applyFont="1"/>
    <xf borderId="7" fillId="6" fontId="12" numFmtId="0" xfId="0" applyAlignment="1" applyBorder="1" applyFont="1">
      <alignment horizontal="right"/>
    </xf>
    <xf borderId="0" fillId="0" fontId="11" numFmtId="0" xfId="0" applyFont="1"/>
    <xf borderId="4" fillId="6" fontId="12" numFmtId="0" xfId="0" applyBorder="1" applyFont="1"/>
    <xf borderId="12" fillId="0" fontId="12" numFmtId="0" xfId="0" applyAlignment="1" applyBorder="1" applyFont="1">
      <alignment horizontal="right"/>
    </xf>
    <xf borderId="4" fillId="0" fontId="12" numFmtId="0" xfId="0" applyBorder="1" applyFont="1"/>
    <xf borderId="4" fillId="6" fontId="12" numFmtId="0" xfId="0" applyAlignment="1" applyBorder="1" applyFont="1">
      <alignment horizontal="right"/>
    </xf>
    <xf borderId="0" fillId="5" fontId="13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5" fontId="9" numFmtId="0" xfId="0" applyAlignment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8" fillId="8" fontId="7" numFmtId="0" xfId="0" applyAlignment="1" applyBorder="1" applyFill="1" applyFont="1">
      <alignment horizontal="right" readingOrder="0" shrinkToFit="0" vertical="bottom" wrapText="0"/>
    </xf>
    <xf borderId="9" fillId="8" fontId="7" numFmtId="0" xfId="0" applyAlignment="1" applyBorder="1" applyFont="1">
      <alignment horizontal="right"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8" fillId="0" fontId="15" numFmtId="0" xfId="0" applyAlignment="1" applyBorder="1" applyFont="1">
      <alignment readingOrder="0" shrinkToFit="0" vertical="bottom" wrapText="0"/>
    </xf>
    <xf borderId="9" fillId="3" fontId="15" numFmtId="0" xfId="0" applyAlignment="1" applyBorder="1" applyFont="1">
      <alignment horizontal="right" readingOrder="0" shrinkToFit="0" vertical="bottom" wrapText="0"/>
    </xf>
    <xf borderId="8" fillId="0" fontId="15" numFmtId="0" xfId="0" applyAlignment="1" applyBorder="1" applyFont="1">
      <alignment shrinkToFit="0" vertical="bottom" wrapText="0"/>
    </xf>
    <xf borderId="9" fillId="0" fontId="15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horizontal="right" shrinkToFit="0" vertical="bottom" wrapText="0"/>
    </xf>
    <xf borderId="9" fillId="3" fontId="15" numFmtId="0" xfId="0" applyAlignment="1" applyBorder="1" applyFont="1">
      <alignment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 shrinkToFit="0" vertical="bottom" wrapText="0"/>
    </xf>
    <xf borderId="0" fillId="5" fontId="16" numFmtId="0" xfId="0" applyAlignment="1" applyFont="1">
      <alignment shrinkToFit="0" vertical="bottom" wrapText="0"/>
    </xf>
    <xf borderId="0" fillId="0" fontId="17" numFmtId="0" xfId="0" applyAlignment="1" applyFont="1">
      <alignment vertical="bottom"/>
    </xf>
    <xf borderId="0" fillId="5" fontId="13" numFmtId="0" xfId="0" applyAlignment="1" applyFont="1">
      <alignment shrinkToFit="0" vertical="bottom" wrapText="0"/>
    </xf>
    <xf borderId="0" fillId="5" fontId="9" numFmtId="0" xfId="0" applyAlignment="1" applyFont="1">
      <alignment vertical="bottom"/>
    </xf>
    <xf borderId="0" fillId="5" fontId="16" numFmtId="0" xfId="0" applyAlignment="1" applyFont="1">
      <alignment readingOrder="0" shrinkToFit="0" vertical="bottom" wrapText="0"/>
    </xf>
    <xf borderId="0" fillId="3" fontId="5" numFmtId="0" xfId="0" applyAlignment="1" applyFont="1">
      <alignment horizontal="center" vertical="bottom"/>
    </xf>
    <xf borderId="16" fillId="4" fontId="17" numFmtId="0" xfId="0" applyAlignment="1" applyBorder="1" applyFont="1">
      <alignment vertical="bottom"/>
    </xf>
    <xf borderId="12" fillId="0" fontId="17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8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9" fillId="8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0" fillId="0" fontId="7" numFmtId="0" xfId="0" applyAlignment="1" applyFont="1">
      <alignment horizontal="right" readingOrder="0" shrinkToFit="0" vertical="bottom" wrapText="0"/>
    </xf>
    <xf borderId="0" fillId="8" fontId="7" numFmtId="0" xfId="0" applyAlignment="1" applyFont="1">
      <alignment horizontal="right" readingOrder="0" shrinkToFit="0" vertical="bottom" wrapText="0"/>
    </xf>
    <xf borderId="4" fillId="8" fontId="7" numFmtId="0" xfId="0" applyAlignment="1" applyBorder="1" applyFon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18" fillId="0" fontId="7" numFmtId="0" xfId="0" applyAlignment="1" applyBorder="1" applyFont="1">
      <alignment readingOrder="0" shrinkToFit="0" vertical="bottom" wrapText="0"/>
    </xf>
    <xf borderId="19" fillId="0" fontId="7" numFmtId="0" xfId="0" applyAlignment="1" applyBorder="1" applyFont="1">
      <alignment readingOrder="0" shrinkToFit="0" vertical="bottom" wrapText="0"/>
    </xf>
    <xf borderId="19" fillId="0" fontId="20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20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5" fillId="9" fontId="7" numFmtId="0" xfId="0" applyAlignment="1" applyBorder="1" applyFill="1" applyFont="1">
      <alignment horizontal="right" readingOrder="0" shrinkToFit="0" vertical="bottom" wrapText="0"/>
    </xf>
    <xf borderId="9" fillId="9" fontId="7" numFmtId="0" xfId="0" applyAlignment="1" applyBorder="1" applyFont="1">
      <alignment horizontal="right" readingOrder="0" shrinkToFit="0" vertical="bottom" wrapText="0"/>
    </xf>
    <xf borderId="8" fillId="0" fontId="21" numFmtId="0" xfId="0" applyAlignment="1" applyBorder="1" applyFont="1">
      <alignment shrinkToFit="0" vertical="bottom" wrapText="0"/>
    </xf>
    <xf borderId="8" fillId="0" fontId="21" numFmtId="0" xfId="0" applyAlignment="1" applyBorder="1" applyFont="1">
      <alignment readingOrder="0" shrinkToFit="0" vertical="bottom" wrapText="0"/>
    </xf>
    <xf borderId="8" fillId="0" fontId="19" numFmtId="0" xfId="0" applyAlignment="1" applyBorder="1" applyFont="1">
      <alignment shrinkToFit="0" vertical="bottom" wrapText="0"/>
    </xf>
    <xf borderId="5" fillId="0" fontId="22" numFmtId="0" xfId="0" applyAlignment="1" applyBorder="1" applyFont="1">
      <alignment readingOrder="0" shrinkToFit="0" vertical="bottom" wrapText="0"/>
    </xf>
    <xf borderId="9" fillId="10" fontId="7" numFmtId="0" xfId="0" applyAlignment="1" applyBorder="1" applyFill="1" applyFont="1">
      <alignment horizontal="right"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0" fillId="4" fontId="7" numFmtId="0" xfId="0" applyAlignment="1" applyFont="1">
      <alignment shrinkToFit="0" vertical="bottom" wrapText="0"/>
    </xf>
    <xf borderId="0" fillId="4" fontId="16" numFmtId="0" xfId="0" applyAlignment="1" applyFont="1">
      <alignment readingOrder="0" shrinkToFit="0" vertical="bottom" wrapText="0"/>
    </xf>
    <xf borderId="11" fillId="8" fontId="7" numFmtId="0" xfId="0" applyAlignment="1" applyBorder="1" applyFont="1">
      <alignment horizontal="right" readingOrder="0" shrinkToFit="0" vertical="bottom" wrapText="0"/>
    </xf>
    <xf borderId="0" fillId="11" fontId="13" numFmtId="0" xfId="0" applyAlignment="1" applyFill="1" applyFont="1">
      <alignment readingOrder="0" shrinkToFit="0" vertical="bottom" wrapText="0"/>
    </xf>
    <xf borderId="0" fillId="11" fontId="9" numFmtId="0" xfId="0" applyAlignment="1" applyFont="1">
      <alignment readingOrder="0" shrinkToFit="0" vertical="bottom" wrapText="0"/>
    </xf>
    <xf borderId="0" fillId="5" fontId="7" numFmtId="0" xfId="0" applyAlignment="1" applyFont="1">
      <alignment shrinkToFit="0" vertical="bottom" wrapText="0"/>
    </xf>
    <xf borderId="0" fillId="4" fontId="16" numFmtId="0" xfId="0" applyAlignment="1" applyFont="1">
      <alignment horizontal="left" readingOrder="0" shrinkToFit="0" vertical="bottom" wrapText="0"/>
    </xf>
    <xf borderId="0" fillId="4" fontId="13" numFmtId="0" xfId="0" applyAlignment="1" applyFont="1">
      <alignment horizontal="left" readingOrder="0" shrinkToFit="0" vertical="bottom" wrapText="0"/>
    </xf>
    <xf borderId="0" fillId="4" fontId="9" numFmtId="0" xfId="0" applyAlignment="1" applyFont="1">
      <alignment horizontal="left" readingOrder="0" shrinkToFit="0" vertical="bottom" wrapText="0"/>
    </xf>
    <xf borderId="4" fillId="0" fontId="22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8" fillId="0" fontId="7" numFmtId="0" xfId="0" applyAlignment="1" applyBorder="1" applyFont="1">
      <alignment horizontal="left" readingOrder="0" shrinkToFit="0" vertical="bottom" wrapText="0"/>
    </xf>
    <xf borderId="5" fillId="8" fontId="7" numFmtId="0" xfId="0" applyAlignment="1" applyBorder="1" applyFont="1">
      <alignment horizontal="right" readingOrder="0" shrinkToFit="0" vertical="bottom" wrapText="0"/>
    </xf>
    <xf borderId="16" fillId="0" fontId="17" numFmtId="0" xfId="0" applyAlignment="1" applyBorder="1" applyFont="1">
      <alignment vertical="bottom"/>
    </xf>
    <xf borderId="0" fillId="4" fontId="13" numFmtId="0" xfId="0" applyAlignment="1" applyFont="1">
      <alignment shrinkToFit="0" vertical="bottom" wrapText="0"/>
    </xf>
    <xf borderId="0" fillId="4" fontId="9" numFmtId="0" xfId="0" applyAlignment="1" applyFont="1">
      <alignment vertical="bottom"/>
    </xf>
    <xf borderId="9" fillId="11" fontId="5" numFmtId="0" xfId="0" applyAlignment="1" applyBorder="1" applyFont="1">
      <alignment horizontal="right" vertical="bottom"/>
    </xf>
    <xf borderId="4" fillId="0" fontId="14" numFmtId="0" xfId="0" applyAlignment="1" applyBorder="1" applyFont="1">
      <alignment readingOrder="0" shrinkToFit="0" vertical="bottom" wrapText="0"/>
    </xf>
    <xf borderId="4" fillId="12" fontId="7" numFmtId="0" xfId="0" applyAlignment="1" applyBorder="1" applyFill="1" applyFont="1">
      <alignment horizontal="right"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4" fillId="13" fontId="21" numFmtId="0" xfId="0" applyAlignment="1" applyBorder="1" applyFill="1" applyFont="1">
      <alignment shrinkToFit="0" vertical="bottom" wrapText="0"/>
    </xf>
    <xf borderId="5" fillId="13" fontId="21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readingOrder="0" shrinkToFit="0" vertical="bottom" wrapText="0"/>
    </xf>
    <xf borderId="0" fillId="0" fontId="8" numFmtId="0" xfId="0" applyFont="1"/>
    <xf borderId="5" fillId="14" fontId="7" numFmtId="0" xfId="0" applyAlignment="1" applyBorder="1" applyFill="1" applyFont="1">
      <alignment horizontal="right" readingOrder="0" shrinkToFit="0" vertical="bottom" wrapText="0"/>
    </xf>
    <xf borderId="9" fillId="14" fontId="7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left" readingOrder="0" shrinkToFit="0" vertical="bottom" wrapText="0"/>
    </xf>
    <xf borderId="5" fillId="0" fontId="14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customschemas.google.com/relationships/workbookmetadata" Target="metadata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1.11"/>
    <col customWidth="1" min="3" max="3" width="14.11"/>
    <col customWidth="1" min="4" max="4" width="11.11"/>
    <col customWidth="1" min="5" max="5" width="9.11"/>
    <col customWidth="1" min="6" max="6" width="9.67"/>
    <col customWidth="1" min="7" max="47" width="11.11"/>
  </cols>
  <sheetData>
    <row r="1" ht="15.0" customHeight="1">
      <c r="A1" s="1" t="s">
        <v>0</v>
      </c>
      <c r="E1" s="2" t="s">
        <v>1</v>
      </c>
      <c r="F1" s="3"/>
      <c r="G1" s="3"/>
      <c r="H1" s="4"/>
      <c r="K1" s="2" t="s">
        <v>2</v>
      </c>
      <c r="L1" s="3"/>
      <c r="M1" s="3"/>
      <c r="N1" s="4"/>
      <c r="S1" s="2" t="s">
        <v>3</v>
      </c>
      <c r="T1" s="3"/>
      <c r="U1" s="3"/>
      <c r="V1" s="4"/>
      <c r="Y1" s="2" t="s">
        <v>4</v>
      </c>
      <c r="Z1" s="3"/>
      <c r="AA1" s="3"/>
      <c r="AB1" s="4"/>
      <c r="AE1" s="5"/>
      <c r="AF1" s="6" t="s">
        <v>5</v>
      </c>
      <c r="AG1" s="3"/>
      <c r="AH1" s="3"/>
      <c r="AI1" s="4"/>
      <c r="AL1" s="7" t="s">
        <v>6</v>
      </c>
      <c r="AM1" s="3"/>
      <c r="AN1" s="3"/>
      <c r="AO1" s="4"/>
      <c r="AR1" s="7" t="s">
        <v>7</v>
      </c>
      <c r="AS1" s="3"/>
      <c r="AT1" s="3"/>
      <c r="AU1" s="4"/>
    </row>
    <row r="2" ht="15.0" customHeight="1">
      <c r="A2" s="1" t="s">
        <v>8</v>
      </c>
      <c r="AE2" s="5"/>
      <c r="AF2" s="5"/>
      <c r="AG2" s="5"/>
      <c r="AH2" s="5"/>
      <c r="AI2" s="5"/>
    </row>
    <row r="3" ht="15.0" customHeight="1">
      <c r="A3" s="1" t="s">
        <v>9</v>
      </c>
      <c r="E3" s="8" t="s">
        <v>10</v>
      </c>
      <c r="F3" s="8" t="s">
        <v>11</v>
      </c>
      <c r="G3" s="8" t="s">
        <v>12</v>
      </c>
      <c r="H3" s="9" t="s">
        <v>13</v>
      </c>
      <c r="K3" s="8" t="s">
        <v>10</v>
      </c>
      <c r="L3" s="8" t="s">
        <v>11</v>
      </c>
      <c r="M3" s="8" t="s">
        <v>12</v>
      </c>
      <c r="N3" s="9" t="s">
        <v>14</v>
      </c>
      <c r="S3" s="8" t="s">
        <v>10</v>
      </c>
      <c r="T3" s="8" t="s">
        <v>11</v>
      </c>
      <c r="U3" s="8" t="s">
        <v>12</v>
      </c>
      <c r="V3" s="9" t="s">
        <v>15</v>
      </c>
      <c r="Y3" s="8" t="s">
        <v>10</v>
      </c>
      <c r="Z3" s="8" t="s">
        <v>11</v>
      </c>
      <c r="AA3" s="8" t="s">
        <v>12</v>
      </c>
      <c r="AB3" s="9" t="s">
        <v>16</v>
      </c>
      <c r="AE3" s="5"/>
      <c r="AF3" s="10" t="s">
        <v>10</v>
      </c>
      <c r="AG3" s="11" t="s">
        <v>11</v>
      </c>
      <c r="AH3" s="11" t="s">
        <v>12</v>
      </c>
      <c r="AI3" s="12" t="s">
        <v>17</v>
      </c>
      <c r="AL3" s="8" t="s">
        <v>10</v>
      </c>
      <c r="AM3" s="8" t="s">
        <v>11</v>
      </c>
      <c r="AN3" s="8" t="s">
        <v>12</v>
      </c>
      <c r="AO3" s="9" t="s">
        <v>18</v>
      </c>
      <c r="AR3" s="8" t="s">
        <v>10</v>
      </c>
      <c r="AS3" s="8" t="s">
        <v>11</v>
      </c>
      <c r="AT3" s="8" t="s">
        <v>12</v>
      </c>
      <c r="AU3" s="9" t="s">
        <v>19</v>
      </c>
    </row>
    <row r="4" ht="15.0" customHeight="1">
      <c r="A4" s="1" t="s">
        <v>20</v>
      </c>
      <c r="D4" s="13" t="s">
        <v>21</v>
      </c>
      <c r="E4" s="14">
        <v>260.6018</v>
      </c>
      <c r="F4" s="15">
        <v>301.0</v>
      </c>
      <c r="G4" s="15">
        <v>256.62</v>
      </c>
      <c r="H4" s="15">
        <v>3.98176</v>
      </c>
      <c r="J4" s="13" t="s">
        <v>22</v>
      </c>
      <c r="K4" s="14">
        <v>258.9728</v>
      </c>
      <c r="L4" s="15">
        <v>301.0</v>
      </c>
      <c r="M4" s="15">
        <v>255.87</v>
      </c>
      <c r="N4" s="15">
        <v>3.10278</v>
      </c>
      <c r="R4" s="13" t="s">
        <v>22</v>
      </c>
      <c r="S4" s="16">
        <v>278.22639</v>
      </c>
      <c r="T4" s="16">
        <v>301.0</v>
      </c>
      <c r="U4" s="16">
        <v>273.98</v>
      </c>
      <c r="V4" s="16">
        <f t="shared" ref="V4:V23" si="1">S4-U4</f>
        <v>4.24639</v>
      </c>
      <c r="X4" s="13" t="s">
        <v>23</v>
      </c>
      <c r="Y4" s="16">
        <v>277.67639</v>
      </c>
      <c r="Z4" s="16">
        <v>301.0</v>
      </c>
      <c r="AA4" s="16">
        <v>273.82</v>
      </c>
      <c r="AB4" s="16">
        <f t="shared" ref="AB4:AB18" si="2">Y4-AA4</f>
        <v>3.85639</v>
      </c>
      <c r="AE4" s="5" t="s">
        <v>21</v>
      </c>
      <c r="AF4" s="17">
        <v>285.52577</v>
      </c>
      <c r="AG4" s="18">
        <v>299.0</v>
      </c>
      <c r="AH4" s="18">
        <v>279.62</v>
      </c>
      <c r="AI4" s="18">
        <v>5.90577</v>
      </c>
      <c r="AK4" s="13" t="s">
        <v>22</v>
      </c>
      <c r="AL4" s="16">
        <v>284.12572</v>
      </c>
      <c r="AM4" s="16">
        <v>301.0</v>
      </c>
      <c r="AN4" s="16">
        <v>278.76</v>
      </c>
      <c r="AO4" s="16">
        <f t="shared" ref="AO4:AO23" si="3">AL4-AN4</f>
        <v>5.36572</v>
      </c>
      <c r="AQ4" s="13" t="s">
        <v>23</v>
      </c>
      <c r="AR4" s="14">
        <v>283.2361</v>
      </c>
      <c r="AS4" s="15">
        <v>301.0</v>
      </c>
      <c r="AT4" s="15">
        <v>278.16</v>
      </c>
      <c r="AU4" s="15">
        <v>5.07613</v>
      </c>
    </row>
    <row r="5" ht="15.0" customHeight="1">
      <c r="E5" s="19">
        <v>260.3979</v>
      </c>
      <c r="F5" s="20">
        <v>775.0</v>
      </c>
      <c r="G5" s="20">
        <v>256.39001</v>
      </c>
      <c r="H5" s="20">
        <v>4.00793</v>
      </c>
      <c r="K5" s="19">
        <v>258.8459</v>
      </c>
      <c r="L5" s="20">
        <v>776.0</v>
      </c>
      <c r="M5" s="20">
        <v>255.55</v>
      </c>
      <c r="N5" s="20">
        <v>3.29594</v>
      </c>
      <c r="S5" s="16">
        <v>278.22972</v>
      </c>
      <c r="T5" s="16">
        <v>773.0</v>
      </c>
      <c r="U5" s="16">
        <v>273.98</v>
      </c>
      <c r="V5" s="16">
        <f t="shared" si="1"/>
        <v>4.24972</v>
      </c>
      <c r="Y5" s="16">
        <v>277.84139</v>
      </c>
      <c r="Z5" s="16">
        <v>776.0</v>
      </c>
      <c r="AA5" s="16">
        <v>273.98</v>
      </c>
      <c r="AB5" s="16">
        <f t="shared" si="2"/>
        <v>3.86139</v>
      </c>
      <c r="AE5" s="5"/>
      <c r="AF5" s="17">
        <v>285.44654</v>
      </c>
      <c r="AG5" s="18">
        <v>774.0</v>
      </c>
      <c r="AH5" s="18">
        <v>279.48</v>
      </c>
      <c r="AI5" s="18">
        <v>5.96654</v>
      </c>
      <c r="AL5" s="16">
        <v>284.22231</v>
      </c>
      <c r="AM5" s="16">
        <v>777.0</v>
      </c>
      <c r="AN5" s="16">
        <v>278.37</v>
      </c>
      <c r="AO5" s="16">
        <f t="shared" si="3"/>
        <v>5.85231</v>
      </c>
      <c r="AR5" s="19">
        <v>283.0468</v>
      </c>
      <c r="AS5" s="20">
        <v>773.0</v>
      </c>
      <c r="AT5" s="20">
        <v>278.04</v>
      </c>
      <c r="AU5" s="20">
        <v>5.00679</v>
      </c>
    </row>
    <row r="6" ht="15.0" customHeight="1">
      <c r="E6" s="19">
        <v>260.1353</v>
      </c>
      <c r="F6" s="20">
        <v>1247.0</v>
      </c>
      <c r="G6" s="20">
        <v>256.41</v>
      </c>
      <c r="H6" s="20">
        <v>3.72529</v>
      </c>
      <c r="K6" s="19">
        <v>258.6695</v>
      </c>
      <c r="L6" s="20">
        <v>1248.0</v>
      </c>
      <c r="M6" s="20">
        <v>255.67999</v>
      </c>
      <c r="N6" s="20">
        <v>2.98947</v>
      </c>
      <c r="S6" s="16">
        <v>278.11757</v>
      </c>
      <c r="T6" s="16">
        <v>1247.0</v>
      </c>
      <c r="U6" s="16">
        <v>273.81</v>
      </c>
      <c r="V6" s="16">
        <f t="shared" si="1"/>
        <v>4.30757</v>
      </c>
      <c r="Y6" s="16">
        <v>278.00306</v>
      </c>
      <c r="Z6" s="16">
        <v>1249.0</v>
      </c>
      <c r="AA6" s="16">
        <v>274.01</v>
      </c>
      <c r="AB6" s="16">
        <f t="shared" si="2"/>
        <v>3.99306</v>
      </c>
      <c r="AE6" s="5"/>
      <c r="AF6" s="17">
        <v>285.06137</v>
      </c>
      <c r="AG6" s="18">
        <v>1248.0</v>
      </c>
      <c r="AH6" s="18">
        <v>279.41</v>
      </c>
      <c r="AI6" s="18">
        <v>5.65137</v>
      </c>
      <c r="AL6" s="16">
        <v>284.16576</v>
      </c>
      <c r="AM6" s="16">
        <v>1249.0</v>
      </c>
      <c r="AN6" s="16">
        <v>278.76</v>
      </c>
      <c r="AO6" s="16">
        <f t="shared" si="3"/>
        <v>5.40576</v>
      </c>
      <c r="AR6" s="19">
        <v>283.1172</v>
      </c>
      <c r="AS6" s="20">
        <v>1246.0</v>
      </c>
      <c r="AT6" s="20">
        <v>278.62</v>
      </c>
      <c r="AU6" s="20">
        <v>4.49719</v>
      </c>
    </row>
    <row r="7" ht="15.0" customHeight="1">
      <c r="E7" s="19">
        <v>260.2894</v>
      </c>
      <c r="F7" s="20">
        <v>1722.0</v>
      </c>
      <c r="G7" s="20">
        <v>256.22</v>
      </c>
      <c r="H7" s="20">
        <v>4.06941</v>
      </c>
      <c r="K7" s="19">
        <v>258.6265</v>
      </c>
      <c r="L7" s="20">
        <v>1721.0</v>
      </c>
      <c r="M7" s="20">
        <v>255.55</v>
      </c>
      <c r="N7" s="20">
        <v>3.07649</v>
      </c>
      <c r="S7" s="16">
        <v>278.07405</v>
      </c>
      <c r="T7" s="16">
        <v>1719.0</v>
      </c>
      <c r="U7" s="16">
        <v>273.35</v>
      </c>
      <c r="V7" s="16">
        <f t="shared" si="1"/>
        <v>4.72405</v>
      </c>
      <c r="Y7" s="16">
        <v>278.09306</v>
      </c>
      <c r="Z7" s="16">
        <v>1724.0</v>
      </c>
      <c r="AA7" s="16">
        <v>274.27</v>
      </c>
      <c r="AB7" s="16">
        <f t="shared" si="2"/>
        <v>3.82306</v>
      </c>
      <c r="AE7" s="5"/>
      <c r="AF7" s="17">
        <v>284.82581</v>
      </c>
      <c r="AG7" s="18">
        <v>1721.0</v>
      </c>
      <c r="AH7" s="18">
        <v>279.07</v>
      </c>
      <c r="AI7" s="18">
        <v>5.75581</v>
      </c>
      <c r="AL7" s="16">
        <v>284.03333</v>
      </c>
      <c r="AM7" s="16">
        <v>1723.0</v>
      </c>
      <c r="AN7" s="16">
        <v>278.48</v>
      </c>
      <c r="AO7" s="16">
        <f t="shared" si="3"/>
        <v>5.55333</v>
      </c>
      <c r="AR7" s="19">
        <v>283.0458</v>
      </c>
      <c r="AS7" s="20">
        <v>1720.0</v>
      </c>
      <c r="AT7" s="20">
        <v>278.57</v>
      </c>
      <c r="AU7" s="20">
        <v>4.47581</v>
      </c>
    </row>
    <row r="8" ht="15.0" customHeight="1">
      <c r="E8" s="19">
        <v>260.1271</v>
      </c>
      <c r="F8" s="20">
        <v>2194.0</v>
      </c>
      <c r="G8" s="20">
        <v>256.29999</v>
      </c>
      <c r="H8" s="20">
        <v>3.82707</v>
      </c>
      <c r="K8" s="19">
        <v>258.57</v>
      </c>
      <c r="L8" s="20">
        <v>2197.0</v>
      </c>
      <c r="M8" s="20">
        <v>254.95</v>
      </c>
      <c r="N8" s="20">
        <v>3.61999</v>
      </c>
      <c r="S8" s="16">
        <v>277.99111</v>
      </c>
      <c r="T8" s="16">
        <v>2192.0</v>
      </c>
      <c r="U8" s="16">
        <v>273.62</v>
      </c>
      <c r="V8" s="16">
        <f t="shared" si="1"/>
        <v>4.37111</v>
      </c>
      <c r="Y8" s="16">
        <v>278.06972</v>
      </c>
      <c r="Z8" s="16">
        <v>2195.0</v>
      </c>
      <c r="AA8" s="16">
        <v>274.29</v>
      </c>
      <c r="AB8" s="16">
        <f t="shared" si="2"/>
        <v>3.77972</v>
      </c>
      <c r="AE8" s="5"/>
      <c r="AF8" s="17">
        <v>285.45226</v>
      </c>
      <c r="AG8" s="18">
        <v>2195.0</v>
      </c>
      <c r="AH8" s="18">
        <v>279.35</v>
      </c>
      <c r="AI8" s="18">
        <v>6.10226</v>
      </c>
      <c r="AL8" s="16">
        <v>283.85039</v>
      </c>
      <c r="AM8" s="16">
        <v>2196.0</v>
      </c>
      <c r="AN8" s="16">
        <v>278.37</v>
      </c>
      <c r="AO8" s="16">
        <f t="shared" si="3"/>
        <v>5.48039</v>
      </c>
      <c r="AR8" s="19">
        <v>282.9516</v>
      </c>
      <c r="AS8" s="20">
        <v>2196.0</v>
      </c>
      <c r="AT8" s="20">
        <v>278.26</v>
      </c>
      <c r="AU8" s="20">
        <v>4.69156</v>
      </c>
    </row>
    <row r="9" ht="15.0" customHeight="1">
      <c r="E9" s="19">
        <v>259.8459</v>
      </c>
      <c r="F9" s="20">
        <v>2666.0</v>
      </c>
      <c r="G9" s="20">
        <v>255.74001</v>
      </c>
      <c r="H9" s="20">
        <v>4.10587</v>
      </c>
      <c r="K9" s="19">
        <v>257.9229</v>
      </c>
      <c r="L9" s="20">
        <v>2673.0</v>
      </c>
      <c r="M9" s="20">
        <v>254.25999</v>
      </c>
      <c r="N9" s="20">
        <v>3.66293</v>
      </c>
      <c r="S9" s="16">
        <v>278.11944</v>
      </c>
      <c r="T9" s="16">
        <v>2666.0</v>
      </c>
      <c r="U9" s="16">
        <v>274.07</v>
      </c>
      <c r="V9" s="16">
        <f t="shared" si="1"/>
        <v>4.04944</v>
      </c>
      <c r="Y9" s="16">
        <v>277.87162</v>
      </c>
      <c r="Z9" s="16">
        <v>2671.0</v>
      </c>
      <c r="AA9" s="16">
        <v>274.06</v>
      </c>
      <c r="AB9" s="16">
        <f t="shared" si="2"/>
        <v>3.81162</v>
      </c>
      <c r="AE9" s="5"/>
      <c r="AF9" s="17">
        <v>285.51769</v>
      </c>
      <c r="AG9" s="18">
        <v>2666.0</v>
      </c>
      <c r="AH9" s="18">
        <v>279.45</v>
      </c>
      <c r="AI9" s="18">
        <v>6.06769</v>
      </c>
      <c r="AL9" s="16">
        <v>283.47692</v>
      </c>
      <c r="AM9" s="16">
        <v>2669.0</v>
      </c>
      <c r="AN9" s="16">
        <v>278.51</v>
      </c>
      <c r="AO9" s="16">
        <f t="shared" si="3"/>
        <v>4.96692</v>
      </c>
      <c r="AR9" s="19">
        <v>282.9836</v>
      </c>
      <c r="AS9" s="20">
        <v>2668.0</v>
      </c>
      <c r="AT9" s="20">
        <v>278.17</v>
      </c>
      <c r="AU9" s="20">
        <v>4.81355</v>
      </c>
    </row>
    <row r="10" ht="15.0" customHeight="1">
      <c r="E10" s="19">
        <v>259.4615</v>
      </c>
      <c r="F10" s="20">
        <v>3140.0</v>
      </c>
      <c r="G10" s="20">
        <v>255.50999</v>
      </c>
      <c r="H10" s="20">
        <v>3.95148</v>
      </c>
      <c r="K10" s="19">
        <v>256.8814</v>
      </c>
      <c r="L10" s="20">
        <v>3143.0</v>
      </c>
      <c r="M10" s="20">
        <v>253.5</v>
      </c>
      <c r="N10" s="20">
        <v>3.38143</v>
      </c>
      <c r="S10" s="16">
        <v>278.29055</v>
      </c>
      <c r="T10" s="16">
        <v>3139.0</v>
      </c>
      <c r="U10" s="16">
        <v>273.6</v>
      </c>
      <c r="V10" s="16">
        <f t="shared" si="1"/>
        <v>4.69055</v>
      </c>
      <c r="Y10" s="16">
        <v>277.67352</v>
      </c>
      <c r="Z10" s="16">
        <v>3142.0</v>
      </c>
      <c r="AA10" s="16">
        <v>274.25</v>
      </c>
      <c r="AB10" s="16">
        <f t="shared" si="2"/>
        <v>3.42352</v>
      </c>
      <c r="AE10" s="5"/>
      <c r="AF10" s="17">
        <v>285.36846</v>
      </c>
      <c r="AG10" s="18">
        <v>3140.0</v>
      </c>
      <c r="AH10" s="18">
        <v>279.41</v>
      </c>
      <c r="AI10" s="18">
        <v>5.95846</v>
      </c>
      <c r="AL10" s="16">
        <v>283.09261</v>
      </c>
      <c r="AM10" s="16">
        <v>3142.0</v>
      </c>
      <c r="AN10" s="16">
        <v>278.14</v>
      </c>
      <c r="AO10" s="16">
        <f t="shared" si="3"/>
        <v>4.95261</v>
      </c>
      <c r="AR10" s="19">
        <v>282.8403</v>
      </c>
      <c r="AS10" s="20">
        <v>3140.0</v>
      </c>
      <c r="AT10" s="20">
        <v>277.59</v>
      </c>
      <c r="AU10" s="20">
        <v>5.25032</v>
      </c>
    </row>
    <row r="11" ht="15.0" customHeight="1">
      <c r="D11" s="21" t="s">
        <v>22</v>
      </c>
      <c r="E11" s="22">
        <v>258.8894</v>
      </c>
      <c r="F11" s="23">
        <v>3617.0</v>
      </c>
      <c r="G11" s="23">
        <v>255.24001</v>
      </c>
      <c r="H11" s="23">
        <v>3.6494</v>
      </c>
      <c r="K11" s="19">
        <v>256.5239</v>
      </c>
      <c r="L11" s="20">
        <v>3618.0</v>
      </c>
      <c r="M11" s="20">
        <v>253.08</v>
      </c>
      <c r="N11" s="20">
        <v>3.44388</v>
      </c>
      <c r="S11" s="16">
        <v>278.14139</v>
      </c>
      <c r="T11" s="16">
        <v>3611.0</v>
      </c>
      <c r="U11" s="16">
        <v>273.79</v>
      </c>
      <c r="V11" s="16">
        <f t="shared" si="1"/>
        <v>4.35139</v>
      </c>
      <c r="X11" s="13" t="s">
        <v>24</v>
      </c>
      <c r="Y11" s="8">
        <v>278.088</v>
      </c>
      <c r="Z11" s="8">
        <v>3617.0</v>
      </c>
      <c r="AA11" s="8">
        <v>274.29</v>
      </c>
      <c r="AB11" s="8">
        <f t="shared" si="2"/>
        <v>3.798</v>
      </c>
      <c r="AE11" s="5"/>
      <c r="AF11" s="17">
        <v>285.45231</v>
      </c>
      <c r="AG11" s="18">
        <v>3613.0</v>
      </c>
      <c r="AH11" s="18">
        <v>279.41</v>
      </c>
      <c r="AI11" s="18">
        <v>6.04231</v>
      </c>
      <c r="AL11" s="16">
        <v>283.38704</v>
      </c>
      <c r="AM11" s="16">
        <v>3617.0</v>
      </c>
      <c r="AN11" s="16">
        <v>278.62</v>
      </c>
      <c r="AO11" s="16">
        <f t="shared" si="3"/>
        <v>4.76704</v>
      </c>
      <c r="AR11" s="19">
        <v>282.7132</v>
      </c>
      <c r="AS11" s="20">
        <v>3612.0</v>
      </c>
      <c r="AT11" s="20">
        <v>277.73</v>
      </c>
      <c r="AU11" s="20">
        <v>4.98316</v>
      </c>
    </row>
    <row r="12" ht="15.0" customHeight="1">
      <c r="E12" s="22">
        <v>258.4747</v>
      </c>
      <c r="F12" s="23">
        <v>4090.0</v>
      </c>
      <c r="G12" s="23">
        <v>255.14999</v>
      </c>
      <c r="H12" s="23">
        <v>3.32471</v>
      </c>
      <c r="J12" s="13" t="s">
        <v>23</v>
      </c>
      <c r="K12" s="24">
        <v>257.1023</v>
      </c>
      <c r="L12" s="25">
        <v>4088.0</v>
      </c>
      <c r="M12" s="25">
        <v>253.31</v>
      </c>
      <c r="N12" s="25">
        <v>3.79229</v>
      </c>
      <c r="R12" s="13" t="s">
        <v>23</v>
      </c>
      <c r="S12" s="8">
        <v>276.745</v>
      </c>
      <c r="T12" s="8">
        <v>4086.0</v>
      </c>
      <c r="U12" s="8">
        <v>272.04</v>
      </c>
      <c r="V12" s="8">
        <f t="shared" si="1"/>
        <v>4.705</v>
      </c>
      <c r="Y12" s="16">
        <v>278.20483</v>
      </c>
      <c r="Z12" s="16">
        <v>4090.0</v>
      </c>
      <c r="AA12" s="16">
        <v>275.5</v>
      </c>
      <c r="AB12" s="16">
        <f t="shared" si="2"/>
        <v>2.70483</v>
      </c>
      <c r="AE12" s="5" t="s">
        <v>22</v>
      </c>
      <c r="AF12" s="26">
        <v>284.63611</v>
      </c>
      <c r="AG12" s="27">
        <v>4086.0</v>
      </c>
      <c r="AH12" s="27">
        <v>278.6</v>
      </c>
      <c r="AI12" s="27">
        <v>6.03611</v>
      </c>
      <c r="AK12" s="13" t="s">
        <v>23</v>
      </c>
      <c r="AL12" s="8">
        <v>282.99923</v>
      </c>
      <c r="AM12" s="8">
        <v>4089.0</v>
      </c>
      <c r="AN12" s="8">
        <v>277.29</v>
      </c>
      <c r="AO12" s="8">
        <f t="shared" si="3"/>
        <v>5.70923</v>
      </c>
      <c r="AQ12" s="13" t="s">
        <v>24</v>
      </c>
      <c r="AR12" s="24">
        <v>282.7055</v>
      </c>
      <c r="AS12" s="25">
        <v>4086.0</v>
      </c>
      <c r="AT12" s="25">
        <v>278.35</v>
      </c>
      <c r="AU12" s="25">
        <v>4.35552</v>
      </c>
    </row>
    <row r="13" ht="15.0" customHeight="1">
      <c r="D13" s="13"/>
      <c r="E13" s="19">
        <v>258.7024</v>
      </c>
      <c r="F13" s="20">
        <v>4558.0</v>
      </c>
      <c r="G13" s="20">
        <v>255.74001</v>
      </c>
      <c r="H13" s="20">
        <v>2.96239</v>
      </c>
      <c r="K13" s="24">
        <v>256.9808</v>
      </c>
      <c r="L13" s="25">
        <v>4564.0</v>
      </c>
      <c r="M13" s="25">
        <v>253.64999</v>
      </c>
      <c r="N13" s="25">
        <v>3.3308</v>
      </c>
      <c r="S13" s="8">
        <v>277.28722</v>
      </c>
      <c r="T13" s="8">
        <v>4559.0</v>
      </c>
      <c r="U13" s="8">
        <v>272.6</v>
      </c>
      <c r="V13" s="8">
        <f t="shared" si="1"/>
        <v>4.68722</v>
      </c>
      <c r="Y13" s="16">
        <v>278.52793</v>
      </c>
      <c r="Z13" s="16">
        <v>4564.0</v>
      </c>
      <c r="AA13" s="16">
        <v>275.64</v>
      </c>
      <c r="AB13" s="16">
        <f t="shared" si="2"/>
        <v>2.88793</v>
      </c>
      <c r="AE13" s="5"/>
      <c r="AF13" s="26">
        <v>284.60962</v>
      </c>
      <c r="AG13" s="27">
        <v>4561.0</v>
      </c>
      <c r="AH13" s="27">
        <v>278.62</v>
      </c>
      <c r="AI13" s="27">
        <v>5.98962</v>
      </c>
      <c r="AL13" s="8">
        <v>282.43708</v>
      </c>
      <c r="AM13" s="8">
        <v>4562.0</v>
      </c>
      <c r="AN13" s="8">
        <v>277.28</v>
      </c>
      <c r="AO13" s="8">
        <f t="shared" si="3"/>
        <v>5.15708</v>
      </c>
      <c r="AR13" s="19">
        <v>282.8474</v>
      </c>
      <c r="AS13" s="20">
        <v>4559.0</v>
      </c>
      <c r="AT13" s="20">
        <v>279.32</v>
      </c>
      <c r="AU13" s="20">
        <v>3.52743</v>
      </c>
    </row>
    <row r="14" ht="15.0" customHeight="1">
      <c r="E14" s="19">
        <v>259.109</v>
      </c>
      <c r="F14" s="20">
        <v>5030.0</v>
      </c>
      <c r="G14" s="20">
        <v>255.8</v>
      </c>
      <c r="H14" s="20">
        <v>3.30903</v>
      </c>
      <c r="K14" s="24">
        <v>256.7372</v>
      </c>
      <c r="L14" s="25">
        <v>5038.0</v>
      </c>
      <c r="M14" s="25">
        <v>253.08</v>
      </c>
      <c r="N14" s="25">
        <v>3.65718</v>
      </c>
      <c r="S14" s="8">
        <v>277.38621</v>
      </c>
      <c r="T14" s="8">
        <v>5033.0</v>
      </c>
      <c r="U14" s="8">
        <v>273.07</v>
      </c>
      <c r="V14" s="8">
        <f t="shared" si="1"/>
        <v>4.31621</v>
      </c>
      <c r="Y14" s="16">
        <v>278.53138</v>
      </c>
      <c r="Z14" s="16">
        <v>5036.0</v>
      </c>
      <c r="AA14" s="16">
        <v>276.17</v>
      </c>
      <c r="AB14" s="16">
        <f t="shared" si="2"/>
        <v>2.36138</v>
      </c>
      <c r="AE14" s="5"/>
      <c r="AF14" s="26">
        <v>284.70696</v>
      </c>
      <c r="AG14" s="27">
        <v>5033.0</v>
      </c>
      <c r="AH14" s="27">
        <v>278.62</v>
      </c>
      <c r="AI14" s="27">
        <v>6.08696</v>
      </c>
      <c r="AL14" s="8">
        <v>282.93826</v>
      </c>
      <c r="AM14" s="8">
        <v>5036.0</v>
      </c>
      <c r="AN14" s="8">
        <v>277.72</v>
      </c>
      <c r="AO14" s="8">
        <f t="shared" si="3"/>
        <v>5.21826</v>
      </c>
      <c r="AR14" s="19">
        <v>283.1442</v>
      </c>
      <c r="AS14" s="20">
        <v>5032.0</v>
      </c>
      <c r="AT14" s="20">
        <v>279.35</v>
      </c>
      <c r="AU14" s="20">
        <v>3.79421</v>
      </c>
    </row>
    <row r="15" ht="15.0" customHeight="1">
      <c r="E15" s="19">
        <v>258.9728</v>
      </c>
      <c r="F15" s="20">
        <v>5505.0</v>
      </c>
      <c r="G15" s="20">
        <v>255.87</v>
      </c>
      <c r="H15" s="20">
        <v>3.10278</v>
      </c>
      <c r="K15" s="24">
        <v>256.2184</v>
      </c>
      <c r="L15" s="25">
        <v>5512.0</v>
      </c>
      <c r="M15" s="25">
        <v>253.03999</v>
      </c>
      <c r="N15" s="25">
        <v>3.17843</v>
      </c>
      <c r="S15" s="8">
        <v>277.365</v>
      </c>
      <c r="T15" s="8">
        <v>5505.0</v>
      </c>
      <c r="U15" s="8">
        <v>273.41</v>
      </c>
      <c r="V15" s="8">
        <f t="shared" si="1"/>
        <v>3.955</v>
      </c>
      <c r="Y15" s="16">
        <v>278.62035</v>
      </c>
      <c r="Z15" s="16">
        <v>5510.0</v>
      </c>
      <c r="AA15" s="16">
        <v>276.42</v>
      </c>
      <c r="AB15" s="16">
        <f t="shared" si="2"/>
        <v>2.20035</v>
      </c>
      <c r="AE15" s="5"/>
      <c r="AF15" s="17">
        <v>284.12572</v>
      </c>
      <c r="AG15" s="18">
        <v>5507.0</v>
      </c>
      <c r="AH15" s="18">
        <v>278.76</v>
      </c>
      <c r="AI15" s="18">
        <v>5.36572</v>
      </c>
      <c r="AL15" s="8">
        <v>282.97208</v>
      </c>
      <c r="AM15" s="8">
        <v>5510.0</v>
      </c>
      <c r="AN15" s="8">
        <v>278.54</v>
      </c>
      <c r="AO15" s="8">
        <f t="shared" si="3"/>
        <v>4.43208</v>
      </c>
      <c r="AR15" s="19">
        <v>283.2195</v>
      </c>
      <c r="AS15" s="20">
        <v>5506.0</v>
      </c>
      <c r="AT15" s="20">
        <v>279.81</v>
      </c>
      <c r="AU15" s="20">
        <v>3.40948</v>
      </c>
    </row>
    <row r="16" ht="15.0" customHeight="1">
      <c r="E16" s="19">
        <v>258.8459</v>
      </c>
      <c r="F16" s="20">
        <v>5980.0</v>
      </c>
      <c r="G16" s="20">
        <v>255.55</v>
      </c>
      <c r="H16" s="20">
        <v>3.29594</v>
      </c>
      <c r="K16" s="19">
        <v>256.134</v>
      </c>
      <c r="L16" s="20">
        <v>5983.0</v>
      </c>
      <c r="M16" s="20">
        <v>253.25</v>
      </c>
      <c r="N16" s="20">
        <v>2.88395</v>
      </c>
      <c r="S16" s="8">
        <v>277.38694</v>
      </c>
      <c r="T16" s="8">
        <v>5979.0</v>
      </c>
      <c r="U16" s="8">
        <v>273.37</v>
      </c>
      <c r="V16" s="8">
        <f t="shared" si="1"/>
        <v>4.01694</v>
      </c>
      <c r="Y16" s="16">
        <v>278.70267</v>
      </c>
      <c r="Z16" s="16">
        <v>5985.0</v>
      </c>
      <c r="AA16" s="16">
        <v>276.39</v>
      </c>
      <c r="AB16" s="16">
        <f t="shared" si="2"/>
        <v>2.31267</v>
      </c>
      <c r="AE16" s="5"/>
      <c r="AF16" s="17">
        <v>284.22231</v>
      </c>
      <c r="AG16" s="18">
        <v>5982.0</v>
      </c>
      <c r="AH16" s="18">
        <v>278.37</v>
      </c>
      <c r="AI16" s="18">
        <v>5.85231</v>
      </c>
      <c r="AL16" s="16">
        <v>283.23613</v>
      </c>
      <c r="AM16" s="16">
        <v>5984.0</v>
      </c>
      <c r="AN16" s="16">
        <v>278.16</v>
      </c>
      <c r="AO16" s="16">
        <f t="shared" si="3"/>
        <v>5.07613</v>
      </c>
      <c r="AR16" s="19">
        <v>283.4616</v>
      </c>
      <c r="AS16" s="20">
        <v>5980.0</v>
      </c>
      <c r="AT16" s="20">
        <v>279.87</v>
      </c>
      <c r="AU16" s="20">
        <v>3.59158</v>
      </c>
    </row>
    <row r="17" ht="15.0" customHeight="1">
      <c r="E17" s="19">
        <v>258.6695</v>
      </c>
      <c r="F17" s="20">
        <v>6452.0</v>
      </c>
      <c r="G17" s="20">
        <v>255.67999</v>
      </c>
      <c r="H17" s="20">
        <v>2.98947</v>
      </c>
      <c r="K17" s="19">
        <v>255.7542</v>
      </c>
      <c r="L17" s="20">
        <v>6455.0</v>
      </c>
      <c r="M17" s="20">
        <v>252.81</v>
      </c>
      <c r="N17" s="20">
        <v>2.94421</v>
      </c>
      <c r="S17" s="16">
        <v>277.67639</v>
      </c>
      <c r="T17" s="16">
        <v>6451.0</v>
      </c>
      <c r="U17" s="16">
        <v>273.82</v>
      </c>
      <c r="V17" s="16">
        <f t="shared" si="1"/>
        <v>3.85639</v>
      </c>
      <c r="Y17" s="16">
        <v>278.81066</v>
      </c>
      <c r="Z17" s="16">
        <v>6458.0</v>
      </c>
      <c r="AA17" s="16">
        <v>276.67</v>
      </c>
      <c r="AB17" s="16">
        <f t="shared" si="2"/>
        <v>2.14066</v>
      </c>
      <c r="AE17" s="5"/>
      <c r="AF17" s="17">
        <v>284.16576</v>
      </c>
      <c r="AG17" s="18">
        <v>6454.0</v>
      </c>
      <c r="AH17" s="18">
        <v>278.76</v>
      </c>
      <c r="AI17" s="18">
        <v>5.40576</v>
      </c>
      <c r="AL17" s="16">
        <v>283.11719</v>
      </c>
      <c r="AM17" s="16">
        <v>6456.0</v>
      </c>
      <c r="AN17" s="16">
        <v>278.04</v>
      </c>
      <c r="AO17" s="16">
        <f t="shared" si="3"/>
        <v>5.07719</v>
      </c>
      <c r="AR17" s="19">
        <v>283.4105</v>
      </c>
      <c r="AS17" s="20">
        <v>6454.0</v>
      </c>
      <c r="AT17" s="20">
        <v>279.98</v>
      </c>
      <c r="AU17" s="20">
        <v>3.43053</v>
      </c>
    </row>
    <row r="18" ht="15.0" customHeight="1">
      <c r="E18" s="19">
        <v>258.6265</v>
      </c>
      <c r="F18" s="20">
        <v>6925.0</v>
      </c>
      <c r="G18" s="20">
        <v>255.55</v>
      </c>
      <c r="H18" s="20">
        <v>3.07649</v>
      </c>
      <c r="K18" s="19">
        <v>255.5911</v>
      </c>
      <c r="L18" s="20">
        <v>6929.0</v>
      </c>
      <c r="M18" s="20">
        <v>252.75</v>
      </c>
      <c r="N18" s="20">
        <v>2.84105</v>
      </c>
      <c r="S18" s="16">
        <v>277.84139</v>
      </c>
      <c r="T18" s="16">
        <v>6926.0</v>
      </c>
      <c r="U18" s="16">
        <v>273.98</v>
      </c>
      <c r="V18" s="16">
        <f t="shared" si="1"/>
        <v>3.86139</v>
      </c>
      <c r="Y18" s="16">
        <v>278.99448</v>
      </c>
      <c r="Z18" s="16">
        <v>6931.0</v>
      </c>
      <c r="AA18" s="16">
        <v>276.72</v>
      </c>
      <c r="AB18" s="16">
        <f t="shared" si="2"/>
        <v>2.27448</v>
      </c>
      <c r="AE18" s="5"/>
      <c r="AF18" s="17">
        <v>284.03333</v>
      </c>
      <c r="AG18" s="18">
        <v>6928.0</v>
      </c>
      <c r="AH18" s="18">
        <v>278.42</v>
      </c>
      <c r="AI18" s="18">
        <v>5.61333</v>
      </c>
      <c r="AL18" s="16">
        <v>283.04581</v>
      </c>
      <c r="AM18" s="16">
        <v>6929.0</v>
      </c>
      <c r="AN18" s="16">
        <v>278.62</v>
      </c>
      <c r="AO18" s="16">
        <f t="shared" si="3"/>
        <v>4.42581</v>
      </c>
      <c r="AR18" s="19">
        <v>283.4436</v>
      </c>
      <c r="AS18" s="20">
        <v>6927.0</v>
      </c>
      <c r="AT18" s="20">
        <v>280.2</v>
      </c>
      <c r="AU18" s="20">
        <v>3.24359</v>
      </c>
    </row>
    <row r="19" ht="15.0" customHeight="1">
      <c r="E19" s="19">
        <v>258.57</v>
      </c>
      <c r="F19" s="20">
        <v>7401.0</v>
      </c>
      <c r="G19" s="20">
        <v>254.95</v>
      </c>
      <c r="H19" s="20">
        <v>3.61999</v>
      </c>
      <c r="K19" s="19">
        <v>255.575</v>
      </c>
      <c r="L19" s="20">
        <v>7402.0</v>
      </c>
      <c r="M19" s="20">
        <v>252.85001</v>
      </c>
      <c r="N19" s="20">
        <v>2.72499</v>
      </c>
      <c r="S19" s="16">
        <v>278.00306</v>
      </c>
      <c r="T19" s="16">
        <v>7399.0</v>
      </c>
      <c r="U19" s="16">
        <v>274.01</v>
      </c>
      <c r="V19" s="16">
        <f t="shared" si="1"/>
        <v>3.99306</v>
      </c>
      <c r="AE19" s="5"/>
      <c r="AF19" s="17">
        <v>283.85039</v>
      </c>
      <c r="AG19" s="18">
        <v>7401.0</v>
      </c>
      <c r="AH19" s="18">
        <v>278.37</v>
      </c>
      <c r="AI19" s="18">
        <v>5.48039</v>
      </c>
      <c r="AL19" s="16">
        <v>282.95156</v>
      </c>
      <c r="AM19" s="16">
        <v>7403.0</v>
      </c>
      <c r="AN19" s="16">
        <v>277.57</v>
      </c>
      <c r="AO19" s="16">
        <f t="shared" si="3"/>
        <v>5.38156</v>
      </c>
      <c r="AR19" s="19">
        <v>283.089</v>
      </c>
      <c r="AS19" s="20">
        <v>7399.0</v>
      </c>
      <c r="AT19" s="20">
        <v>280.1</v>
      </c>
      <c r="AU19" s="20">
        <v>2.98895</v>
      </c>
    </row>
    <row r="20" ht="15.0" customHeight="1">
      <c r="E20" s="19">
        <v>257.9229</v>
      </c>
      <c r="F20" s="20">
        <v>7877.0</v>
      </c>
      <c r="G20" s="20">
        <v>254.25999</v>
      </c>
      <c r="H20" s="20">
        <v>3.66293</v>
      </c>
      <c r="K20" s="19">
        <v>255.5111</v>
      </c>
      <c r="L20" s="20">
        <v>7877.0</v>
      </c>
      <c r="M20" s="20">
        <v>252.78999</v>
      </c>
      <c r="N20" s="20">
        <v>2.72106</v>
      </c>
      <c r="S20" s="16">
        <v>278.09306</v>
      </c>
      <c r="T20" s="16">
        <v>7873.0</v>
      </c>
      <c r="U20" s="16">
        <v>274.2</v>
      </c>
      <c r="V20" s="16">
        <f t="shared" si="1"/>
        <v>3.89306</v>
      </c>
      <c r="AE20" s="5"/>
      <c r="AF20" s="17">
        <v>283.47692</v>
      </c>
      <c r="AG20" s="18">
        <v>7874.0</v>
      </c>
      <c r="AH20" s="18">
        <v>278.51</v>
      </c>
      <c r="AI20" s="18">
        <v>4.96692</v>
      </c>
      <c r="AL20" s="16">
        <v>282.98355</v>
      </c>
      <c r="AM20" s="16">
        <v>7877.0</v>
      </c>
      <c r="AN20" s="16">
        <v>278.26</v>
      </c>
      <c r="AO20" s="16">
        <f t="shared" si="3"/>
        <v>4.72355</v>
      </c>
      <c r="AR20" s="19">
        <v>283.224</v>
      </c>
      <c r="AS20" s="20">
        <v>7871.0</v>
      </c>
      <c r="AT20" s="20">
        <v>279.81</v>
      </c>
      <c r="AU20" s="20">
        <v>3.41395</v>
      </c>
    </row>
    <row r="21" ht="15.0" customHeight="1">
      <c r="K21" s="19">
        <v>255.5668</v>
      </c>
      <c r="L21" s="20">
        <v>8349.0</v>
      </c>
      <c r="M21" s="20">
        <v>252.81</v>
      </c>
      <c r="N21" s="20">
        <v>2.75684</v>
      </c>
      <c r="S21" s="16">
        <v>278.06972</v>
      </c>
      <c r="T21" s="16">
        <v>8345.0</v>
      </c>
      <c r="U21" s="16">
        <v>274.29</v>
      </c>
      <c r="V21" s="16">
        <f t="shared" si="1"/>
        <v>3.77972</v>
      </c>
      <c r="AE21" s="5"/>
      <c r="AF21" s="17">
        <v>283.09261</v>
      </c>
      <c r="AG21" s="18">
        <v>8347.0</v>
      </c>
      <c r="AH21" s="18">
        <v>278.14</v>
      </c>
      <c r="AI21" s="18">
        <v>4.95261</v>
      </c>
      <c r="AL21" s="16">
        <v>282.84032</v>
      </c>
      <c r="AM21" s="16">
        <v>8351.0</v>
      </c>
      <c r="AN21" s="16">
        <v>278.16</v>
      </c>
      <c r="AO21" s="16">
        <f t="shared" si="3"/>
        <v>4.68032</v>
      </c>
    </row>
    <row r="22" ht="15.0" customHeight="1">
      <c r="K22" s="19">
        <v>255.5547</v>
      </c>
      <c r="L22" s="20">
        <v>8824.0</v>
      </c>
      <c r="M22" s="20">
        <v>253.02</v>
      </c>
      <c r="N22" s="20">
        <v>2.53474</v>
      </c>
      <c r="S22" s="16">
        <v>277.87162</v>
      </c>
      <c r="T22" s="16">
        <v>8822.0</v>
      </c>
      <c r="U22" s="16">
        <v>274.06</v>
      </c>
      <c r="V22" s="16">
        <f t="shared" si="1"/>
        <v>3.81162</v>
      </c>
      <c r="AE22" s="5"/>
      <c r="AF22" s="17">
        <v>283.38704</v>
      </c>
      <c r="AG22" s="18">
        <v>8820.0</v>
      </c>
      <c r="AH22" s="18">
        <v>278.62</v>
      </c>
      <c r="AI22" s="18">
        <v>4.76704</v>
      </c>
      <c r="AL22" s="16">
        <v>282.71316</v>
      </c>
      <c r="AM22" s="16">
        <v>8823.0</v>
      </c>
      <c r="AN22" s="16">
        <v>277.59</v>
      </c>
      <c r="AO22" s="16">
        <f t="shared" si="3"/>
        <v>5.12316</v>
      </c>
    </row>
    <row r="23" ht="15.0" customHeight="1">
      <c r="S23" s="16">
        <v>277.67352</v>
      </c>
      <c r="T23" s="16">
        <v>9292.0</v>
      </c>
      <c r="U23" s="16">
        <v>274.25</v>
      </c>
      <c r="V23" s="16">
        <f t="shared" si="1"/>
        <v>3.42352</v>
      </c>
      <c r="AE23" s="5"/>
      <c r="AF23" s="5"/>
      <c r="AG23" s="5"/>
      <c r="AH23" s="5"/>
      <c r="AI23" s="5"/>
      <c r="AL23" s="16">
        <v>282.56973</v>
      </c>
      <c r="AM23" s="16">
        <v>9295.0</v>
      </c>
      <c r="AN23" s="16">
        <v>277.73</v>
      </c>
      <c r="AO23" s="16">
        <f t="shared" si="3"/>
        <v>4.83973</v>
      </c>
    </row>
    <row r="24" ht="15.0" customHeight="1">
      <c r="AE24" s="5"/>
      <c r="AF24" s="5"/>
      <c r="AG24" s="5"/>
      <c r="AH24" s="5"/>
      <c r="AI24" s="5"/>
    </row>
  </sheetData>
  <mergeCells count="7">
    <mergeCell ref="E1:H1"/>
    <mergeCell ref="K1:N1"/>
    <mergeCell ref="S1:V1"/>
    <mergeCell ref="Y1:AB1"/>
    <mergeCell ref="AF1:AI1"/>
    <mergeCell ref="AL1:AO1"/>
    <mergeCell ref="AR1:AU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1.11"/>
    <col customWidth="1" min="3" max="3" width="23.44"/>
    <col customWidth="1" min="4" max="111" width="11.11"/>
  </cols>
  <sheetData>
    <row r="1" ht="15.0" customHeight="1">
      <c r="A1" s="1" t="s">
        <v>25</v>
      </c>
      <c r="E1" s="2" t="s">
        <v>26</v>
      </c>
      <c r="F1" s="3"/>
      <c r="G1" s="3"/>
      <c r="H1" s="4"/>
      <c r="J1" s="13" t="s">
        <v>27</v>
      </c>
      <c r="K1" s="7" t="s">
        <v>28</v>
      </c>
      <c r="L1" s="3"/>
      <c r="M1" s="3"/>
      <c r="N1" s="4"/>
      <c r="P1" s="13" t="s">
        <v>27</v>
      </c>
      <c r="Q1" s="7" t="s">
        <v>29</v>
      </c>
      <c r="R1" s="3"/>
      <c r="S1" s="3"/>
      <c r="T1" s="4"/>
      <c r="V1" s="13" t="s">
        <v>27</v>
      </c>
      <c r="W1" s="7" t="s">
        <v>30</v>
      </c>
      <c r="X1" s="3"/>
      <c r="Y1" s="3"/>
      <c r="Z1" s="4"/>
      <c r="AB1" s="13" t="s">
        <v>27</v>
      </c>
      <c r="AC1" s="2" t="s">
        <v>31</v>
      </c>
      <c r="AD1" s="3"/>
      <c r="AE1" s="3"/>
      <c r="AF1" s="4"/>
      <c r="AH1" s="13" t="s">
        <v>27</v>
      </c>
      <c r="AI1" s="7" t="s">
        <v>32</v>
      </c>
      <c r="AJ1" s="3"/>
      <c r="AK1" s="3"/>
      <c r="AL1" s="4"/>
      <c r="AN1" s="13" t="s">
        <v>27</v>
      </c>
      <c r="AO1" s="7" t="s">
        <v>33</v>
      </c>
      <c r="AP1" s="3"/>
      <c r="AQ1" s="3"/>
      <c r="AR1" s="4"/>
      <c r="AT1" s="13" t="s">
        <v>27</v>
      </c>
      <c r="AU1" s="7" t="s">
        <v>34</v>
      </c>
      <c r="AV1" s="3"/>
      <c r="AW1" s="3"/>
      <c r="AX1" s="4"/>
      <c r="BA1" s="13" t="s">
        <v>27</v>
      </c>
      <c r="BB1" s="7" t="s">
        <v>35</v>
      </c>
      <c r="BC1" s="3"/>
      <c r="BD1" s="3"/>
      <c r="BE1" s="4"/>
      <c r="BG1" s="13" t="s">
        <v>27</v>
      </c>
      <c r="BH1" s="2" t="s">
        <v>36</v>
      </c>
      <c r="BI1" s="3"/>
      <c r="BJ1" s="3"/>
      <c r="BK1" s="4"/>
      <c r="BM1" s="13" t="s">
        <v>27</v>
      </c>
      <c r="BN1" s="2" t="s">
        <v>37</v>
      </c>
      <c r="BO1" s="3"/>
      <c r="BP1" s="3"/>
      <c r="BQ1" s="4"/>
      <c r="BS1" s="13" t="s">
        <v>27</v>
      </c>
      <c r="BT1" s="7" t="s">
        <v>38</v>
      </c>
      <c r="BU1" s="3"/>
      <c r="BV1" s="3"/>
      <c r="BW1" s="4"/>
      <c r="BY1" s="13" t="s">
        <v>27</v>
      </c>
      <c r="BZ1" s="2" t="s">
        <v>39</v>
      </c>
      <c r="CA1" s="3"/>
      <c r="CB1" s="3"/>
      <c r="CC1" s="4"/>
      <c r="CE1" s="13" t="s">
        <v>27</v>
      </c>
      <c r="CF1" s="2" t="s">
        <v>40</v>
      </c>
      <c r="CG1" s="3"/>
      <c r="CH1" s="3"/>
      <c r="CI1" s="4"/>
      <c r="CK1" s="13" t="s">
        <v>27</v>
      </c>
      <c r="CL1" s="7" t="s">
        <v>41</v>
      </c>
      <c r="CM1" s="3"/>
      <c r="CN1" s="3"/>
      <c r="CO1" s="4"/>
      <c r="CQ1" s="13" t="s">
        <v>27</v>
      </c>
      <c r="CR1" s="2" t="s">
        <v>42</v>
      </c>
      <c r="CS1" s="3"/>
      <c r="CT1" s="3"/>
      <c r="CU1" s="4"/>
      <c r="CW1" s="13" t="s">
        <v>27</v>
      </c>
      <c r="CX1" s="2" t="s">
        <v>43</v>
      </c>
      <c r="CY1" s="3"/>
      <c r="CZ1" s="3"/>
      <c r="DA1" s="4"/>
      <c r="DC1" s="13" t="s">
        <v>27</v>
      </c>
      <c r="DD1" s="2" t="s">
        <v>44</v>
      </c>
      <c r="DE1" s="3"/>
      <c r="DF1" s="3"/>
      <c r="DG1" s="4"/>
    </row>
    <row r="2" ht="15.0" customHeight="1">
      <c r="A2" s="1" t="s">
        <v>45</v>
      </c>
    </row>
    <row r="3" ht="15.0" customHeight="1">
      <c r="A3" s="1" t="s">
        <v>46</v>
      </c>
      <c r="E3" s="8" t="s">
        <v>10</v>
      </c>
      <c r="F3" s="8" t="s">
        <v>11</v>
      </c>
      <c r="G3" s="8" t="s">
        <v>12</v>
      </c>
      <c r="H3" s="9" t="s">
        <v>47</v>
      </c>
      <c r="K3" s="8" t="s">
        <v>10</v>
      </c>
      <c r="L3" s="8" t="s">
        <v>11</v>
      </c>
      <c r="M3" s="8" t="s">
        <v>12</v>
      </c>
      <c r="N3" s="9" t="s">
        <v>48</v>
      </c>
      <c r="Q3" s="8" t="s">
        <v>10</v>
      </c>
      <c r="R3" s="8" t="s">
        <v>11</v>
      </c>
      <c r="S3" s="8" t="s">
        <v>12</v>
      </c>
      <c r="T3" s="9" t="s">
        <v>49</v>
      </c>
      <c r="W3" s="8" t="s">
        <v>10</v>
      </c>
      <c r="X3" s="8" t="s">
        <v>11</v>
      </c>
      <c r="Y3" s="8" t="s">
        <v>12</v>
      </c>
      <c r="Z3" s="9" t="s">
        <v>50</v>
      </c>
      <c r="AC3" s="8" t="s">
        <v>10</v>
      </c>
      <c r="AD3" s="8" t="s">
        <v>11</v>
      </c>
      <c r="AE3" s="8" t="s">
        <v>12</v>
      </c>
      <c r="AF3" s="9" t="s">
        <v>51</v>
      </c>
      <c r="AI3" s="8" t="s">
        <v>10</v>
      </c>
      <c r="AJ3" s="8" t="s">
        <v>11</v>
      </c>
      <c r="AK3" s="8" t="s">
        <v>12</v>
      </c>
      <c r="AL3" s="9" t="s">
        <v>52</v>
      </c>
      <c r="AO3" s="8" t="s">
        <v>10</v>
      </c>
      <c r="AP3" s="8" t="s">
        <v>11</v>
      </c>
      <c r="AQ3" s="8" t="s">
        <v>12</v>
      </c>
      <c r="AR3" s="9" t="s">
        <v>53</v>
      </c>
      <c r="AU3" s="8" t="s">
        <v>10</v>
      </c>
      <c r="AV3" s="8" t="s">
        <v>11</v>
      </c>
      <c r="AW3" s="8" t="s">
        <v>12</v>
      </c>
      <c r="AX3" s="9" t="s">
        <v>54</v>
      </c>
      <c r="BB3" s="8" t="s">
        <v>10</v>
      </c>
      <c r="BC3" s="8" t="s">
        <v>11</v>
      </c>
      <c r="BD3" s="8" t="s">
        <v>12</v>
      </c>
      <c r="BE3" s="9" t="s">
        <v>55</v>
      </c>
      <c r="BH3" s="8" t="s">
        <v>10</v>
      </c>
      <c r="BI3" s="8" t="s">
        <v>11</v>
      </c>
      <c r="BJ3" s="8" t="s">
        <v>12</v>
      </c>
      <c r="BK3" s="9" t="s">
        <v>56</v>
      </c>
      <c r="BN3" s="8" t="s">
        <v>10</v>
      </c>
      <c r="BO3" s="8" t="s">
        <v>11</v>
      </c>
      <c r="BP3" s="8" t="s">
        <v>12</v>
      </c>
      <c r="BQ3" s="9" t="s">
        <v>57</v>
      </c>
      <c r="BT3" s="8" t="s">
        <v>10</v>
      </c>
      <c r="BU3" s="8" t="s">
        <v>11</v>
      </c>
      <c r="BV3" s="8" t="s">
        <v>12</v>
      </c>
      <c r="BW3" s="9" t="s">
        <v>58</v>
      </c>
      <c r="BZ3" s="8" t="s">
        <v>10</v>
      </c>
      <c r="CA3" s="8" t="s">
        <v>11</v>
      </c>
      <c r="CB3" s="8" t="s">
        <v>12</v>
      </c>
      <c r="CC3" s="9" t="s">
        <v>59</v>
      </c>
      <c r="CF3" s="8" t="s">
        <v>10</v>
      </c>
      <c r="CG3" s="8" t="s">
        <v>11</v>
      </c>
      <c r="CH3" s="8" t="s">
        <v>12</v>
      </c>
      <c r="CI3" s="9" t="s">
        <v>60</v>
      </c>
      <c r="CL3" s="8" t="s">
        <v>10</v>
      </c>
      <c r="CM3" s="8" t="s">
        <v>11</v>
      </c>
      <c r="CN3" s="8" t="s">
        <v>12</v>
      </c>
      <c r="CO3" s="9" t="s">
        <v>61</v>
      </c>
      <c r="CR3" s="8" t="s">
        <v>10</v>
      </c>
      <c r="CS3" s="8" t="s">
        <v>11</v>
      </c>
      <c r="CT3" s="8" t="s">
        <v>12</v>
      </c>
      <c r="CU3" s="9" t="s">
        <v>62</v>
      </c>
      <c r="CX3" s="8" t="s">
        <v>10</v>
      </c>
      <c r="CY3" s="8" t="s">
        <v>11</v>
      </c>
      <c r="CZ3" s="8" t="s">
        <v>12</v>
      </c>
      <c r="DA3" s="9" t="s">
        <v>63</v>
      </c>
      <c r="DD3" s="8" t="s">
        <v>10</v>
      </c>
      <c r="DE3" s="8" t="s">
        <v>11</v>
      </c>
      <c r="DF3" s="8" t="s">
        <v>12</v>
      </c>
      <c r="DG3" s="9" t="s">
        <v>64</v>
      </c>
    </row>
    <row r="4" ht="15.0" customHeight="1">
      <c r="D4" s="13" t="s">
        <v>65</v>
      </c>
      <c r="E4" s="16">
        <v>286.705</v>
      </c>
      <c r="F4" s="16">
        <v>5946.0</v>
      </c>
      <c r="G4" s="16">
        <v>276.14</v>
      </c>
      <c r="H4" s="16">
        <f t="shared" ref="H4:H22" si="1">E4-G4</f>
        <v>10.565</v>
      </c>
      <c r="J4" s="13" t="s">
        <v>21</v>
      </c>
      <c r="K4" s="28">
        <v>284.88131</v>
      </c>
      <c r="L4" s="29">
        <v>301.0</v>
      </c>
      <c r="M4" s="29">
        <v>275.7</v>
      </c>
      <c r="N4" s="29">
        <v>9.18131</v>
      </c>
      <c r="P4" s="13" t="s">
        <v>22</v>
      </c>
      <c r="Q4" s="16">
        <v>283.27464</v>
      </c>
      <c r="R4" s="16">
        <v>301.0</v>
      </c>
      <c r="S4" s="16">
        <v>275.57</v>
      </c>
      <c r="T4" s="16">
        <f t="shared" ref="T4:T22" si="2">Q4-S4</f>
        <v>7.70464</v>
      </c>
      <c r="V4" s="13" t="s">
        <v>23</v>
      </c>
      <c r="W4" s="14">
        <v>282.9454</v>
      </c>
      <c r="X4" s="15">
        <v>301.0</v>
      </c>
      <c r="Y4" s="15">
        <v>277.07</v>
      </c>
      <c r="Z4" s="15">
        <v>5.87536</v>
      </c>
      <c r="AB4" s="13" t="s">
        <v>65</v>
      </c>
      <c r="AC4" s="14">
        <v>286.2564</v>
      </c>
      <c r="AD4" s="15">
        <v>301.0</v>
      </c>
      <c r="AE4" s="15">
        <v>276.13</v>
      </c>
      <c r="AF4" s="15">
        <v>10.12639</v>
      </c>
      <c r="AH4" s="13" t="s">
        <v>21</v>
      </c>
      <c r="AI4" s="16">
        <v>284.58556</v>
      </c>
      <c r="AJ4" s="16">
        <v>301.0</v>
      </c>
      <c r="AK4" s="16">
        <v>274.79</v>
      </c>
      <c r="AL4" s="16">
        <f t="shared" ref="AL4:AL22" si="3">AI4-AK4</f>
        <v>9.79556</v>
      </c>
      <c r="AN4" s="13" t="s">
        <v>22</v>
      </c>
      <c r="AO4" s="16">
        <v>284.13611</v>
      </c>
      <c r="AP4" s="16">
        <v>301.0</v>
      </c>
      <c r="AQ4" s="16">
        <v>276.95</v>
      </c>
      <c r="AR4" s="16">
        <f t="shared" ref="AR4:AR22" si="4">AO4-AQ4</f>
        <v>7.18611</v>
      </c>
      <c r="AT4" s="13" t="s">
        <v>23</v>
      </c>
      <c r="AU4" s="16">
        <v>283.12528</v>
      </c>
      <c r="AV4" s="16">
        <v>301.0</v>
      </c>
      <c r="AW4" s="16">
        <v>277.23</v>
      </c>
      <c r="AX4" s="16">
        <f t="shared" ref="AX4:AX19" si="5">AU4-AW4</f>
        <v>5.89528</v>
      </c>
      <c r="BA4" s="13" t="s">
        <v>66</v>
      </c>
      <c r="BB4" s="16">
        <v>280.40292</v>
      </c>
      <c r="BC4" s="16">
        <v>301.0</v>
      </c>
      <c r="BD4" s="16">
        <v>271.54</v>
      </c>
      <c r="BE4" s="16">
        <f t="shared" ref="BE4:BE22" si="6">BB4-BD4</f>
        <v>8.86292</v>
      </c>
      <c r="BG4" s="13" t="s">
        <v>67</v>
      </c>
      <c r="BH4" s="16">
        <v>279.94846</v>
      </c>
      <c r="BI4" s="16">
        <v>300.0</v>
      </c>
      <c r="BJ4" s="16">
        <v>273.04</v>
      </c>
      <c r="BK4" s="16">
        <f t="shared" ref="BK4:BK21" si="7">BH4-BJ4</f>
        <v>6.90846</v>
      </c>
      <c r="BM4" s="13" t="s">
        <v>68</v>
      </c>
      <c r="BN4" s="14">
        <v>280.5596</v>
      </c>
      <c r="BO4" s="15">
        <v>300.0</v>
      </c>
      <c r="BP4" s="15">
        <v>274.48</v>
      </c>
      <c r="BQ4" s="15">
        <v>6.07962</v>
      </c>
      <c r="BS4" s="13" t="s">
        <v>69</v>
      </c>
      <c r="BT4" s="30">
        <v>286.3396</v>
      </c>
      <c r="BU4" s="31">
        <v>301.0</v>
      </c>
      <c r="BV4" s="15">
        <v>278.41</v>
      </c>
      <c r="BW4" s="15">
        <v>7.92958</v>
      </c>
      <c r="BY4" s="13" t="s">
        <v>67</v>
      </c>
      <c r="BZ4" s="16">
        <v>286.28704</v>
      </c>
      <c r="CA4" s="16">
        <v>301.0</v>
      </c>
      <c r="CB4" s="16">
        <v>279.26</v>
      </c>
      <c r="CC4" s="16">
        <f t="shared" ref="CC4:CC22" si="8">BZ4-CB4</f>
        <v>7.02704</v>
      </c>
      <c r="CE4" s="13" t="s">
        <v>68</v>
      </c>
      <c r="CF4" s="16">
        <v>285.33778</v>
      </c>
      <c r="CG4" s="16">
        <v>301.0</v>
      </c>
      <c r="CH4" s="16">
        <v>278.67</v>
      </c>
      <c r="CI4" s="16">
        <f t="shared" ref="CI4:CI22" si="9">CF4-CH4</f>
        <v>6.66778</v>
      </c>
      <c r="CK4" s="13" t="s">
        <v>69</v>
      </c>
      <c r="CL4" s="14">
        <v>293.2126</v>
      </c>
      <c r="CM4" s="15">
        <v>301.0</v>
      </c>
      <c r="CN4" s="15">
        <v>283.91</v>
      </c>
      <c r="CO4" s="15">
        <v>9.30261</v>
      </c>
      <c r="CQ4" s="13" t="s">
        <v>66</v>
      </c>
      <c r="CR4" s="16">
        <v>291.10375</v>
      </c>
      <c r="CS4" s="16">
        <v>301.0</v>
      </c>
      <c r="CT4" s="16">
        <v>281.39</v>
      </c>
      <c r="CU4" s="16">
        <f t="shared" ref="CU4:CU18" si="10">CR4-CT4</f>
        <v>9.71375</v>
      </c>
      <c r="CW4" s="13" t="s">
        <v>67</v>
      </c>
      <c r="CX4" s="16">
        <v>288.58304</v>
      </c>
      <c r="CY4" s="16">
        <v>301.0</v>
      </c>
      <c r="CZ4" s="16">
        <v>281.2</v>
      </c>
      <c r="DA4" s="16">
        <f t="shared" ref="DA4:DA19" si="11">CX4-CZ4</f>
        <v>7.38304</v>
      </c>
      <c r="DC4" s="13" t="s">
        <v>68</v>
      </c>
      <c r="DD4" s="16">
        <v>288.25667</v>
      </c>
      <c r="DE4" s="16">
        <v>301.0</v>
      </c>
      <c r="DF4" s="16">
        <v>282.1</v>
      </c>
      <c r="DG4" s="16">
        <f t="shared" ref="DG4:DG19" si="12">DD4-DF4</f>
        <v>6.15667</v>
      </c>
    </row>
    <row r="5" ht="15.0" customHeight="1">
      <c r="E5" s="16">
        <v>286.60393</v>
      </c>
      <c r="F5" s="16">
        <v>6419.0</v>
      </c>
      <c r="G5" s="16">
        <v>275.94</v>
      </c>
      <c r="H5" s="16">
        <f t="shared" si="1"/>
        <v>10.66393</v>
      </c>
      <c r="K5" s="32">
        <v>284.92348</v>
      </c>
      <c r="L5" s="33">
        <v>774.0</v>
      </c>
      <c r="M5" s="33">
        <v>274.94</v>
      </c>
      <c r="N5" s="33">
        <v>9.98348</v>
      </c>
      <c r="Q5" s="16">
        <v>283.24679</v>
      </c>
      <c r="R5" s="16">
        <v>773.0</v>
      </c>
      <c r="S5" s="16">
        <v>275.48</v>
      </c>
      <c r="T5" s="16">
        <f t="shared" si="2"/>
        <v>7.76679</v>
      </c>
      <c r="W5" s="19">
        <v>283.1925</v>
      </c>
      <c r="X5" s="20">
        <v>773.0</v>
      </c>
      <c r="Y5" s="20">
        <v>277.51</v>
      </c>
      <c r="Z5" s="20">
        <v>5.6825</v>
      </c>
      <c r="AC5" s="30">
        <v>286.2367</v>
      </c>
      <c r="AD5" s="20">
        <v>774.0</v>
      </c>
      <c r="AE5" s="20">
        <v>276.03</v>
      </c>
      <c r="AF5" s="20">
        <v>10.20667</v>
      </c>
      <c r="AI5" s="16">
        <v>284.42861</v>
      </c>
      <c r="AJ5" s="16">
        <v>775.0</v>
      </c>
      <c r="AK5" s="16">
        <v>274.76</v>
      </c>
      <c r="AL5" s="16">
        <f t="shared" si="3"/>
        <v>9.66861</v>
      </c>
      <c r="AO5" s="16">
        <v>284.17167</v>
      </c>
      <c r="AP5" s="16">
        <v>774.0</v>
      </c>
      <c r="AQ5" s="16">
        <v>276.53</v>
      </c>
      <c r="AR5" s="16">
        <f t="shared" si="4"/>
        <v>7.64167</v>
      </c>
      <c r="AU5" s="16">
        <v>282.98189</v>
      </c>
      <c r="AV5" s="16">
        <v>774.0</v>
      </c>
      <c r="AW5" s="16">
        <v>277.22</v>
      </c>
      <c r="AX5" s="16">
        <f t="shared" si="5"/>
        <v>5.76189</v>
      </c>
      <c r="BB5" s="16">
        <v>280.29292</v>
      </c>
      <c r="BC5" s="16">
        <v>776.0</v>
      </c>
      <c r="BD5" s="16">
        <v>271.64</v>
      </c>
      <c r="BE5" s="16">
        <f t="shared" si="6"/>
        <v>8.65292</v>
      </c>
      <c r="BH5" s="16">
        <v>279.6663</v>
      </c>
      <c r="BI5" s="16">
        <v>774.0</v>
      </c>
      <c r="BJ5" s="16">
        <v>272.7</v>
      </c>
      <c r="BK5" s="16">
        <f t="shared" si="7"/>
        <v>6.9663</v>
      </c>
      <c r="BN5" s="19">
        <v>280.4912</v>
      </c>
      <c r="BO5" s="20">
        <v>773.0</v>
      </c>
      <c r="BP5" s="20">
        <v>274.16</v>
      </c>
      <c r="BQ5" s="20">
        <v>6.33115</v>
      </c>
      <c r="BT5" s="14">
        <v>286.2571</v>
      </c>
      <c r="BU5" s="15">
        <v>774.0</v>
      </c>
      <c r="BV5" s="20">
        <v>278.51</v>
      </c>
      <c r="BW5" s="20">
        <v>7.74708</v>
      </c>
      <c r="BZ5" s="16">
        <v>286.37963</v>
      </c>
      <c r="CA5" s="16">
        <v>773.0</v>
      </c>
      <c r="CB5" s="16">
        <v>278.76</v>
      </c>
      <c r="CC5" s="16">
        <f t="shared" si="8"/>
        <v>7.61963</v>
      </c>
      <c r="CF5" s="16">
        <v>285.02889</v>
      </c>
      <c r="CG5" s="16">
        <v>773.0</v>
      </c>
      <c r="CH5" s="16">
        <v>278.47</v>
      </c>
      <c r="CI5" s="16">
        <f t="shared" si="9"/>
        <v>6.55889</v>
      </c>
      <c r="CL5" s="19">
        <v>292.9622</v>
      </c>
      <c r="CM5" s="20">
        <v>774.0</v>
      </c>
      <c r="CN5" s="31">
        <v>283.74</v>
      </c>
      <c r="CO5" s="20">
        <v>9.22218</v>
      </c>
      <c r="CR5" s="16">
        <v>291.02739</v>
      </c>
      <c r="CS5" s="16">
        <v>773.0</v>
      </c>
      <c r="CT5" s="16">
        <v>281.44</v>
      </c>
      <c r="CU5" s="16">
        <f t="shared" si="10"/>
        <v>9.58739</v>
      </c>
      <c r="CX5" s="16">
        <v>288.83708</v>
      </c>
      <c r="CY5" s="16">
        <v>775.0</v>
      </c>
      <c r="CZ5" s="16">
        <v>281.45</v>
      </c>
      <c r="DA5" s="16">
        <f t="shared" si="11"/>
        <v>7.38708</v>
      </c>
      <c r="DD5" s="16">
        <v>288.5625</v>
      </c>
      <c r="DE5" s="16">
        <v>774.0</v>
      </c>
      <c r="DF5" s="16">
        <v>282.23</v>
      </c>
      <c r="DG5" s="16">
        <f t="shared" si="12"/>
        <v>6.3325</v>
      </c>
    </row>
    <row r="6" ht="15.0" customHeight="1">
      <c r="E6" s="16">
        <v>286.74607</v>
      </c>
      <c r="F6" s="16">
        <v>6893.0</v>
      </c>
      <c r="G6" s="16">
        <v>275.39</v>
      </c>
      <c r="H6" s="16">
        <f t="shared" si="1"/>
        <v>11.35607</v>
      </c>
      <c r="K6" s="32">
        <v>284.73305</v>
      </c>
      <c r="L6" s="33">
        <v>1248.0</v>
      </c>
      <c r="M6" s="33">
        <v>275.57</v>
      </c>
      <c r="N6" s="33">
        <v>9.16305</v>
      </c>
      <c r="Q6" s="16">
        <v>283.46072</v>
      </c>
      <c r="R6" s="16">
        <v>1248.0</v>
      </c>
      <c r="S6" s="16">
        <v>276.03</v>
      </c>
      <c r="T6" s="16">
        <f t="shared" si="2"/>
        <v>7.43072</v>
      </c>
      <c r="W6" s="19">
        <v>283.2775</v>
      </c>
      <c r="X6" s="20">
        <v>1247.0</v>
      </c>
      <c r="Y6" s="20">
        <v>277.39</v>
      </c>
      <c r="Z6" s="20">
        <v>5.8875</v>
      </c>
      <c r="AC6" s="14">
        <v>285.9256</v>
      </c>
      <c r="AD6" s="20">
        <v>1249.0</v>
      </c>
      <c r="AE6" s="20">
        <v>276.0</v>
      </c>
      <c r="AF6" s="20">
        <v>9.92556</v>
      </c>
      <c r="AI6" s="16">
        <v>284.29444</v>
      </c>
      <c r="AJ6" s="16">
        <v>1247.0</v>
      </c>
      <c r="AK6" s="16">
        <v>273.7</v>
      </c>
      <c r="AL6" s="16">
        <f t="shared" si="3"/>
        <v>10.59444</v>
      </c>
      <c r="AO6" s="16">
        <v>283.88528</v>
      </c>
      <c r="AP6" s="16">
        <v>1247.0</v>
      </c>
      <c r="AQ6" s="16">
        <v>277.07</v>
      </c>
      <c r="AR6" s="16">
        <f t="shared" si="4"/>
        <v>6.81528</v>
      </c>
      <c r="AU6" s="16">
        <v>283.04833</v>
      </c>
      <c r="AV6" s="16">
        <v>1249.0</v>
      </c>
      <c r="AW6" s="16">
        <v>277.48</v>
      </c>
      <c r="AX6" s="16">
        <f t="shared" si="5"/>
        <v>5.56833</v>
      </c>
      <c r="BB6" s="16">
        <v>280.50792</v>
      </c>
      <c r="BC6" s="16">
        <v>1251.0</v>
      </c>
      <c r="BD6" s="16">
        <v>271.47</v>
      </c>
      <c r="BE6" s="16">
        <f t="shared" si="6"/>
        <v>9.03792</v>
      </c>
      <c r="BH6" s="16">
        <v>279.94769</v>
      </c>
      <c r="BI6" s="16">
        <v>1246.0</v>
      </c>
      <c r="BJ6" s="16">
        <v>272.34</v>
      </c>
      <c r="BK6" s="16">
        <f t="shared" si="7"/>
        <v>7.60769</v>
      </c>
      <c r="BN6" s="19">
        <v>280.6735</v>
      </c>
      <c r="BO6" s="20">
        <v>1249.0</v>
      </c>
      <c r="BP6" s="20">
        <v>274.33</v>
      </c>
      <c r="BQ6" s="20">
        <v>6.34347</v>
      </c>
      <c r="BT6" s="19">
        <v>286.7071</v>
      </c>
      <c r="BU6" s="20">
        <v>1246.0</v>
      </c>
      <c r="BV6" s="20">
        <v>278.51</v>
      </c>
      <c r="BW6" s="20">
        <v>8.19708</v>
      </c>
      <c r="BZ6" s="16">
        <v>286.55926</v>
      </c>
      <c r="CA6" s="16">
        <v>1246.0</v>
      </c>
      <c r="CB6" s="16">
        <v>278.72</v>
      </c>
      <c r="CC6" s="16">
        <f t="shared" si="8"/>
        <v>7.83926</v>
      </c>
      <c r="CF6" s="16">
        <v>285.01963</v>
      </c>
      <c r="CG6" s="16">
        <v>1247.0</v>
      </c>
      <c r="CH6" s="16">
        <v>278.82</v>
      </c>
      <c r="CI6" s="16">
        <f t="shared" si="9"/>
        <v>6.19963</v>
      </c>
      <c r="CL6" s="19">
        <v>292.7908</v>
      </c>
      <c r="CM6" s="20">
        <v>1248.0</v>
      </c>
      <c r="CN6" s="15">
        <v>283.64</v>
      </c>
      <c r="CO6" s="20">
        <v>9.15082</v>
      </c>
      <c r="CR6" s="16">
        <v>290.76917</v>
      </c>
      <c r="CS6" s="16">
        <v>1247.0</v>
      </c>
      <c r="CT6" s="16">
        <v>281.53</v>
      </c>
      <c r="CU6" s="16">
        <f t="shared" si="10"/>
        <v>9.23917</v>
      </c>
      <c r="CX6" s="16">
        <v>288.94416</v>
      </c>
      <c r="CY6" s="16">
        <v>1249.0</v>
      </c>
      <c r="CZ6" s="16">
        <v>281.79</v>
      </c>
      <c r="DA6" s="16">
        <f t="shared" si="11"/>
        <v>7.15416</v>
      </c>
      <c r="DD6" s="16">
        <v>288.56459</v>
      </c>
      <c r="DE6" s="16">
        <v>1247.0</v>
      </c>
      <c r="DF6" s="16">
        <v>282.32</v>
      </c>
      <c r="DG6" s="16">
        <f t="shared" si="12"/>
        <v>6.24459</v>
      </c>
    </row>
    <row r="7" ht="15.0" customHeight="1">
      <c r="E7" s="16">
        <v>286.74643</v>
      </c>
      <c r="F7" s="16">
        <v>7366.0</v>
      </c>
      <c r="G7" s="16">
        <v>275.84</v>
      </c>
      <c r="H7" s="16">
        <f t="shared" si="1"/>
        <v>10.90643</v>
      </c>
      <c r="K7" s="32">
        <v>284.74305</v>
      </c>
      <c r="L7" s="33">
        <v>1722.0</v>
      </c>
      <c r="M7" s="33">
        <v>275.2</v>
      </c>
      <c r="N7" s="33">
        <v>9.54305</v>
      </c>
      <c r="Q7" s="16">
        <v>283.30322</v>
      </c>
      <c r="R7" s="16">
        <v>1720.0</v>
      </c>
      <c r="S7" s="16">
        <v>275.7</v>
      </c>
      <c r="T7" s="16">
        <f t="shared" si="2"/>
        <v>7.60322</v>
      </c>
      <c r="W7" s="19">
        <v>283.2454</v>
      </c>
      <c r="X7" s="20">
        <v>1720.0</v>
      </c>
      <c r="Y7" s="20">
        <v>277.54</v>
      </c>
      <c r="Z7" s="20">
        <v>5.70536</v>
      </c>
      <c r="AC7" s="19">
        <v>285.8047</v>
      </c>
      <c r="AD7" s="20">
        <v>1723.0</v>
      </c>
      <c r="AE7" s="20">
        <v>275.52</v>
      </c>
      <c r="AF7" s="20">
        <v>10.28473</v>
      </c>
      <c r="AI7" s="16">
        <v>284.33944</v>
      </c>
      <c r="AJ7" s="16">
        <v>1721.0</v>
      </c>
      <c r="AK7" s="16">
        <v>274.42</v>
      </c>
      <c r="AL7" s="16">
        <f t="shared" si="3"/>
        <v>9.91944</v>
      </c>
      <c r="AO7" s="16">
        <v>284.28555</v>
      </c>
      <c r="AP7" s="16">
        <v>1720.0</v>
      </c>
      <c r="AQ7" s="16">
        <v>277.04</v>
      </c>
      <c r="AR7" s="16">
        <f t="shared" si="4"/>
        <v>7.24555</v>
      </c>
      <c r="AU7" s="16">
        <v>283.07722</v>
      </c>
      <c r="AV7" s="16">
        <v>1721.0</v>
      </c>
      <c r="AW7" s="16">
        <v>277.29</v>
      </c>
      <c r="AX7" s="16">
        <f t="shared" si="5"/>
        <v>5.78722</v>
      </c>
      <c r="BB7" s="16">
        <v>279.59445</v>
      </c>
      <c r="BC7" s="16">
        <v>1726.0</v>
      </c>
      <c r="BD7" s="16">
        <v>271.19</v>
      </c>
      <c r="BE7" s="16">
        <f t="shared" si="6"/>
        <v>8.40445</v>
      </c>
      <c r="BH7" s="16">
        <v>279.77423</v>
      </c>
      <c r="BI7" s="16">
        <v>1720.0</v>
      </c>
      <c r="BJ7" s="16">
        <v>272.51</v>
      </c>
      <c r="BK7" s="16">
        <f t="shared" si="7"/>
        <v>7.26423</v>
      </c>
      <c r="BN7" s="19">
        <v>280.4973</v>
      </c>
      <c r="BO7" s="20">
        <v>1719.0</v>
      </c>
      <c r="BP7" s="20">
        <v>273.64</v>
      </c>
      <c r="BQ7" s="20">
        <v>6.8573</v>
      </c>
      <c r="BT7" s="19">
        <v>286.5075</v>
      </c>
      <c r="BU7" s="20">
        <v>1720.0</v>
      </c>
      <c r="BV7" s="20">
        <v>278.56</v>
      </c>
      <c r="BW7" s="20">
        <v>7.9475</v>
      </c>
      <c r="BZ7" s="16">
        <v>286.45296</v>
      </c>
      <c r="CA7" s="16">
        <v>1718.0</v>
      </c>
      <c r="CB7" s="16">
        <v>278.72</v>
      </c>
      <c r="CC7" s="16">
        <f t="shared" si="8"/>
        <v>7.73296</v>
      </c>
      <c r="CF7" s="16">
        <v>285.19519</v>
      </c>
      <c r="CG7" s="16">
        <v>1720.0</v>
      </c>
      <c r="CH7" s="16">
        <v>278.57</v>
      </c>
      <c r="CI7" s="16">
        <f t="shared" si="9"/>
        <v>6.62519</v>
      </c>
      <c r="CL7" s="30">
        <v>292.685</v>
      </c>
      <c r="CM7" s="20">
        <v>1721.0</v>
      </c>
      <c r="CN7" s="20">
        <v>283.22</v>
      </c>
      <c r="CO7" s="20">
        <v>9.465</v>
      </c>
      <c r="CR7" s="16">
        <v>290.30083</v>
      </c>
      <c r="CS7" s="16">
        <v>1720.0</v>
      </c>
      <c r="CT7" s="16">
        <v>282.09</v>
      </c>
      <c r="CU7" s="16">
        <f t="shared" si="10"/>
        <v>8.21083</v>
      </c>
      <c r="CX7" s="16">
        <v>289.01666</v>
      </c>
      <c r="CY7" s="16">
        <v>1722.0</v>
      </c>
      <c r="CZ7" s="16">
        <v>281.54</v>
      </c>
      <c r="DA7" s="16">
        <f t="shared" si="11"/>
        <v>7.47666</v>
      </c>
      <c r="DD7" s="16">
        <v>288.43708</v>
      </c>
      <c r="DE7" s="16">
        <v>1721.0</v>
      </c>
      <c r="DF7" s="16">
        <v>282.07</v>
      </c>
      <c r="DG7" s="16">
        <f t="shared" si="12"/>
        <v>6.36708</v>
      </c>
    </row>
    <row r="8" ht="15.0" customHeight="1">
      <c r="E8" s="16">
        <v>286.62786</v>
      </c>
      <c r="F8" s="16">
        <v>7840.0</v>
      </c>
      <c r="G8" s="34">
        <v>275.89</v>
      </c>
      <c r="H8" s="16">
        <f t="shared" si="1"/>
        <v>10.73786</v>
      </c>
      <c r="K8" s="32">
        <v>284.41435</v>
      </c>
      <c r="L8" s="33">
        <v>2194.0</v>
      </c>
      <c r="M8" s="33">
        <v>275.04</v>
      </c>
      <c r="N8" s="33">
        <v>9.37435</v>
      </c>
      <c r="Q8" s="16">
        <v>283.30357</v>
      </c>
      <c r="R8" s="16">
        <v>2194.0</v>
      </c>
      <c r="S8" s="16">
        <v>275.39</v>
      </c>
      <c r="T8" s="16">
        <f t="shared" si="2"/>
        <v>7.91357</v>
      </c>
      <c r="W8" s="19">
        <v>283.3997</v>
      </c>
      <c r="X8" s="20">
        <v>2193.0</v>
      </c>
      <c r="Y8" s="20">
        <v>277.87</v>
      </c>
      <c r="Z8" s="20">
        <v>5.52965</v>
      </c>
      <c r="AC8" s="19">
        <v>285.6386</v>
      </c>
      <c r="AD8" s="20">
        <v>2197.0</v>
      </c>
      <c r="AE8" s="20">
        <v>275.13</v>
      </c>
      <c r="AF8" s="20">
        <v>10.50861</v>
      </c>
      <c r="AI8" s="16">
        <v>284.20222</v>
      </c>
      <c r="AJ8" s="16">
        <v>2195.0</v>
      </c>
      <c r="AK8" s="16">
        <v>274.75</v>
      </c>
      <c r="AL8" s="16">
        <f t="shared" si="3"/>
        <v>9.45222</v>
      </c>
      <c r="AO8" s="16">
        <v>284.38889</v>
      </c>
      <c r="AP8" s="16">
        <v>2193.0</v>
      </c>
      <c r="AQ8" s="16">
        <v>277.42</v>
      </c>
      <c r="AR8" s="16">
        <f t="shared" si="4"/>
        <v>6.96889</v>
      </c>
      <c r="AU8" s="16">
        <v>283.40917</v>
      </c>
      <c r="AV8" s="16">
        <v>2194.0</v>
      </c>
      <c r="AW8" s="16">
        <v>277.73</v>
      </c>
      <c r="AX8" s="16">
        <f t="shared" si="5"/>
        <v>5.67917</v>
      </c>
      <c r="BB8" s="16">
        <v>279.51815</v>
      </c>
      <c r="BC8" s="16">
        <v>2198.0</v>
      </c>
      <c r="BD8" s="16">
        <v>271.29</v>
      </c>
      <c r="BE8" s="16">
        <f t="shared" si="6"/>
        <v>8.22815</v>
      </c>
      <c r="BH8" s="16">
        <v>279.71556</v>
      </c>
      <c r="BI8" s="16">
        <v>2193.0</v>
      </c>
      <c r="BJ8" s="16">
        <v>272.26</v>
      </c>
      <c r="BK8" s="16">
        <f t="shared" si="7"/>
        <v>7.45556</v>
      </c>
      <c r="BN8" s="19">
        <v>280.6877</v>
      </c>
      <c r="BO8" s="20">
        <v>2191.0</v>
      </c>
      <c r="BP8" s="20">
        <v>273.54</v>
      </c>
      <c r="BQ8" s="20">
        <v>7.14768</v>
      </c>
      <c r="BT8" s="19">
        <v>286.2626</v>
      </c>
      <c r="BU8" s="20">
        <v>2192.0</v>
      </c>
      <c r="BV8" s="20">
        <v>278.41</v>
      </c>
      <c r="BW8" s="20">
        <v>7.85259</v>
      </c>
      <c r="BZ8" s="16">
        <v>286.69074</v>
      </c>
      <c r="CA8" s="16">
        <v>2191.0</v>
      </c>
      <c r="CB8" s="16">
        <v>278.95</v>
      </c>
      <c r="CC8" s="16">
        <f t="shared" si="8"/>
        <v>7.74074</v>
      </c>
      <c r="CF8" s="16">
        <v>285.45296</v>
      </c>
      <c r="CG8" s="16">
        <v>2196.0</v>
      </c>
      <c r="CH8" s="16">
        <v>278.6</v>
      </c>
      <c r="CI8" s="16">
        <f t="shared" si="9"/>
        <v>6.85296</v>
      </c>
      <c r="CL8" s="14">
        <v>292.6391</v>
      </c>
      <c r="CM8" s="20">
        <v>2194.0</v>
      </c>
      <c r="CN8" s="20">
        <v>283.05</v>
      </c>
      <c r="CO8" s="20">
        <v>9.58914</v>
      </c>
      <c r="CR8" s="16">
        <v>290.54333</v>
      </c>
      <c r="CS8" s="16">
        <v>2191.0</v>
      </c>
      <c r="CT8" s="16">
        <v>282.51</v>
      </c>
      <c r="CU8" s="16">
        <f t="shared" si="10"/>
        <v>8.03333</v>
      </c>
      <c r="CX8" s="16">
        <v>288.94044</v>
      </c>
      <c r="CY8" s="16">
        <v>2195.0</v>
      </c>
      <c r="CZ8" s="16">
        <v>281.54</v>
      </c>
      <c r="DA8" s="16">
        <f t="shared" si="11"/>
        <v>7.40044</v>
      </c>
      <c r="DD8" s="16">
        <v>288.38261</v>
      </c>
      <c r="DE8" s="16">
        <v>2194.0</v>
      </c>
      <c r="DF8" s="16">
        <v>282.6</v>
      </c>
      <c r="DG8" s="16">
        <f t="shared" si="12"/>
        <v>5.78261</v>
      </c>
    </row>
    <row r="9" ht="15.0" customHeight="1">
      <c r="E9" s="16">
        <v>286.71241</v>
      </c>
      <c r="F9" s="16">
        <v>8313.0</v>
      </c>
      <c r="G9" s="16">
        <v>275.85</v>
      </c>
      <c r="H9" s="16">
        <f t="shared" si="1"/>
        <v>10.86241</v>
      </c>
      <c r="K9" s="32">
        <v>284.02913</v>
      </c>
      <c r="L9" s="33">
        <v>2668.0</v>
      </c>
      <c r="M9" s="33">
        <v>274.95</v>
      </c>
      <c r="N9" s="33">
        <v>9.07913</v>
      </c>
      <c r="Q9" s="16">
        <v>283.26643</v>
      </c>
      <c r="R9" s="16">
        <v>2667.0</v>
      </c>
      <c r="S9" s="16">
        <v>275.54</v>
      </c>
      <c r="T9" s="16">
        <f t="shared" si="2"/>
        <v>7.72643</v>
      </c>
      <c r="W9" s="19">
        <v>283.5889</v>
      </c>
      <c r="X9" s="20">
        <v>2666.0</v>
      </c>
      <c r="Y9" s="20">
        <v>278.01</v>
      </c>
      <c r="Z9" s="20">
        <v>5.57893</v>
      </c>
      <c r="AC9" s="19">
        <v>285.4853</v>
      </c>
      <c r="AD9" s="20">
        <v>2669.0</v>
      </c>
      <c r="AE9" s="20">
        <v>275.08</v>
      </c>
      <c r="AF9" s="20">
        <v>10.40529</v>
      </c>
      <c r="AI9" s="16">
        <v>284.22611</v>
      </c>
      <c r="AJ9" s="16">
        <v>2669.0</v>
      </c>
      <c r="AK9" s="16">
        <v>274.67</v>
      </c>
      <c r="AL9" s="16">
        <f t="shared" si="3"/>
        <v>9.55611</v>
      </c>
      <c r="AO9" s="16">
        <v>284.37889</v>
      </c>
      <c r="AP9" s="16">
        <v>2666.0</v>
      </c>
      <c r="AQ9" s="16">
        <v>277.82</v>
      </c>
      <c r="AR9" s="16">
        <f t="shared" si="4"/>
        <v>6.55889</v>
      </c>
      <c r="AU9" s="16">
        <v>283.45945</v>
      </c>
      <c r="AV9" s="16">
        <v>2666.0</v>
      </c>
      <c r="AW9" s="16">
        <v>278.1</v>
      </c>
      <c r="AX9" s="16">
        <f t="shared" si="5"/>
        <v>5.35945</v>
      </c>
      <c r="BB9" s="16">
        <v>279.87592</v>
      </c>
      <c r="BC9" s="16">
        <v>2672.0</v>
      </c>
      <c r="BD9" s="16">
        <v>270.42</v>
      </c>
      <c r="BE9" s="16">
        <f t="shared" si="6"/>
        <v>9.45592</v>
      </c>
      <c r="BH9" s="16">
        <v>279.75889</v>
      </c>
      <c r="BI9" s="16">
        <v>2666.0</v>
      </c>
      <c r="BJ9" s="16">
        <v>272.51</v>
      </c>
      <c r="BK9" s="16">
        <f t="shared" si="7"/>
        <v>7.24889</v>
      </c>
      <c r="BN9" s="19">
        <v>280.7981</v>
      </c>
      <c r="BO9" s="20">
        <v>2665.0</v>
      </c>
      <c r="BP9" s="20">
        <v>274.27</v>
      </c>
      <c r="BQ9" s="20">
        <v>6.52808</v>
      </c>
      <c r="BT9" s="19">
        <v>286.8493</v>
      </c>
      <c r="BU9" s="20">
        <v>2664.0</v>
      </c>
      <c r="BV9" s="20">
        <v>278.26</v>
      </c>
      <c r="BW9" s="20">
        <v>8.58926</v>
      </c>
      <c r="BZ9" s="16">
        <v>286.81111</v>
      </c>
      <c r="CA9" s="16">
        <v>2665.0</v>
      </c>
      <c r="CB9" s="16">
        <v>278.82</v>
      </c>
      <c r="CC9" s="16">
        <f t="shared" si="8"/>
        <v>7.99111</v>
      </c>
      <c r="CF9" s="16">
        <v>285.51481</v>
      </c>
      <c r="CG9" s="16">
        <v>2670.0</v>
      </c>
      <c r="CH9" s="16">
        <v>278.16</v>
      </c>
      <c r="CI9" s="16">
        <f t="shared" si="9"/>
        <v>7.35481</v>
      </c>
      <c r="CL9" s="19">
        <v>292.6592</v>
      </c>
      <c r="CM9" s="20">
        <v>2668.0</v>
      </c>
      <c r="CN9" s="20">
        <v>282.95</v>
      </c>
      <c r="CO9" s="20">
        <v>9.70916</v>
      </c>
      <c r="CR9" s="16">
        <v>290.51458</v>
      </c>
      <c r="CS9" s="16">
        <v>2666.0</v>
      </c>
      <c r="CT9" s="16">
        <v>282.22</v>
      </c>
      <c r="CU9" s="16">
        <f t="shared" si="10"/>
        <v>8.29458</v>
      </c>
      <c r="CX9" s="16">
        <v>288.96041</v>
      </c>
      <c r="CY9" s="16">
        <v>2670.0</v>
      </c>
      <c r="CZ9" s="16">
        <v>281.48</v>
      </c>
      <c r="DA9" s="16">
        <f t="shared" si="11"/>
        <v>7.48041</v>
      </c>
      <c r="DD9" s="16">
        <v>288.47459</v>
      </c>
      <c r="DE9" s="16">
        <v>2667.0</v>
      </c>
      <c r="DF9" s="16">
        <v>282.38</v>
      </c>
      <c r="DG9" s="16">
        <f t="shared" si="12"/>
        <v>6.09459</v>
      </c>
    </row>
    <row r="10" ht="15.0" customHeight="1">
      <c r="E10" s="34">
        <v>286.37042</v>
      </c>
      <c r="F10" s="16">
        <v>8787.0</v>
      </c>
      <c r="G10" s="16">
        <v>275.14</v>
      </c>
      <c r="H10" s="16">
        <f t="shared" si="1"/>
        <v>11.23042</v>
      </c>
      <c r="K10" s="32">
        <v>284.12036</v>
      </c>
      <c r="L10" s="33">
        <v>3141.0</v>
      </c>
      <c r="M10" s="33">
        <v>274.54</v>
      </c>
      <c r="N10" s="33">
        <v>9.58036</v>
      </c>
      <c r="Q10" s="16">
        <v>283.36143</v>
      </c>
      <c r="R10" s="16">
        <v>3140.0</v>
      </c>
      <c r="S10" s="16">
        <v>275.6</v>
      </c>
      <c r="T10" s="16">
        <f t="shared" si="2"/>
        <v>7.76143</v>
      </c>
      <c r="W10" s="19">
        <v>283.6629</v>
      </c>
      <c r="X10" s="20">
        <v>3140.0</v>
      </c>
      <c r="Y10" s="20">
        <v>278.04</v>
      </c>
      <c r="Z10" s="20">
        <v>5.62286</v>
      </c>
      <c r="AC10" s="24">
        <v>284.0442</v>
      </c>
      <c r="AD10" s="25">
        <v>3142.0</v>
      </c>
      <c r="AE10" s="25">
        <v>274.12</v>
      </c>
      <c r="AF10" s="25">
        <v>9.92417</v>
      </c>
      <c r="AI10" s="16">
        <v>284.21417</v>
      </c>
      <c r="AJ10" s="16">
        <v>3141.0</v>
      </c>
      <c r="AK10" s="16">
        <v>275.17</v>
      </c>
      <c r="AL10" s="16">
        <f t="shared" si="3"/>
        <v>9.04417</v>
      </c>
      <c r="AO10" s="16">
        <v>284.74778</v>
      </c>
      <c r="AP10" s="16">
        <v>3139.0</v>
      </c>
      <c r="AQ10" s="16">
        <v>278.03</v>
      </c>
      <c r="AR10" s="16">
        <f t="shared" si="4"/>
        <v>6.71778</v>
      </c>
      <c r="AU10" s="16">
        <v>283.66028</v>
      </c>
      <c r="AV10" s="16">
        <v>3140.0</v>
      </c>
      <c r="AW10" s="16">
        <v>278.12</v>
      </c>
      <c r="AX10" s="16">
        <f t="shared" si="5"/>
        <v>5.54028</v>
      </c>
      <c r="BB10" s="16">
        <v>279.50153</v>
      </c>
      <c r="BC10" s="16">
        <v>3146.0</v>
      </c>
      <c r="BD10" s="16">
        <v>271.82</v>
      </c>
      <c r="BE10" s="16">
        <f t="shared" si="6"/>
        <v>7.68153</v>
      </c>
      <c r="BH10" s="16">
        <v>279.82963</v>
      </c>
      <c r="BI10" s="16">
        <v>3143.0</v>
      </c>
      <c r="BJ10" s="16">
        <v>272.78</v>
      </c>
      <c r="BK10" s="16">
        <f t="shared" si="7"/>
        <v>7.04963</v>
      </c>
      <c r="BN10" s="19">
        <v>280.8356</v>
      </c>
      <c r="BO10" s="20">
        <v>3139.0</v>
      </c>
      <c r="BP10" s="20">
        <v>274.06</v>
      </c>
      <c r="BQ10" s="20">
        <v>6.77555</v>
      </c>
      <c r="BT10" s="19">
        <v>286.8493</v>
      </c>
      <c r="BU10" s="20">
        <v>3139.0</v>
      </c>
      <c r="BV10" s="31">
        <v>278.04</v>
      </c>
      <c r="BW10" s="20">
        <v>8.80926</v>
      </c>
      <c r="BZ10" s="16">
        <v>286.13593</v>
      </c>
      <c r="CA10" s="16">
        <v>3139.0</v>
      </c>
      <c r="CB10" s="16">
        <v>278.41</v>
      </c>
      <c r="CC10" s="16">
        <f t="shared" si="8"/>
        <v>7.72593</v>
      </c>
      <c r="CF10" s="16">
        <v>285.40692</v>
      </c>
      <c r="CG10" s="16">
        <v>3140.0</v>
      </c>
      <c r="CH10" s="16">
        <v>278.51</v>
      </c>
      <c r="CI10" s="16">
        <f t="shared" si="9"/>
        <v>6.89692</v>
      </c>
      <c r="CL10" s="19">
        <v>292.8665</v>
      </c>
      <c r="CM10" s="20">
        <v>3141.0</v>
      </c>
      <c r="CN10" s="20">
        <v>282.95</v>
      </c>
      <c r="CO10" s="20">
        <v>9.91651</v>
      </c>
      <c r="CR10" s="16">
        <v>290.33833</v>
      </c>
      <c r="CS10" s="16">
        <v>3138.0</v>
      </c>
      <c r="CT10" s="16">
        <v>281.94</v>
      </c>
      <c r="CU10" s="16">
        <f t="shared" si="10"/>
        <v>8.39833</v>
      </c>
      <c r="CX10" s="16">
        <v>288.91916</v>
      </c>
      <c r="CY10" s="16">
        <v>3142.0</v>
      </c>
      <c r="CZ10" s="16">
        <v>281.1</v>
      </c>
      <c r="DA10" s="16">
        <f t="shared" si="11"/>
        <v>7.81916</v>
      </c>
      <c r="DD10" s="16">
        <v>288.1675</v>
      </c>
      <c r="DE10" s="16">
        <v>3143.0</v>
      </c>
      <c r="DF10" s="16">
        <v>282.35</v>
      </c>
      <c r="DG10" s="16">
        <f t="shared" si="12"/>
        <v>5.8175</v>
      </c>
    </row>
    <row r="11" ht="15.0" customHeight="1">
      <c r="E11" s="16">
        <v>286.60292</v>
      </c>
      <c r="F11" s="16">
        <v>9260.0</v>
      </c>
      <c r="G11" s="16">
        <v>275.39</v>
      </c>
      <c r="H11" s="16">
        <f t="shared" si="1"/>
        <v>11.21292</v>
      </c>
      <c r="K11" s="32">
        <v>283.89179</v>
      </c>
      <c r="L11" s="33">
        <v>3615.0</v>
      </c>
      <c r="M11" s="33">
        <v>274.76</v>
      </c>
      <c r="N11" s="33">
        <v>9.13179</v>
      </c>
      <c r="Q11" s="16">
        <v>283.66857</v>
      </c>
      <c r="R11" s="16">
        <v>3613.0</v>
      </c>
      <c r="S11" s="16">
        <v>275.98</v>
      </c>
      <c r="T11" s="16">
        <f t="shared" si="2"/>
        <v>7.68857</v>
      </c>
      <c r="V11" s="13" t="s">
        <v>24</v>
      </c>
      <c r="W11" s="24">
        <v>283.7814</v>
      </c>
      <c r="X11" s="25">
        <v>3614.0</v>
      </c>
      <c r="Y11" s="25">
        <v>280.57</v>
      </c>
      <c r="Z11" s="25">
        <v>3.21143</v>
      </c>
      <c r="AC11" s="24">
        <v>284.8024</v>
      </c>
      <c r="AD11" s="25">
        <v>3617.0</v>
      </c>
      <c r="AE11" s="25">
        <v>274.69</v>
      </c>
      <c r="AF11" s="25">
        <v>10.11243</v>
      </c>
      <c r="AI11" s="16">
        <v>284.39056</v>
      </c>
      <c r="AJ11" s="16">
        <v>3615.0</v>
      </c>
      <c r="AK11" s="16">
        <v>274.89</v>
      </c>
      <c r="AL11" s="16">
        <f t="shared" si="3"/>
        <v>9.50056</v>
      </c>
      <c r="AO11" s="16">
        <v>284.63111</v>
      </c>
      <c r="AP11" s="16">
        <v>3613.0</v>
      </c>
      <c r="AQ11" s="16">
        <v>278.07</v>
      </c>
      <c r="AR11" s="16">
        <f t="shared" si="4"/>
        <v>6.56111</v>
      </c>
      <c r="AU11" s="16">
        <v>283.87622</v>
      </c>
      <c r="AV11" s="16">
        <v>3613.0</v>
      </c>
      <c r="AW11" s="16">
        <v>278.67</v>
      </c>
      <c r="AX11" s="16">
        <f t="shared" si="5"/>
        <v>5.20622</v>
      </c>
      <c r="BB11" s="16">
        <v>279.56654</v>
      </c>
      <c r="BC11" s="16">
        <v>3619.0</v>
      </c>
      <c r="BD11" s="16">
        <v>270.73</v>
      </c>
      <c r="BE11" s="16">
        <f t="shared" si="6"/>
        <v>8.83654</v>
      </c>
      <c r="BH11" s="16">
        <v>280.12519</v>
      </c>
      <c r="BI11" s="16">
        <v>3615.0</v>
      </c>
      <c r="BJ11" s="16">
        <v>273.06</v>
      </c>
      <c r="BK11" s="16">
        <f t="shared" si="7"/>
        <v>7.06519</v>
      </c>
      <c r="BM11" s="21" t="s">
        <v>24</v>
      </c>
      <c r="BN11" s="19">
        <v>282.1611</v>
      </c>
      <c r="BO11" s="20">
        <v>3612.0</v>
      </c>
      <c r="BP11" s="20">
        <v>277.39</v>
      </c>
      <c r="BQ11" s="20">
        <v>4.7711</v>
      </c>
      <c r="BT11" s="19">
        <v>286.8719</v>
      </c>
      <c r="BU11" s="20">
        <v>3612.0</v>
      </c>
      <c r="BV11" s="15">
        <v>277.76</v>
      </c>
      <c r="BW11" s="20">
        <v>9.11185</v>
      </c>
      <c r="BZ11" s="16">
        <v>286.33852</v>
      </c>
      <c r="CA11" s="16">
        <v>3611.0</v>
      </c>
      <c r="CB11" s="16">
        <v>278.1</v>
      </c>
      <c r="CC11" s="16">
        <f t="shared" si="8"/>
        <v>8.23852</v>
      </c>
      <c r="CF11" s="16">
        <v>284.68815</v>
      </c>
      <c r="CG11" s="16">
        <v>3615.0</v>
      </c>
      <c r="CH11" s="16">
        <v>278.23</v>
      </c>
      <c r="CI11" s="16">
        <f t="shared" si="9"/>
        <v>6.45815</v>
      </c>
      <c r="CL11" s="19">
        <v>292.8904</v>
      </c>
      <c r="CM11" s="20">
        <v>3615.0</v>
      </c>
      <c r="CN11" s="20">
        <v>283.12</v>
      </c>
      <c r="CO11" s="20">
        <v>9.77042</v>
      </c>
      <c r="CR11" s="16">
        <v>290.36348</v>
      </c>
      <c r="CS11" s="16">
        <v>3614.0</v>
      </c>
      <c r="CT11" s="16">
        <v>281.6</v>
      </c>
      <c r="CU11" s="16">
        <f t="shared" si="10"/>
        <v>8.76348</v>
      </c>
      <c r="CX11" s="16">
        <v>289.07375</v>
      </c>
      <c r="CY11" s="16">
        <v>3615.0</v>
      </c>
      <c r="CZ11" s="16">
        <v>281.73</v>
      </c>
      <c r="DA11" s="16">
        <f t="shared" si="11"/>
        <v>7.34375</v>
      </c>
      <c r="DD11" s="16">
        <v>288.24417</v>
      </c>
      <c r="DE11" s="16">
        <v>3616.0</v>
      </c>
      <c r="DF11" s="16">
        <v>282.22</v>
      </c>
      <c r="DG11" s="16">
        <f t="shared" si="12"/>
        <v>6.02417</v>
      </c>
    </row>
    <row r="12" ht="15.0" customHeight="1">
      <c r="E12" s="16">
        <v>286.55304</v>
      </c>
      <c r="F12" s="16">
        <v>9734.0</v>
      </c>
      <c r="G12" s="16">
        <v>275.23</v>
      </c>
      <c r="H12" s="16">
        <f t="shared" si="1"/>
        <v>11.32304</v>
      </c>
      <c r="J12" s="13" t="s">
        <v>22</v>
      </c>
      <c r="K12" s="35">
        <v>283.5125</v>
      </c>
      <c r="L12" s="36">
        <v>4090.0</v>
      </c>
      <c r="M12" s="36">
        <v>275.42</v>
      </c>
      <c r="N12" s="36">
        <v>8.0925</v>
      </c>
      <c r="P12" s="13" t="s">
        <v>23</v>
      </c>
      <c r="Q12" s="8">
        <v>282.81357</v>
      </c>
      <c r="R12" s="8">
        <v>4087.0</v>
      </c>
      <c r="S12" s="8">
        <v>276.79</v>
      </c>
      <c r="T12" s="8">
        <f t="shared" si="2"/>
        <v>6.02357</v>
      </c>
      <c r="W12" s="19">
        <v>284.0918</v>
      </c>
      <c r="X12" s="20">
        <v>4087.0</v>
      </c>
      <c r="Y12" s="20">
        <v>281.59</v>
      </c>
      <c r="Z12" s="20">
        <v>2.50179</v>
      </c>
      <c r="AB12" s="13" t="s">
        <v>21</v>
      </c>
      <c r="AC12" s="19">
        <v>284.5856</v>
      </c>
      <c r="AD12" s="20">
        <v>4088.0</v>
      </c>
      <c r="AE12" s="20">
        <v>274.79</v>
      </c>
      <c r="AF12" s="20">
        <v>9.79555</v>
      </c>
      <c r="AH12" s="13" t="s">
        <v>22</v>
      </c>
      <c r="AI12" s="8">
        <v>282.61194</v>
      </c>
      <c r="AJ12" s="8">
        <v>4088.0</v>
      </c>
      <c r="AK12" s="8">
        <v>274.29</v>
      </c>
      <c r="AL12" s="8">
        <f t="shared" si="3"/>
        <v>8.32194</v>
      </c>
      <c r="AN12" s="13" t="s">
        <v>23</v>
      </c>
      <c r="AO12" s="8">
        <v>283.39861</v>
      </c>
      <c r="AP12" s="8">
        <v>4059.0</v>
      </c>
      <c r="AQ12" s="8">
        <v>277.49</v>
      </c>
      <c r="AR12" s="8">
        <f t="shared" si="4"/>
        <v>5.90861</v>
      </c>
      <c r="AT12" s="13" t="s">
        <v>24</v>
      </c>
      <c r="AU12" s="8">
        <v>282.78611</v>
      </c>
      <c r="AV12" s="8">
        <v>4088.0</v>
      </c>
      <c r="AW12" s="8">
        <v>279.56</v>
      </c>
      <c r="AX12" s="8">
        <f t="shared" si="5"/>
        <v>3.22611</v>
      </c>
      <c r="BA12" s="13" t="s">
        <v>67</v>
      </c>
      <c r="BB12" s="8">
        <v>279.41885</v>
      </c>
      <c r="BC12" s="8">
        <v>4093.0</v>
      </c>
      <c r="BD12" s="8">
        <v>273.12</v>
      </c>
      <c r="BE12" s="8">
        <f t="shared" si="6"/>
        <v>6.29885</v>
      </c>
      <c r="BH12" s="8">
        <v>279.91769</v>
      </c>
      <c r="BI12" s="8">
        <v>4088.0</v>
      </c>
      <c r="BJ12" s="8">
        <v>273.54</v>
      </c>
      <c r="BK12" s="8">
        <f t="shared" si="7"/>
        <v>6.37769</v>
      </c>
      <c r="BN12" s="19">
        <v>282.1677</v>
      </c>
      <c r="BO12" s="20">
        <v>4086.0</v>
      </c>
      <c r="BP12" s="20">
        <v>277.8</v>
      </c>
      <c r="BQ12" s="20">
        <v>4.3677</v>
      </c>
      <c r="BT12" s="37">
        <v>286.2878</v>
      </c>
      <c r="BU12" s="25">
        <v>4087.0</v>
      </c>
      <c r="BV12" s="25">
        <v>277.73</v>
      </c>
      <c r="BW12" s="25">
        <v>8.55778</v>
      </c>
      <c r="BZ12" s="16">
        <v>285.23704</v>
      </c>
      <c r="CA12" s="16">
        <v>4088.0</v>
      </c>
      <c r="CB12" s="16">
        <v>277.03</v>
      </c>
      <c r="CC12" s="16">
        <f t="shared" si="8"/>
        <v>8.20704</v>
      </c>
      <c r="CF12" s="8">
        <v>283.61037</v>
      </c>
      <c r="CG12" s="8">
        <v>4088.0</v>
      </c>
      <c r="CH12" s="8">
        <v>278.51</v>
      </c>
      <c r="CI12" s="8">
        <f t="shared" si="9"/>
        <v>5.10037</v>
      </c>
      <c r="CL12" s="24">
        <v>291.867</v>
      </c>
      <c r="CM12" s="25">
        <v>4087.0</v>
      </c>
      <c r="CN12" s="25">
        <v>282.05</v>
      </c>
      <c r="CO12" s="25">
        <v>9.81697</v>
      </c>
      <c r="CR12" s="16">
        <v>288.58304</v>
      </c>
      <c r="CS12" s="16">
        <v>4085.0</v>
      </c>
      <c r="CT12" s="16">
        <v>281.2</v>
      </c>
      <c r="CU12" s="16">
        <f t="shared" si="10"/>
        <v>7.38304</v>
      </c>
      <c r="CX12" s="16">
        <v>288.25667</v>
      </c>
      <c r="CY12" s="16">
        <v>4087.0</v>
      </c>
      <c r="CZ12" s="16">
        <v>282.14</v>
      </c>
      <c r="DA12" s="16">
        <f t="shared" si="11"/>
        <v>6.11667</v>
      </c>
      <c r="DD12" s="8">
        <v>287.70667</v>
      </c>
      <c r="DE12" s="8">
        <v>4089.0</v>
      </c>
      <c r="DF12" s="8">
        <v>283.28</v>
      </c>
      <c r="DG12" s="8">
        <f t="shared" si="12"/>
        <v>4.42667</v>
      </c>
    </row>
    <row r="13" ht="15.0" customHeight="1">
      <c r="D13" s="13" t="s">
        <v>21</v>
      </c>
      <c r="E13" s="8">
        <v>285.60792</v>
      </c>
      <c r="F13" s="8">
        <v>10207.0</v>
      </c>
      <c r="G13" s="8">
        <v>275.07</v>
      </c>
      <c r="H13" s="8">
        <f t="shared" si="1"/>
        <v>10.53792</v>
      </c>
      <c r="K13" s="38">
        <v>283.40108</v>
      </c>
      <c r="L13" s="39">
        <v>4562.0</v>
      </c>
      <c r="M13" s="39">
        <v>275.94</v>
      </c>
      <c r="N13" s="39">
        <v>7.46108</v>
      </c>
      <c r="Q13" s="8">
        <v>283.18072</v>
      </c>
      <c r="R13" s="8">
        <v>4560.0</v>
      </c>
      <c r="S13" s="8">
        <v>277.28</v>
      </c>
      <c r="T13" s="8">
        <f t="shared" si="2"/>
        <v>5.90072</v>
      </c>
      <c r="W13" s="19">
        <v>284.4132</v>
      </c>
      <c r="X13" s="20">
        <v>4560.0</v>
      </c>
      <c r="Y13" s="20">
        <v>282.01</v>
      </c>
      <c r="Z13" s="20">
        <v>2.40322</v>
      </c>
      <c r="AC13" s="19">
        <v>284.4286</v>
      </c>
      <c r="AD13" s="20">
        <v>4562.0</v>
      </c>
      <c r="AE13" s="20">
        <v>274.77</v>
      </c>
      <c r="AF13" s="20">
        <v>9.65862</v>
      </c>
      <c r="AI13" s="8">
        <v>284.00189</v>
      </c>
      <c r="AJ13" s="8">
        <v>4560.0</v>
      </c>
      <c r="AK13" s="8">
        <v>276.34</v>
      </c>
      <c r="AL13" s="8">
        <f t="shared" si="3"/>
        <v>7.66189</v>
      </c>
      <c r="AO13" s="8">
        <v>283.0725</v>
      </c>
      <c r="AP13" s="8">
        <v>4533.0</v>
      </c>
      <c r="AQ13" s="8">
        <v>276.84</v>
      </c>
      <c r="AR13" s="8">
        <f t="shared" si="4"/>
        <v>6.2325</v>
      </c>
      <c r="AU13" s="16">
        <v>283.13222</v>
      </c>
      <c r="AV13" s="16">
        <v>4561.0</v>
      </c>
      <c r="AW13" s="16">
        <v>280.38</v>
      </c>
      <c r="AX13" s="16">
        <f t="shared" si="5"/>
        <v>2.75222</v>
      </c>
      <c r="BB13" s="8">
        <v>280.06407</v>
      </c>
      <c r="BC13" s="8">
        <v>5518.0</v>
      </c>
      <c r="BD13" s="8">
        <v>272.85</v>
      </c>
      <c r="BE13" s="8">
        <f t="shared" si="6"/>
        <v>7.21407</v>
      </c>
      <c r="BG13" s="13" t="s">
        <v>68</v>
      </c>
      <c r="BH13" s="8">
        <v>280.67371</v>
      </c>
      <c r="BI13" s="8">
        <v>4559.0</v>
      </c>
      <c r="BJ13" s="8">
        <v>274.32</v>
      </c>
      <c r="BK13" s="8">
        <f t="shared" si="7"/>
        <v>6.35371</v>
      </c>
      <c r="BM13" s="13"/>
      <c r="BN13" s="19">
        <v>282.405</v>
      </c>
      <c r="BO13" s="20">
        <v>4560.0</v>
      </c>
      <c r="BP13" s="20">
        <v>278.28</v>
      </c>
      <c r="BQ13" s="20">
        <v>4.125</v>
      </c>
      <c r="BS13" s="13" t="s">
        <v>66</v>
      </c>
      <c r="BT13" s="40">
        <v>286.3052</v>
      </c>
      <c r="BU13" s="25">
        <v>4559.0</v>
      </c>
      <c r="BV13" s="25">
        <v>278.17</v>
      </c>
      <c r="BW13" s="25">
        <v>8.13518</v>
      </c>
      <c r="BY13" s="13" t="s">
        <v>68</v>
      </c>
      <c r="BZ13" s="8">
        <v>284.89074</v>
      </c>
      <c r="CA13" s="8">
        <v>4560.0</v>
      </c>
      <c r="CB13" s="8">
        <v>277.39</v>
      </c>
      <c r="CC13" s="8">
        <f t="shared" si="8"/>
        <v>7.50074</v>
      </c>
      <c r="CE13" s="13" t="s">
        <v>24</v>
      </c>
      <c r="CF13" s="8">
        <v>283.61037</v>
      </c>
      <c r="CG13" s="8">
        <v>4562.0</v>
      </c>
      <c r="CH13" s="8">
        <v>279.35</v>
      </c>
      <c r="CI13" s="8">
        <f t="shared" si="9"/>
        <v>4.26037</v>
      </c>
      <c r="CK13" s="13" t="s">
        <v>66</v>
      </c>
      <c r="CL13" s="24">
        <v>291.5813</v>
      </c>
      <c r="CM13" s="25">
        <v>4562.0</v>
      </c>
      <c r="CN13" s="25">
        <v>282.22</v>
      </c>
      <c r="CO13" s="25">
        <v>9.36125</v>
      </c>
      <c r="CQ13" s="13" t="s">
        <v>67</v>
      </c>
      <c r="CR13" s="16">
        <v>288.83708</v>
      </c>
      <c r="CS13" s="16">
        <v>4559.0</v>
      </c>
      <c r="CT13" s="16">
        <v>281.45</v>
      </c>
      <c r="CU13" s="16">
        <f t="shared" si="10"/>
        <v>7.38708</v>
      </c>
      <c r="CW13" s="13" t="s">
        <v>68</v>
      </c>
      <c r="CX13" s="16">
        <v>288.5625</v>
      </c>
      <c r="CY13" s="16">
        <v>4561.0</v>
      </c>
      <c r="CZ13" s="16">
        <v>282.23</v>
      </c>
      <c r="DA13" s="16">
        <f t="shared" si="11"/>
        <v>6.3325</v>
      </c>
      <c r="DC13" s="13" t="s">
        <v>24</v>
      </c>
      <c r="DD13" s="16">
        <v>287.78958</v>
      </c>
      <c r="DE13" s="16">
        <v>4561.0</v>
      </c>
      <c r="DF13" s="16">
        <v>283.91</v>
      </c>
      <c r="DG13" s="16">
        <f t="shared" si="12"/>
        <v>3.87958</v>
      </c>
    </row>
    <row r="14" ht="15.0" customHeight="1">
      <c r="E14" s="8">
        <v>285.02739</v>
      </c>
      <c r="F14" s="8">
        <v>10678.0</v>
      </c>
      <c r="G14" s="8">
        <v>275.63</v>
      </c>
      <c r="H14" s="8">
        <f t="shared" si="1"/>
        <v>9.39739</v>
      </c>
      <c r="K14" s="38">
        <v>283.34828</v>
      </c>
      <c r="L14" s="39">
        <v>5033.0</v>
      </c>
      <c r="M14" s="39">
        <v>275.84</v>
      </c>
      <c r="N14" s="39">
        <v>7.50828</v>
      </c>
      <c r="Q14" s="8">
        <v>283.13536</v>
      </c>
      <c r="R14" s="8">
        <v>5035.0</v>
      </c>
      <c r="S14" s="8">
        <v>277.39</v>
      </c>
      <c r="T14" s="8">
        <f t="shared" si="2"/>
        <v>5.74536</v>
      </c>
      <c r="W14" s="19">
        <v>284.5555</v>
      </c>
      <c r="X14" s="20">
        <v>5035.0</v>
      </c>
      <c r="Y14" s="20">
        <v>282.03</v>
      </c>
      <c r="Z14" s="20">
        <v>2.52552</v>
      </c>
      <c r="AC14" s="19">
        <v>284.2944</v>
      </c>
      <c r="AD14" s="20">
        <v>5034.0</v>
      </c>
      <c r="AE14" s="20">
        <v>273.7</v>
      </c>
      <c r="AF14" s="20">
        <v>10.59443</v>
      </c>
      <c r="AI14" s="8">
        <v>284.15556</v>
      </c>
      <c r="AJ14" s="8">
        <v>5034.0</v>
      </c>
      <c r="AK14" s="8">
        <v>276.51</v>
      </c>
      <c r="AL14" s="8">
        <f t="shared" si="3"/>
        <v>7.64556</v>
      </c>
      <c r="AO14" s="8">
        <v>283.00889</v>
      </c>
      <c r="AP14" s="8">
        <v>5006.0</v>
      </c>
      <c r="AQ14" s="8">
        <v>276.85</v>
      </c>
      <c r="AR14" s="8">
        <f t="shared" si="4"/>
        <v>6.15889</v>
      </c>
      <c r="AU14" s="16">
        <v>283.15584</v>
      </c>
      <c r="AV14" s="16">
        <v>5033.0</v>
      </c>
      <c r="AW14" s="16">
        <v>280.42</v>
      </c>
      <c r="AX14" s="16">
        <f t="shared" si="5"/>
        <v>2.73584</v>
      </c>
      <c r="BB14" s="8">
        <v>279.88116</v>
      </c>
      <c r="BC14" s="8">
        <v>5990.0</v>
      </c>
      <c r="BD14" s="8">
        <v>273.07</v>
      </c>
      <c r="BE14" s="8">
        <f t="shared" si="6"/>
        <v>6.81116</v>
      </c>
      <c r="BH14" s="8">
        <v>280.78846</v>
      </c>
      <c r="BI14" s="8">
        <v>5031.0</v>
      </c>
      <c r="BJ14" s="8">
        <v>275.17</v>
      </c>
      <c r="BK14" s="8">
        <f t="shared" si="7"/>
        <v>5.61846</v>
      </c>
      <c r="BN14" s="19">
        <v>282.4748</v>
      </c>
      <c r="BO14" s="20">
        <v>5033.0</v>
      </c>
      <c r="BP14" s="20">
        <v>278.47</v>
      </c>
      <c r="BQ14" s="20">
        <v>4.00481</v>
      </c>
      <c r="BT14" s="19">
        <v>286.287</v>
      </c>
      <c r="BU14" s="20">
        <v>5033.0</v>
      </c>
      <c r="BV14" s="20">
        <v>279.26</v>
      </c>
      <c r="BW14" s="20">
        <v>7.02704</v>
      </c>
      <c r="BZ14" s="8">
        <v>285.10963</v>
      </c>
      <c r="CA14" s="8">
        <v>5033.0</v>
      </c>
      <c r="CB14" s="8">
        <v>277.76</v>
      </c>
      <c r="CC14" s="8">
        <f t="shared" si="8"/>
        <v>7.34963</v>
      </c>
      <c r="CF14" s="16">
        <v>284.98259</v>
      </c>
      <c r="CG14" s="16">
        <v>5034.0</v>
      </c>
      <c r="CH14" s="16">
        <v>279.32</v>
      </c>
      <c r="CI14" s="16">
        <f t="shared" si="9"/>
        <v>5.66259</v>
      </c>
      <c r="CL14" s="19">
        <v>291.1038</v>
      </c>
      <c r="CM14" s="20">
        <v>5037.0</v>
      </c>
      <c r="CN14" s="20">
        <v>281.4</v>
      </c>
      <c r="CO14" s="20">
        <v>9.70376</v>
      </c>
      <c r="CR14" s="16">
        <v>288.94416</v>
      </c>
      <c r="CS14" s="16">
        <v>5033.0</v>
      </c>
      <c r="CT14" s="16">
        <v>281.79</v>
      </c>
      <c r="CU14" s="16">
        <f t="shared" si="10"/>
        <v>7.15416</v>
      </c>
      <c r="CX14" s="16">
        <v>288.56459</v>
      </c>
      <c r="CY14" s="16">
        <v>5034.0</v>
      </c>
      <c r="CZ14" s="16">
        <v>282.32</v>
      </c>
      <c r="DA14" s="16">
        <f t="shared" si="11"/>
        <v>6.24459</v>
      </c>
      <c r="DD14" s="16">
        <v>287.84458</v>
      </c>
      <c r="DE14" s="16">
        <v>5034.0</v>
      </c>
      <c r="DF14" s="16">
        <v>284.07</v>
      </c>
      <c r="DG14" s="16">
        <f t="shared" si="12"/>
        <v>3.77458</v>
      </c>
    </row>
    <row r="15" ht="15.0" customHeight="1">
      <c r="E15" s="16">
        <v>284.88131</v>
      </c>
      <c r="F15" s="16">
        <v>11152.0</v>
      </c>
      <c r="G15" s="16">
        <v>275.7</v>
      </c>
      <c r="H15" s="16">
        <f t="shared" si="1"/>
        <v>9.18131</v>
      </c>
      <c r="K15" s="32">
        <v>283.27464</v>
      </c>
      <c r="L15" s="33">
        <v>5508.0</v>
      </c>
      <c r="M15" s="33">
        <v>275.57</v>
      </c>
      <c r="N15" s="33">
        <v>7.70464</v>
      </c>
      <c r="Q15" s="16">
        <v>283.15858</v>
      </c>
      <c r="R15" s="16">
        <v>5507.0</v>
      </c>
      <c r="S15" s="16">
        <v>277.09</v>
      </c>
      <c r="T15" s="16">
        <f t="shared" si="2"/>
        <v>6.06858</v>
      </c>
      <c r="W15" s="19">
        <v>284.7968</v>
      </c>
      <c r="X15" s="20">
        <v>5507.0</v>
      </c>
      <c r="Y15" s="20">
        <v>282.42</v>
      </c>
      <c r="Z15" s="20">
        <v>2.37679</v>
      </c>
      <c r="AC15" s="19">
        <v>284.3394</v>
      </c>
      <c r="AD15" s="20">
        <v>5508.0</v>
      </c>
      <c r="AE15" s="20">
        <v>274.42</v>
      </c>
      <c r="AF15" s="20">
        <v>9.91943</v>
      </c>
      <c r="AI15" s="16">
        <v>284.13611</v>
      </c>
      <c r="AJ15" s="16">
        <v>5508.0</v>
      </c>
      <c r="AK15" s="16">
        <v>276.95</v>
      </c>
      <c r="AL15" s="16">
        <f t="shared" si="3"/>
        <v>7.18611</v>
      </c>
      <c r="AO15" s="16">
        <v>283.12528</v>
      </c>
      <c r="AP15" s="16">
        <v>5480.0</v>
      </c>
      <c r="AQ15" s="16">
        <v>277.23</v>
      </c>
      <c r="AR15" s="16">
        <f t="shared" si="4"/>
        <v>5.89528</v>
      </c>
      <c r="AU15" s="16">
        <v>283.38487</v>
      </c>
      <c r="AV15" s="16">
        <v>5506.0</v>
      </c>
      <c r="AW15" s="16">
        <v>280.76</v>
      </c>
      <c r="AX15" s="16">
        <f t="shared" si="5"/>
        <v>2.62487</v>
      </c>
      <c r="BB15" s="16">
        <v>279.94846</v>
      </c>
      <c r="BC15" s="16">
        <v>6464.0</v>
      </c>
      <c r="BD15" s="16">
        <v>273.04</v>
      </c>
      <c r="BE15" s="16">
        <f t="shared" si="6"/>
        <v>6.90846</v>
      </c>
      <c r="BH15" s="16">
        <v>280.61296</v>
      </c>
      <c r="BI15" s="16">
        <v>5508.0</v>
      </c>
      <c r="BJ15" s="16">
        <v>274.79</v>
      </c>
      <c r="BK15" s="16">
        <f t="shared" si="7"/>
        <v>5.82296</v>
      </c>
      <c r="BN15" s="19">
        <v>282.7511</v>
      </c>
      <c r="BO15" s="20">
        <v>5505.0</v>
      </c>
      <c r="BP15" s="20">
        <v>278.91</v>
      </c>
      <c r="BQ15" s="20">
        <v>3.84111</v>
      </c>
      <c r="BT15" s="19">
        <v>286.3796</v>
      </c>
      <c r="BU15" s="20">
        <v>5505.0</v>
      </c>
      <c r="BV15" s="20">
        <v>278.76</v>
      </c>
      <c r="BW15" s="20">
        <v>7.61963</v>
      </c>
      <c r="BZ15" s="16">
        <v>285.70259</v>
      </c>
      <c r="CA15" s="16">
        <v>5508.0</v>
      </c>
      <c r="CB15" s="16">
        <v>277.48</v>
      </c>
      <c r="CC15" s="16">
        <f t="shared" si="8"/>
        <v>8.22259</v>
      </c>
      <c r="CF15" s="16">
        <v>285.30629</v>
      </c>
      <c r="CG15" s="16">
        <v>5508.0</v>
      </c>
      <c r="CH15" s="16">
        <v>279.85</v>
      </c>
      <c r="CI15" s="16">
        <f t="shared" si="9"/>
        <v>5.45629</v>
      </c>
      <c r="CL15" s="19">
        <v>291.0274</v>
      </c>
      <c r="CM15" s="20">
        <v>5509.0</v>
      </c>
      <c r="CN15" s="20">
        <v>281.44</v>
      </c>
      <c r="CO15" s="20">
        <v>9.58739</v>
      </c>
      <c r="CR15" s="16">
        <v>289.01666</v>
      </c>
      <c r="CS15" s="16">
        <v>5979.0</v>
      </c>
      <c r="CT15" s="16">
        <v>281.54</v>
      </c>
      <c r="CU15" s="16">
        <f t="shared" si="10"/>
        <v>7.47666</v>
      </c>
      <c r="CX15" s="16">
        <v>288.43708</v>
      </c>
      <c r="CY15" s="16">
        <v>5508.0</v>
      </c>
      <c r="CZ15" s="16">
        <v>282.07</v>
      </c>
      <c r="DA15" s="16">
        <f t="shared" si="11"/>
        <v>6.36708</v>
      </c>
      <c r="DD15" s="16">
        <v>287.89083</v>
      </c>
      <c r="DE15" s="16">
        <v>5509.0</v>
      </c>
      <c r="DF15" s="16">
        <v>284.16</v>
      </c>
      <c r="DG15" s="16">
        <f t="shared" si="12"/>
        <v>3.73083</v>
      </c>
    </row>
    <row r="16" ht="15.0" customHeight="1">
      <c r="E16" s="16">
        <v>284.92348</v>
      </c>
      <c r="F16" s="16">
        <v>11625.0</v>
      </c>
      <c r="G16" s="16">
        <v>274.94</v>
      </c>
      <c r="H16" s="16">
        <f t="shared" si="1"/>
        <v>9.98348</v>
      </c>
      <c r="K16" s="32">
        <v>283.24679</v>
      </c>
      <c r="L16" s="33">
        <v>5980.0</v>
      </c>
      <c r="M16" s="33">
        <v>275.48</v>
      </c>
      <c r="N16" s="33">
        <v>7.76679</v>
      </c>
      <c r="Q16" s="16">
        <v>282.94536</v>
      </c>
      <c r="R16" s="16">
        <v>5981.0</v>
      </c>
      <c r="S16" s="16">
        <v>277.07</v>
      </c>
      <c r="T16" s="16">
        <f t="shared" si="2"/>
        <v>5.87536</v>
      </c>
      <c r="W16" s="19">
        <v>285.1214</v>
      </c>
      <c r="X16" s="20">
        <v>5981.0</v>
      </c>
      <c r="Y16" s="20">
        <v>282.92</v>
      </c>
      <c r="Z16" s="20">
        <v>2.20143</v>
      </c>
      <c r="AC16" s="19">
        <v>284.2022</v>
      </c>
      <c r="AD16" s="20">
        <v>5982.0</v>
      </c>
      <c r="AE16" s="20">
        <v>274.75</v>
      </c>
      <c r="AF16" s="20">
        <v>9.45222</v>
      </c>
      <c r="AI16" s="16">
        <v>284.17167</v>
      </c>
      <c r="AJ16" s="16">
        <v>5981.0</v>
      </c>
      <c r="AK16" s="16">
        <v>276.53</v>
      </c>
      <c r="AL16" s="16">
        <f t="shared" si="3"/>
        <v>7.64167</v>
      </c>
      <c r="AO16" s="16">
        <v>282.98189</v>
      </c>
      <c r="AP16" s="16">
        <v>5953.0</v>
      </c>
      <c r="AQ16" s="16">
        <v>277.22</v>
      </c>
      <c r="AR16" s="16">
        <f t="shared" si="4"/>
        <v>5.76189</v>
      </c>
      <c r="AU16" s="16">
        <v>283.5854</v>
      </c>
      <c r="AV16" s="16">
        <v>5987.0</v>
      </c>
      <c r="AW16" s="16">
        <v>281.0</v>
      </c>
      <c r="AX16" s="16">
        <f t="shared" si="5"/>
        <v>2.5854</v>
      </c>
      <c r="BB16" s="16">
        <v>279.6663</v>
      </c>
      <c r="BC16" s="16">
        <v>6938.0</v>
      </c>
      <c r="BD16" s="16">
        <v>272.7</v>
      </c>
      <c r="BE16" s="16">
        <f t="shared" si="6"/>
        <v>6.9663</v>
      </c>
      <c r="BH16" s="16">
        <v>280.55963</v>
      </c>
      <c r="BI16" s="16">
        <v>5978.0</v>
      </c>
      <c r="BJ16" s="16">
        <v>274.48</v>
      </c>
      <c r="BK16" s="16">
        <f t="shared" si="7"/>
        <v>6.07963</v>
      </c>
      <c r="BN16" s="19">
        <v>283.0983</v>
      </c>
      <c r="BO16" s="20">
        <v>5981.0</v>
      </c>
      <c r="BP16" s="20">
        <v>279.02</v>
      </c>
      <c r="BQ16" s="20">
        <v>4.07834</v>
      </c>
      <c r="BT16" s="19">
        <v>286.5593</v>
      </c>
      <c r="BU16" s="20">
        <v>5980.0</v>
      </c>
      <c r="BV16" s="20">
        <v>278.72</v>
      </c>
      <c r="BW16" s="20">
        <v>7.83926</v>
      </c>
      <c r="BZ16" s="16">
        <v>285.43149</v>
      </c>
      <c r="CA16" s="16">
        <v>5981.0</v>
      </c>
      <c r="CB16" s="16">
        <v>277.79</v>
      </c>
      <c r="CC16" s="16">
        <f t="shared" si="8"/>
        <v>7.64149</v>
      </c>
      <c r="CF16" s="16">
        <v>285.80407</v>
      </c>
      <c r="CG16" s="16">
        <v>5980.0</v>
      </c>
      <c r="CH16" s="16">
        <v>280.42</v>
      </c>
      <c r="CI16" s="16">
        <f t="shared" si="9"/>
        <v>5.38407</v>
      </c>
      <c r="CL16" s="19">
        <v>290.7692</v>
      </c>
      <c r="CM16" s="20">
        <v>5983.0</v>
      </c>
      <c r="CN16" s="20">
        <v>281.53</v>
      </c>
      <c r="CO16" s="20">
        <v>9.23917</v>
      </c>
      <c r="CR16" s="16">
        <v>288.94044</v>
      </c>
      <c r="CS16" s="16">
        <v>6454.0</v>
      </c>
      <c r="CT16" s="16">
        <v>281.48</v>
      </c>
      <c r="CU16" s="16">
        <f t="shared" si="10"/>
        <v>7.46044</v>
      </c>
      <c r="CX16" s="16">
        <v>288.38261</v>
      </c>
      <c r="CY16" s="16">
        <v>5981.0</v>
      </c>
      <c r="CZ16" s="16">
        <v>282.6</v>
      </c>
      <c r="DA16" s="16">
        <f t="shared" si="11"/>
        <v>5.78261</v>
      </c>
      <c r="DD16" s="16">
        <v>287.91625</v>
      </c>
      <c r="DE16" s="16">
        <v>5981.0</v>
      </c>
      <c r="DF16" s="16">
        <v>284.04</v>
      </c>
      <c r="DG16" s="16">
        <f t="shared" si="12"/>
        <v>3.87625</v>
      </c>
    </row>
    <row r="17" ht="15.0" customHeight="1">
      <c r="E17" s="16">
        <v>284.73305</v>
      </c>
      <c r="F17" s="16">
        <v>12099.0</v>
      </c>
      <c r="G17" s="16">
        <v>275.57</v>
      </c>
      <c r="H17" s="16">
        <f t="shared" si="1"/>
        <v>9.16305</v>
      </c>
      <c r="K17" s="32">
        <v>283.46072</v>
      </c>
      <c r="L17" s="33">
        <v>6455.0</v>
      </c>
      <c r="M17" s="33">
        <v>276.03</v>
      </c>
      <c r="N17" s="33">
        <v>7.43072</v>
      </c>
      <c r="Q17" s="16">
        <v>283.1925</v>
      </c>
      <c r="R17" s="16">
        <v>6453.0</v>
      </c>
      <c r="S17" s="16">
        <v>277.51</v>
      </c>
      <c r="T17" s="16">
        <f t="shared" si="2"/>
        <v>5.6825</v>
      </c>
      <c r="W17" s="19">
        <v>285.5164</v>
      </c>
      <c r="X17" s="20">
        <v>6455.0</v>
      </c>
      <c r="Y17" s="20">
        <v>283.17</v>
      </c>
      <c r="Z17" s="20">
        <v>2.34643</v>
      </c>
      <c r="AC17" s="19">
        <v>284.2261</v>
      </c>
      <c r="AD17" s="20">
        <v>6456.0</v>
      </c>
      <c r="AE17" s="20">
        <v>274.67</v>
      </c>
      <c r="AF17" s="20">
        <v>9.5561</v>
      </c>
      <c r="AI17" s="16">
        <v>283.88528</v>
      </c>
      <c r="AJ17" s="16">
        <v>6454.0</v>
      </c>
      <c r="AK17" s="16">
        <v>277.07</v>
      </c>
      <c r="AL17" s="16">
        <f t="shared" si="3"/>
        <v>6.81528</v>
      </c>
      <c r="AO17" s="16">
        <v>283.04833</v>
      </c>
      <c r="AP17" s="16">
        <v>6428.0</v>
      </c>
      <c r="AQ17" s="16">
        <v>277.48</v>
      </c>
      <c r="AR17" s="16">
        <f t="shared" si="4"/>
        <v>5.56833</v>
      </c>
      <c r="AU17" s="16">
        <v>283.75472</v>
      </c>
      <c r="AV17" s="16">
        <v>6456.0</v>
      </c>
      <c r="AW17" s="16">
        <v>281.1</v>
      </c>
      <c r="AX17" s="16">
        <f t="shared" si="5"/>
        <v>2.65472</v>
      </c>
      <c r="BB17" s="16">
        <v>279.94769</v>
      </c>
      <c r="BC17" s="16">
        <v>7412.0</v>
      </c>
      <c r="BD17" s="16">
        <v>272.23</v>
      </c>
      <c r="BE17" s="16">
        <f t="shared" si="6"/>
        <v>7.71769</v>
      </c>
      <c r="BH17" s="16">
        <v>280.49115</v>
      </c>
      <c r="BI17" s="16">
        <v>6451.0</v>
      </c>
      <c r="BJ17" s="16">
        <v>274.16</v>
      </c>
      <c r="BK17" s="16">
        <f t="shared" si="7"/>
        <v>6.33115</v>
      </c>
      <c r="BN17" s="19">
        <v>283.2658</v>
      </c>
      <c r="BO17" s="20">
        <v>6453.0</v>
      </c>
      <c r="BP17" s="20">
        <v>278.87</v>
      </c>
      <c r="BQ17" s="20">
        <v>4.39583</v>
      </c>
      <c r="BT17" s="19">
        <v>286.453</v>
      </c>
      <c r="BU17" s="20">
        <v>6450.0</v>
      </c>
      <c r="BV17" s="20">
        <v>278.72</v>
      </c>
      <c r="BW17" s="20">
        <v>7.73296</v>
      </c>
      <c r="BZ17" s="16">
        <v>285.41334</v>
      </c>
      <c r="CA17" s="16">
        <v>6456.0</v>
      </c>
      <c r="CB17" s="16">
        <v>277.41</v>
      </c>
      <c r="CC17" s="16">
        <f t="shared" si="8"/>
        <v>8.00334</v>
      </c>
      <c r="CF17" s="16">
        <v>285.80407</v>
      </c>
      <c r="CG17" s="16">
        <v>6455.0</v>
      </c>
      <c r="CH17" s="16">
        <v>280.32</v>
      </c>
      <c r="CI17" s="16">
        <f t="shared" si="9"/>
        <v>5.48407</v>
      </c>
      <c r="CL17" s="19">
        <v>290.3008</v>
      </c>
      <c r="CM17" s="20">
        <v>6456.0</v>
      </c>
      <c r="CN17" s="20">
        <v>282.09</v>
      </c>
      <c r="CO17" s="20">
        <v>8.21083</v>
      </c>
      <c r="CR17" s="16">
        <v>288.96041</v>
      </c>
      <c r="CS17" s="16">
        <v>6927.0</v>
      </c>
      <c r="CT17" s="16">
        <v>281.1</v>
      </c>
      <c r="CU17" s="16">
        <f t="shared" si="10"/>
        <v>7.86041</v>
      </c>
      <c r="CX17" s="16">
        <v>288.47459</v>
      </c>
      <c r="CY17" s="16">
        <v>6454.0</v>
      </c>
      <c r="CZ17" s="16">
        <v>282.38</v>
      </c>
      <c r="DA17" s="16">
        <f t="shared" si="11"/>
        <v>6.09459</v>
      </c>
      <c r="DD17" s="16">
        <v>287.51792</v>
      </c>
      <c r="DE17" s="16">
        <v>6455.0</v>
      </c>
      <c r="DF17" s="16">
        <v>284.14</v>
      </c>
      <c r="DG17" s="16">
        <f t="shared" si="12"/>
        <v>3.37792</v>
      </c>
    </row>
    <row r="18" ht="15.0" customHeight="1">
      <c r="E18" s="16">
        <v>284.74305</v>
      </c>
      <c r="F18" s="16">
        <v>12573.0</v>
      </c>
      <c r="G18" s="16">
        <v>275.2</v>
      </c>
      <c r="H18" s="16">
        <f t="shared" si="1"/>
        <v>9.54305</v>
      </c>
      <c r="K18" s="32">
        <v>283.30322</v>
      </c>
      <c r="L18" s="33">
        <v>6927.0</v>
      </c>
      <c r="M18" s="33">
        <v>275.7</v>
      </c>
      <c r="N18" s="33">
        <v>7.60322</v>
      </c>
      <c r="Q18" s="16">
        <v>283.19035</v>
      </c>
      <c r="R18" s="16">
        <v>6927.0</v>
      </c>
      <c r="S18" s="16">
        <v>277.39</v>
      </c>
      <c r="T18" s="16">
        <f t="shared" si="2"/>
        <v>5.80035</v>
      </c>
      <c r="W18" s="19">
        <v>285.6193</v>
      </c>
      <c r="X18" s="20">
        <v>6929.0</v>
      </c>
      <c r="Y18" s="20">
        <v>283.17</v>
      </c>
      <c r="Z18" s="20">
        <v>2.44929</v>
      </c>
      <c r="AC18" s="19">
        <v>284.2142</v>
      </c>
      <c r="AD18" s="20">
        <v>6929.0</v>
      </c>
      <c r="AE18" s="20">
        <v>275.11</v>
      </c>
      <c r="AF18" s="20">
        <v>9.10418</v>
      </c>
      <c r="AI18" s="16">
        <v>284.28555</v>
      </c>
      <c r="AJ18" s="16">
        <v>6927.0</v>
      </c>
      <c r="AK18" s="16">
        <v>277.04</v>
      </c>
      <c r="AL18" s="16">
        <f t="shared" si="3"/>
        <v>7.24555</v>
      </c>
      <c r="AO18" s="16">
        <v>283.07722</v>
      </c>
      <c r="AP18" s="16">
        <v>6900.0</v>
      </c>
      <c r="AQ18" s="16">
        <v>277.29</v>
      </c>
      <c r="AR18" s="16">
        <f t="shared" si="4"/>
        <v>5.78722</v>
      </c>
      <c r="AU18" s="16">
        <v>284.13111</v>
      </c>
      <c r="AV18" s="16">
        <v>6928.0</v>
      </c>
      <c r="AW18" s="16">
        <v>281.78</v>
      </c>
      <c r="AX18" s="16">
        <f t="shared" si="5"/>
        <v>2.35111</v>
      </c>
      <c r="BB18" s="16">
        <v>279.77423</v>
      </c>
      <c r="BC18" s="16">
        <v>7884.0</v>
      </c>
      <c r="BD18" s="16">
        <v>272.51</v>
      </c>
      <c r="BE18" s="16">
        <f t="shared" si="6"/>
        <v>7.26423</v>
      </c>
      <c r="BH18" s="16">
        <v>280.67346</v>
      </c>
      <c r="BI18" s="16">
        <v>6927.0</v>
      </c>
      <c r="BJ18" s="16">
        <v>274.32</v>
      </c>
      <c r="BK18" s="16">
        <f t="shared" si="7"/>
        <v>6.35346</v>
      </c>
      <c r="BN18" s="19">
        <v>283.3592</v>
      </c>
      <c r="BO18" s="20">
        <v>6925.0</v>
      </c>
      <c r="BP18" s="20">
        <v>279.04</v>
      </c>
      <c r="BQ18" s="20">
        <v>4.31916</v>
      </c>
      <c r="BT18" s="19">
        <v>286.6907</v>
      </c>
      <c r="BU18" s="20">
        <v>6923.0</v>
      </c>
      <c r="BV18" s="20">
        <v>278.95</v>
      </c>
      <c r="BW18" s="20">
        <v>7.74074</v>
      </c>
      <c r="BZ18" s="16">
        <v>285.36704</v>
      </c>
      <c r="CA18" s="16">
        <v>6928.0</v>
      </c>
      <c r="CB18" s="16">
        <v>277.57</v>
      </c>
      <c r="CC18" s="16">
        <f t="shared" si="8"/>
        <v>7.79704</v>
      </c>
      <c r="CF18" s="16">
        <v>285.48223</v>
      </c>
      <c r="CG18" s="16">
        <v>6928.0</v>
      </c>
      <c r="CH18" s="16">
        <v>281.44</v>
      </c>
      <c r="CI18" s="16">
        <f t="shared" si="9"/>
        <v>4.04223</v>
      </c>
      <c r="CL18" s="19">
        <v>290.5433</v>
      </c>
      <c r="CM18" s="20">
        <v>6928.0</v>
      </c>
      <c r="CN18" s="20">
        <v>282.47</v>
      </c>
      <c r="CO18" s="20">
        <v>8.07333</v>
      </c>
      <c r="CR18" s="16">
        <v>289.07375</v>
      </c>
      <c r="CS18" s="16">
        <v>7399.0</v>
      </c>
      <c r="CT18" s="16">
        <v>281.73</v>
      </c>
      <c r="CU18" s="16">
        <f t="shared" si="10"/>
        <v>7.34375</v>
      </c>
      <c r="CX18" s="16">
        <v>288.1675</v>
      </c>
      <c r="CY18" s="16">
        <v>6930.0</v>
      </c>
      <c r="CZ18" s="16">
        <v>282.35</v>
      </c>
      <c r="DA18" s="16">
        <f t="shared" si="11"/>
        <v>5.8175</v>
      </c>
      <c r="DD18" s="16">
        <v>287.54417</v>
      </c>
      <c r="DE18" s="16">
        <v>6929.0</v>
      </c>
      <c r="DF18" s="16">
        <v>283.92</v>
      </c>
      <c r="DG18" s="16">
        <f t="shared" si="12"/>
        <v>3.62417</v>
      </c>
    </row>
    <row r="19" ht="15.0" customHeight="1">
      <c r="E19" s="16">
        <v>284.41435</v>
      </c>
      <c r="F19" s="16">
        <v>13045.0</v>
      </c>
      <c r="G19" s="16">
        <v>275.04</v>
      </c>
      <c r="H19" s="16">
        <f t="shared" si="1"/>
        <v>9.37435</v>
      </c>
      <c r="K19" s="32">
        <v>283.30357</v>
      </c>
      <c r="L19" s="33">
        <v>7401.0</v>
      </c>
      <c r="M19" s="33">
        <v>275.39</v>
      </c>
      <c r="N19" s="33">
        <v>7.91357</v>
      </c>
      <c r="Q19" s="16">
        <v>283.2775</v>
      </c>
      <c r="R19" s="16">
        <v>7400.0</v>
      </c>
      <c r="S19" s="16">
        <v>277.54</v>
      </c>
      <c r="T19" s="16">
        <f t="shared" si="2"/>
        <v>5.7375</v>
      </c>
      <c r="W19" s="19">
        <v>285.8881</v>
      </c>
      <c r="X19" s="20">
        <v>7401.0</v>
      </c>
      <c r="Y19" s="20">
        <v>283.66</v>
      </c>
      <c r="Z19" s="20">
        <v>2.22806</v>
      </c>
      <c r="AC19" s="19">
        <v>284.3906</v>
      </c>
      <c r="AD19" s="20">
        <v>7402.0</v>
      </c>
      <c r="AE19" s="20">
        <v>274.9</v>
      </c>
      <c r="AF19" s="20">
        <v>9.49057</v>
      </c>
      <c r="AI19" s="16">
        <v>284.38889</v>
      </c>
      <c r="AJ19" s="16">
        <v>7400.0</v>
      </c>
      <c r="AK19" s="16">
        <v>277.42</v>
      </c>
      <c r="AL19" s="16">
        <f t="shared" si="3"/>
        <v>6.96889</v>
      </c>
      <c r="AO19" s="16">
        <v>283.40917</v>
      </c>
      <c r="AP19" s="16">
        <v>7373.0</v>
      </c>
      <c r="AQ19" s="16">
        <v>277.73</v>
      </c>
      <c r="AR19" s="16">
        <f t="shared" si="4"/>
        <v>5.67917</v>
      </c>
      <c r="AU19" s="16">
        <v>284.00189</v>
      </c>
      <c r="AV19" s="16">
        <v>7403.0</v>
      </c>
      <c r="AW19" s="16">
        <v>281.53</v>
      </c>
      <c r="AX19" s="16">
        <f t="shared" si="5"/>
        <v>2.47189</v>
      </c>
      <c r="BB19" s="16">
        <v>279.71556</v>
      </c>
      <c r="BC19" s="16">
        <v>8357.0</v>
      </c>
      <c r="BD19" s="16">
        <v>272.26</v>
      </c>
      <c r="BE19" s="16">
        <f t="shared" si="6"/>
        <v>7.45556</v>
      </c>
      <c r="BH19" s="16">
        <v>280.49731</v>
      </c>
      <c r="BI19" s="16">
        <v>7399.0</v>
      </c>
      <c r="BJ19" s="16">
        <v>273.54</v>
      </c>
      <c r="BK19" s="16">
        <f t="shared" si="7"/>
        <v>6.95731</v>
      </c>
      <c r="BT19" s="19">
        <v>286.8111</v>
      </c>
      <c r="BU19" s="20">
        <v>7397.0</v>
      </c>
      <c r="BV19" s="20">
        <v>278.82</v>
      </c>
      <c r="BW19" s="20">
        <v>7.99111</v>
      </c>
      <c r="BZ19" s="16">
        <v>285.51148</v>
      </c>
      <c r="CA19" s="16">
        <v>7404.0</v>
      </c>
      <c r="CB19" s="16">
        <v>276.82</v>
      </c>
      <c r="CC19" s="16">
        <f t="shared" si="8"/>
        <v>8.69148</v>
      </c>
      <c r="CF19" s="16">
        <v>286.06666</v>
      </c>
      <c r="CG19" s="16">
        <v>7401.0</v>
      </c>
      <c r="CH19" s="16">
        <v>281.48</v>
      </c>
      <c r="CI19" s="16">
        <f t="shared" si="9"/>
        <v>4.58666</v>
      </c>
      <c r="CL19" s="19">
        <v>290.5146</v>
      </c>
      <c r="CM19" s="20">
        <v>7402.0</v>
      </c>
      <c r="CN19" s="20">
        <v>282.22</v>
      </c>
      <c r="CO19" s="20">
        <v>8.29458</v>
      </c>
      <c r="CX19" s="16">
        <v>288.24417</v>
      </c>
      <c r="CY19" s="16">
        <v>7403.0</v>
      </c>
      <c r="CZ19" s="16">
        <v>282.22</v>
      </c>
      <c r="DA19" s="16">
        <f t="shared" si="11"/>
        <v>6.02417</v>
      </c>
      <c r="DD19" s="16">
        <v>287.51291</v>
      </c>
      <c r="DE19" s="16">
        <v>7402.0</v>
      </c>
      <c r="DF19" s="16">
        <v>283.95</v>
      </c>
      <c r="DG19" s="16">
        <f t="shared" si="12"/>
        <v>3.56291</v>
      </c>
    </row>
    <row r="20" ht="15.0" customHeight="1">
      <c r="E20" s="16">
        <v>284.02913</v>
      </c>
      <c r="F20" s="16">
        <v>13519.0</v>
      </c>
      <c r="G20" s="16">
        <v>274.95</v>
      </c>
      <c r="H20" s="16">
        <f t="shared" si="1"/>
        <v>9.07913</v>
      </c>
      <c r="K20" s="32">
        <v>283.26643</v>
      </c>
      <c r="L20" s="33">
        <v>7874.0</v>
      </c>
      <c r="M20" s="33">
        <v>275.54</v>
      </c>
      <c r="N20" s="33">
        <v>7.72643</v>
      </c>
      <c r="Q20" s="16">
        <v>283.24536</v>
      </c>
      <c r="R20" s="16">
        <v>7873.0</v>
      </c>
      <c r="S20" s="16">
        <v>277.87</v>
      </c>
      <c r="T20" s="16">
        <f t="shared" si="2"/>
        <v>5.37536</v>
      </c>
      <c r="AI20" s="16">
        <v>284.37889</v>
      </c>
      <c r="AJ20" s="16">
        <v>7873.0</v>
      </c>
      <c r="AK20" s="16">
        <v>277.82</v>
      </c>
      <c r="AL20" s="16">
        <f t="shared" si="3"/>
        <v>6.55889</v>
      </c>
      <c r="AO20" s="16">
        <v>283.45945</v>
      </c>
      <c r="AP20" s="16">
        <v>7845.0</v>
      </c>
      <c r="AQ20" s="16">
        <v>278.1</v>
      </c>
      <c r="AR20" s="16">
        <f t="shared" si="4"/>
        <v>5.35945</v>
      </c>
      <c r="BB20" s="16">
        <v>279.75889</v>
      </c>
      <c r="BC20" s="16">
        <v>8830.0</v>
      </c>
      <c r="BD20" s="16">
        <v>272.51</v>
      </c>
      <c r="BE20" s="16">
        <f t="shared" si="6"/>
        <v>7.24889</v>
      </c>
      <c r="BH20" s="16">
        <v>280.68769</v>
      </c>
      <c r="BI20" s="16">
        <v>7869.0</v>
      </c>
      <c r="BJ20" s="16">
        <v>273.54</v>
      </c>
      <c r="BK20" s="16">
        <f t="shared" si="7"/>
        <v>7.14769</v>
      </c>
      <c r="BT20" s="19">
        <v>286.1359</v>
      </c>
      <c r="BU20" s="20">
        <v>7871.0</v>
      </c>
      <c r="BV20" s="20">
        <v>278.41</v>
      </c>
      <c r="BW20" s="20">
        <v>7.72593</v>
      </c>
      <c r="BZ20" s="16">
        <v>285.08296</v>
      </c>
      <c r="CA20" s="16">
        <v>7875.0</v>
      </c>
      <c r="CB20" s="16">
        <v>276.67</v>
      </c>
      <c r="CC20" s="16">
        <f t="shared" si="8"/>
        <v>8.41296</v>
      </c>
      <c r="CF20" s="34">
        <v>285.97348</v>
      </c>
      <c r="CG20" s="34">
        <v>7876.0</v>
      </c>
      <c r="CH20" s="34">
        <v>281.45</v>
      </c>
      <c r="CI20" s="16">
        <f t="shared" si="9"/>
        <v>4.52348</v>
      </c>
      <c r="CL20" s="19">
        <v>290.3383</v>
      </c>
      <c r="CM20" s="20">
        <v>7874.0</v>
      </c>
      <c r="CN20" s="20">
        <v>281.94</v>
      </c>
      <c r="CO20" s="20">
        <v>8.39833</v>
      </c>
    </row>
    <row r="21" ht="15.0" customHeight="1">
      <c r="E21" s="16">
        <v>284.12036</v>
      </c>
      <c r="F21" s="16">
        <v>13992.0</v>
      </c>
      <c r="G21" s="16">
        <v>274.54</v>
      </c>
      <c r="H21" s="16">
        <f t="shared" si="1"/>
        <v>9.58036</v>
      </c>
      <c r="Q21" s="16">
        <v>283.39965</v>
      </c>
      <c r="R21" s="16">
        <v>8346.0</v>
      </c>
      <c r="S21" s="16">
        <v>277.04</v>
      </c>
      <c r="T21" s="16">
        <f t="shared" si="2"/>
        <v>6.35965</v>
      </c>
      <c r="AI21" s="16">
        <v>284.74778</v>
      </c>
      <c r="AJ21" s="16">
        <v>8346.0</v>
      </c>
      <c r="AK21" s="16">
        <v>278.03</v>
      </c>
      <c r="AL21" s="16">
        <f t="shared" si="3"/>
        <v>6.71778</v>
      </c>
      <c r="AO21" s="16">
        <v>283.66028</v>
      </c>
      <c r="AP21" s="16">
        <v>8319.0</v>
      </c>
      <c r="AQ21" s="16">
        <v>278.12</v>
      </c>
      <c r="AR21" s="16">
        <f t="shared" si="4"/>
        <v>5.54028</v>
      </c>
      <c r="BB21" s="16">
        <v>279.82963</v>
      </c>
      <c r="BC21" s="16">
        <v>9307.0</v>
      </c>
      <c r="BD21" s="16">
        <v>272.78</v>
      </c>
      <c r="BE21" s="16">
        <f t="shared" si="6"/>
        <v>7.04963</v>
      </c>
      <c r="BH21" s="16">
        <v>280.79807</v>
      </c>
      <c r="BI21" s="16">
        <v>8343.0</v>
      </c>
      <c r="BJ21" s="16">
        <v>274.26</v>
      </c>
      <c r="BK21" s="16">
        <f t="shared" si="7"/>
        <v>6.53807</v>
      </c>
      <c r="BZ21" s="16">
        <v>284.98074</v>
      </c>
      <c r="CA21" s="16">
        <v>8349.0</v>
      </c>
      <c r="CB21" s="16">
        <v>276.57</v>
      </c>
      <c r="CC21" s="16">
        <f t="shared" si="8"/>
        <v>8.41074</v>
      </c>
      <c r="CF21" s="16">
        <v>286.14167</v>
      </c>
      <c r="CG21" s="16">
        <v>8248.0</v>
      </c>
      <c r="CH21" s="16">
        <v>282.17</v>
      </c>
      <c r="CI21" s="16">
        <f t="shared" si="9"/>
        <v>3.97167</v>
      </c>
      <c r="CL21" s="19">
        <v>290.3635</v>
      </c>
      <c r="CM21" s="20">
        <v>8350.0</v>
      </c>
      <c r="CN21" s="20">
        <v>281.61</v>
      </c>
      <c r="CO21" s="20">
        <v>8.75349</v>
      </c>
    </row>
    <row r="22" ht="15.0" customHeight="1">
      <c r="E22" s="16">
        <v>283.89179</v>
      </c>
      <c r="F22" s="16">
        <v>14466.0</v>
      </c>
      <c r="G22" s="16">
        <v>274.76</v>
      </c>
      <c r="H22" s="16">
        <f t="shared" si="1"/>
        <v>9.13179</v>
      </c>
      <c r="Q22" s="16">
        <v>283.58893</v>
      </c>
      <c r="R22" s="16">
        <v>8820.0</v>
      </c>
      <c r="S22" s="16">
        <v>278.04</v>
      </c>
      <c r="T22" s="16">
        <f t="shared" si="2"/>
        <v>5.54893</v>
      </c>
      <c r="AI22" s="16">
        <v>284.63111</v>
      </c>
      <c r="AJ22" s="16">
        <v>8820.0</v>
      </c>
      <c r="AK22" s="16">
        <v>278.07</v>
      </c>
      <c r="AL22" s="16">
        <f t="shared" si="3"/>
        <v>6.56111</v>
      </c>
      <c r="AO22" s="16">
        <v>283.87622</v>
      </c>
      <c r="AP22" s="16">
        <v>8792.0</v>
      </c>
      <c r="AQ22" s="16">
        <v>278.67</v>
      </c>
      <c r="AR22" s="16">
        <f t="shared" si="4"/>
        <v>5.20622</v>
      </c>
      <c r="BB22" s="16">
        <v>280.12519</v>
      </c>
      <c r="BC22" s="16">
        <v>9779.0</v>
      </c>
      <c r="BD22" s="16">
        <v>273.06</v>
      </c>
      <c r="BE22" s="16">
        <f t="shared" si="6"/>
        <v>7.06519</v>
      </c>
      <c r="BZ22" s="16">
        <v>284.68704</v>
      </c>
      <c r="CA22" s="16">
        <v>8822.0</v>
      </c>
      <c r="CB22" s="16">
        <v>276.54</v>
      </c>
      <c r="CC22" s="16">
        <f t="shared" si="8"/>
        <v>8.14704</v>
      </c>
      <c r="CF22" s="16">
        <v>286.47959</v>
      </c>
      <c r="CG22" s="16">
        <v>8819.0</v>
      </c>
      <c r="CH22" s="16">
        <v>282.79</v>
      </c>
      <c r="CI22" s="16">
        <f t="shared" si="9"/>
        <v>3.68959</v>
      </c>
    </row>
  </sheetData>
  <mergeCells count="18">
    <mergeCell ref="E1:H1"/>
    <mergeCell ref="K1:N1"/>
    <mergeCell ref="Q1:T1"/>
    <mergeCell ref="W1:Z1"/>
    <mergeCell ref="AC1:AF1"/>
    <mergeCell ref="AI1:AL1"/>
    <mergeCell ref="AO1:AR1"/>
    <mergeCell ref="CL1:CO1"/>
    <mergeCell ref="CR1:CU1"/>
    <mergeCell ref="CX1:DA1"/>
    <mergeCell ref="DD1:DG1"/>
    <mergeCell ref="AU1:AX1"/>
    <mergeCell ref="BB1:BE1"/>
    <mergeCell ref="BH1:BK1"/>
    <mergeCell ref="BN1:BQ1"/>
    <mergeCell ref="BT1:BW1"/>
    <mergeCell ref="BZ1:CC1"/>
    <mergeCell ref="CF1:CI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1.11"/>
    <col customWidth="1" min="4" max="4" width="11.67"/>
    <col customWidth="1" min="5" max="26" width="11.11"/>
  </cols>
  <sheetData>
    <row r="1" ht="15.0" customHeight="1">
      <c r="A1" s="1" t="s">
        <v>70</v>
      </c>
      <c r="E1" s="13" t="s">
        <v>27</v>
      </c>
      <c r="F1" s="7" t="s">
        <v>71</v>
      </c>
      <c r="G1" s="3"/>
      <c r="H1" s="3"/>
      <c r="I1" s="4"/>
      <c r="K1" s="13" t="s">
        <v>27</v>
      </c>
      <c r="L1" s="7" t="s">
        <v>72</v>
      </c>
      <c r="M1" s="3"/>
      <c r="N1" s="3"/>
      <c r="O1" s="4"/>
    </row>
    <row r="2" ht="15.0" customHeight="1">
      <c r="A2" s="1" t="s">
        <v>73</v>
      </c>
    </row>
    <row r="3" ht="15.0" customHeight="1">
      <c r="A3" s="1" t="s">
        <v>74</v>
      </c>
      <c r="F3" s="8" t="s">
        <v>10</v>
      </c>
      <c r="G3" s="8" t="s">
        <v>11</v>
      </c>
      <c r="H3" s="8" t="s">
        <v>12</v>
      </c>
      <c r="I3" s="9" t="s">
        <v>75</v>
      </c>
      <c r="L3" s="8" t="s">
        <v>10</v>
      </c>
      <c r="M3" s="8" t="s">
        <v>11</v>
      </c>
      <c r="N3" s="8" t="s">
        <v>12</v>
      </c>
      <c r="O3" s="9" t="s">
        <v>76</v>
      </c>
    </row>
    <row r="4" ht="15.0" customHeight="1">
      <c r="E4" s="13" t="s">
        <v>22</v>
      </c>
      <c r="F4" s="16">
        <v>288.25913</v>
      </c>
      <c r="G4" s="16">
        <v>301.0</v>
      </c>
      <c r="H4" s="16">
        <v>282.57</v>
      </c>
      <c r="I4" s="16">
        <f t="shared" ref="I4:I17" si="1">F4-H4</f>
        <v>5.68913</v>
      </c>
      <c r="K4" s="13" t="s">
        <v>23</v>
      </c>
      <c r="L4" s="16">
        <v>287.17917</v>
      </c>
      <c r="M4" s="16">
        <v>301.0</v>
      </c>
      <c r="N4" s="16">
        <v>282.23</v>
      </c>
      <c r="O4" s="16">
        <f t="shared" ref="O4:O15" si="2">L4-N4</f>
        <v>4.94917</v>
      </c>
    </row>
    <row r="5" ht="15.0" customHeight="1">
      <c r="F5" s="16">
        <v>288.56208</v>
      </c>
      <c r="G5" s="16">
        <v>773.0</v>
      </c>
      <c r="H5" s="16">
        <v>282.92</v>
      </c>
      <c r="I5" s="16">
        <f t="shared" si="1"/>
        <v>5.64208</v>
      </c>
      <c r="L5" s="16">
        <v>287.29304</v>
      </c>
      <c r="M5" s="16">
        <v>771.0</v>
      </c>
      <c r="N5" s="16">
        <v>282.85</v>
      </c>
      <c r="O5" s="16">
        <f t="shared" si="2"/>
        <v>4.44304</v>
      </c>
    </row>
    <row r="6" ht="15.0" customHeight="1">
      <c r="F6" s="16">
        <v>288.31667</v>
      </c>
      <c r="G6" s="16">
        <v>1247.0</v>
      </c>
      <c r="H6" s="16">
        <v>282.79</v>
      </c>
      <c r="I6" s="16">
        <f t="shared" si="1"/>
        <v>5.52667</v>
      </c>
      <c r="L6" s="16">
        <v>287.30087</v>
      </c>
      <c r="M6" s="16">
        <v>1248.0</v>
      </c>
      <c r="N6" s="16">
        <v>282.95</v>
      </c>
      <c r="O6" s="16">
        <f t="shared" si="2"/>
        <v>4.35087</v>
      </c>
    </row>
    <row r="7" ht="15.0" customHeight="1">
      <c r="F7" s="16">
        <v>288.48792</v>
      </c>
      <c r="G7" s="16">
        <v>1721.0</v>
      </c>
      <c r="H7" s="16">
        <v>282.79</v>
      </c>
      <c r="I7" s="16">
        <f t="shared" si="1"/>
        <v>5.69792</v>
      </c>
      <c r="L7" s="16">
        <v>287.09417</v>
      </c>
      <c r="M7" s="16">
        <v>1721.0</v>
      </c>
      <c r="N7" s="16">
        <v>282.63</v>
      </c>
      <c r="O7" s="16">
        <f t="shared" si="2"/>
        <v>4.46417</v>
      </c>
    </row>
    <row r="8" ht="15.0" customHeight="1">
      <c r="F8" s="16">
        <v>288.645</v>
      </c>
      <c r="G8" s="16">
        <v>2193.0</v>
      </c>
      <c r="H8" s="16">
        <v>283.2</v>
      </c>
      <c r="I8" s="16">
        <f t="shared" si="1"/>
        <v>5.445</v>
      </c>
      <c r="L8" s="16">
        <v>286.90348</v>
      </c>
      <c r="M8" s="16">
        <v>2193.0</v>
      </c>
      <c r="N8" s="16">
        <v>282.92</v>
      </c>
      <c r="O8" s="16">
        <f t="shared" si="2"/>
        <v>3.98348</v>
      </c>
    </row>
    <row r="9" ht="15.0" customHeight="1">
      <c r="F9" s="16">
        <v>288.05348</v>
      </c>
      <c r="G9" s="16">
        <v>2668.0</v>
      </c>
      <c r="H9" s="16">
        <v>282.35</v>
      </c>
      <c r="I9" s="16">
        <f t="shared" si="1"/>
        <v>5.70348</v>
      </c>
      <c r="L9" s="16">
        <v>287.14833</v>
      </c>
      <c r="M9" s="16">
        <v>2667.0</v>
      </c>
      <c r="N9" s="16">
        <v>282.89</v>
      </c>
      <c r="O9" s="16">
        <f t="shared" si="2"/>
        <v>4.25833</v>
      </c>
    </row>
    <row r="10" ht="15.0" customHeight="1">
      <c r="F10" s="16">
        <v>288.55708</v>
      </c>
      <c r="G10" s="16">
        <v>3142.0</v>
      </c>
      <c r="H10" s="16">
        <v>282.66</v>
      </c>
      <c r="I10" s="16">
        <f t="shared" si="1"/>
        <v>5.89708</v>
      </c>
      <c r="L10" s="16">
        <v>286.27833</v>
      </c>
      <c r="M10" s="16">
        <v>3249.0</v>
      </c>
      <c r="N10" s="16">
        <v>283.7</v>
      </c>
      <c r="O10" s="16">
        <f t="shared" si="2"/>
        <v>2.57833</v>
      </c>
    </row>
    <row r="11" ht="15.0" customHeight="1">
      <c r="F11" s="16">
        <v>288.18875</v>
      </c>
      <c r="G11" s="16">
        <v>3613.0</v>
      </c>
      <c r="H11" s="16">
        <v>282.76</v>
      </c>
      <c r="I11" s="16">
        <f t="shared" si="1"/>
        <v>5.42875</v>
      </c>
      <c r="L11" s="16">
        <v>286.74167</v>
      </c>
      <c r="M11" s="16">
        <v>3723.0</v>
      </c>
      <c r="N11" s="16">
        <v>284.51</v>
      </c>
      <c r="O11" s="16">
        <f t="shared" si="2"/>
        <v>2.23167</v>
      </c>
    </row>
    <row r="12" ht="15.0" customHeight="1">
      <c r="F12" s="16">
        <v>287.17917</v>
      </c>
      <c r="G12" s="16">
        <v>4088.0</v>
      </c>
      <c r="H12" s="16">
        <v>282.23</v>
      </c>
      <c r="I12" s="16">
        <f t="shared" si="1"/>
        <v>4.94917</v>
      </c>
      <c r="L12" s="16">
        <v>286.85043</v>
      </c>
      <c r="M12" s="16">
        <v>4197.0</v>
      </c>
      <c r="N12" s="16">
        <v>284.76</v>
      </c>
      <c r="O12" s="16">
        <f t="shared" si="2"/>
        <v>2.09043</v>
      </c>
    </row>
    <row r="13" ht="15.0" customHeight="1">
      <c r="E13" s="13" t="s">
        <v>23</v>
      </c>
      <c r="F13" s="16">
        <v>287.29304</v>
      </c>
      <c r="G13" s="16">
        <v>4558.0</v>
      </c>
      <c r="H13" s="16">
        <v>282.85</v>
      </c>
      <c r="I13" s="16">
        <f t="shared" si="1"/>
        <v>4.44304</v>
      </c>
      <c r="K13" s="13" t="s">
        <v>24</v>
      </c>
      <c r="L13" s="16">
        <v>286.99208</v>
      </c>
      <c r="M13" s="16">
        <v>4670.0</v>
      </c>
      <c r="N13" s="16">
        <v>284.75</v>
      </c>
      <c r="O13" s="16">
        <f t="shared" si="2"/>
        <v>2.24208</v>
      </c>
    </row>
    <row r="14" ht="15.0" customHeight="1">
      <c r="F14" s="16">
        <v>287.30087</v>
      </c>
      <c r="G14" s="16">
        <v>5035.0</v>
      </c>
      <c r="H14" s="16">
        <v>282.95</v>
      </c>
      <c r="I14" s="16">
        <f t="shared" si="1"/>
        <v>4.35087</v>
      </c>
      <c r="L14" s="16">
        <v>287.23833</v>
      </c>
      <c r="M14" s="16">
        <v>5243.0</v>
      </c>
      <c r="N14" s="16">
        <v>284.95</v>
      </c>
      <c r="O14" s="16">
        <f t="shared" si="2"/>
        <v>2.28833</v>
      </c>
    </row>
    <row r="15" ht="15.0" customHeight="1">
      <c r="F15" s="16">
        <v>287.09417</v>
      </c>
      <c r="G15" s="16">
        <v>5508.0</v>
      </c>
      <c r="H15" s="16">
        <v>282.63</v>
      </c>
      <c r="I15" s="16">
        <f t="shared" si="1"/>
        <v>4.46417</v>
      </c>
      <c r="L15" s="16">
        <v>287.57478</v>
      </c>
      <c r="M15" s="16">
        <v>5615.0</v>
      </c>
      <c r="N15" s="16">
        <v>285.14</v>
      </c>
      <c r="O15" s="16">
        <f t="shared" si="2"/>
        <v>2.43478</v>
      </c>
    </row>
    <row r="16" ht="15.0" customHeight="1">
      <c r="F16" s="16">
        <v>286.90348</v>
      </c>
      <c r="G16" s="16">
        <v>5980.0</v>
      </c>
      <c r="H16" s="16">
        <v>282.92</v>
      </c>
      <c r="I16" s="16">
        <f t="shared" si="1"/>
        <v>3.98348</v>
      </c>
    </row>
    <row r="17" ht="15.0" customHeight="1">
      <c r="F17" s="16">
        <v>287.14833</v>
      </c>
      <c r="G17" s="16">
        <v>6454.0</v>
      </c>
      <c r="H17" s="16">
        <v>282.89</v>
      </c>
      <c r="I17" s="16">
        <f t="shared" si="1"/>
        <v>4.25833</v>
      </c>
    </row>
  </sheetData>
  <mergeCells count="2">
    <mergeCell ref="F1:I1"/>
    <mergeCell ref="L1:O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5" width="8.56"/>
  </cols>
  <sheetData>
    <row r="1" ht="15.0" customHeight="1">
      <c r="A1" s="1" t="s">
        <v>77</v>
      </c>
      <c r="F1" s="5"/>
      <c r="G1" s="41" t="s">
        <v>78</v>
      </c>
      <c r="H1" s="3"/>
      <c r="I1" s="3"/>
      <c r="J1" s="4"/>
      <c r="K1" s="5"/>
      <c r="L1" s="5"/>
      <c r="M1" s="41" t="s">
        <v>79</v>
      </c>
      <c r="N1" s="3"/>
      <c r="O1" s="3"/>
      <c r="P1" s="4"/>
      <c r="R1" s="5"/>
      <c r="S1" s="41" t="s">
        <v>80</v>
      </c>
      <c r="T1" s="3"/>
      <c r="U1" s="3"/>
      <c r="V1" s="4"/>
      <c r="X1" s="13" t="s">
        <v>27</v>
      </c>
      <c r="Y1" s="2" t="s">
        <v>81</v>
      </c>
      <c r="Z1" s="3"/>
      <c r="AA1" s="3"/>
      <c r="AB1" s="4"/>
      <c r="AD1" s="13" t="s">
        <v>27</v>
      </c>
      <c r="AE1" s="2" t="s">
        <v>82</v>
      </c>
      <c r="AF1" s="3"/>
      <c r="AG1" s="3"/>
      <c r="AH1" s="4"/>
    </row>
    <row r="2" ht="15.0" customHeight="1">
      <c r="A2" s="1" t="s">
        <v>83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R2" s="5"/>
      <c r="S2" s="5"/>
      <c r="T2" s="5"/>
      <c r="U2" s="5"/>
      <c r="V2" s="5"/>
    </row>
    <row r="3" ht="15.0" customHeight="1">
      <c r="A3" s="1" t="s">
        <v>84</v>
      </c>
      <c r="F3" s="5"/>
      <c r="G3" s="10" t="s">
        <v>10</v>
      </c>
      <c r="H3" s="11" t="s">
        <v>11</v>
      </c>
      <c r="I3" s="11" t="s">
        <v>12</v>
      </c>
      <c r="J3" s="11" t="s">
        <v>85</v>
      </c>
      <c r="K3" s="5"/>
      <c r="L3" s="5"/>
      <c r="M3" s="10" t="s">
        <v>10</v>
      </c>
      <c r="N3" s="11" t="s">
        <v>11</v>
      </c>
      <c r="O3" s="11" t="s">
        <v>12</v>
      </c>
      <c r="P3" s="42" t="s">
        <v>85</v>
      </c>
      <c r="R3" s="5"/>
      <c r="S3" s="10" t="s">
        <v>10</v>
      </c>
      <c r="T3" s="11" t="s">
        <v>11</v>
      </c>
      <c r="U3" s="11" t="s">
        <v>12</v>
      </c>
      <c r="V3" s="42" t="s">
        <v>85</v>
      </c>
      <c r="Y3" s="8" t="s">
        <v>10</v>
      </c>
      <c r="Z3" s="8" t="s">
        <v>11</v>
      </c>
      <c r="AA3" s="8" t="s">
        <v>12</v>
      </c>
      <c r="AB3" s="9" t="s">
        <v>86</v>
      </c>
      <c r="AE3" s="8" t="s">
        <v>10</v>
      </c>
      <c r="AF3" s="8" t="s">
        <v>11</v>
      </c>
      <c r="AG3" s="8" t="s">
        <v>12</v>
      </c>
      <c r="AH3" s="9" t="s">
        <v>87</v>
      </c>
    </row>
    <row r="4" ht="15.0" customHeight="1">
      <c r="F4" s="5" t="s">
        <v>65</v>
      </c>
      <c r="G4" s="43">
        <v>285.5308</v>
      </c>
      <c r="H4" s="44">
        <v>301.0</v>
      </c>
      <c r="I4" s="44">
        <v>276.72</v>
      </c>
      <c r="J4" s="44">
        <v>8.81083</v>
      </c>
      <c r="K4" s="5"/>
      <c r="L4" s="5" t="s">
        <v>22</v>
      </c>
      <c r="M4" s="43">
        <v>285.3988</v>
      </c>
      <c r="N4" s="44">
        <v>301.0</v>
      </c>
      <c r="O4" s="44">
        <v>278.7</v>
      </c>
      <c r="P4" s="45">
        <v>6.69875</v>
      </c>
      <c r="Q4" s="13"/>
      <c r="R4" s="5" t="s">
        <v>66</v>
      </c>
      <c r="S4" s="43">
        <v>284.7175</v>
      </c>
      <c r="T4" s="44">
        <v>301.0</v>
      </c>
      <c r="U4" s="44">
        <v>277.87</v>
      </c>
      <c r="V4" s="45">
        <v>6.8475</v>
      </c>
      <c r="W4" s="13"/>
      <c r="X4" s="46" t="s">
        <v>65</v>
      </c>
      <c r="Y4" s="47">
        <v>287.48421</v>
      </c>
      <c r="Z4" s="47">
        <v>360.0</v>
      </c>
      <c r="AA4" s="47">
        <v>281.5</v>
      </c>
      <c r="AB4" s="47">
        <f t="shared" ref="AB4:AB15" si="1">Y4-AA4</f>
        <v>5.98421</v>
      </c>
      <c r="AD4" s="8" t="s">
        <v>22</v>
      </c>
      <c r="AE4" s="47">
        <v>286.40966</v>
      </c>
      <c r="AF4" s="47">
        <v>316.0</v>
      </c>
      <c r="AG4" s="47">
        <v>281.63</v>
      </c>
      <c r="AH4" s="47">
        <f t="shared" ref="AH4:AH17" si="2">AE4-AG4</f>
        <v>4.77966</v>
      </c>
    </row>
    <row r="5" ht="15.0" customHeight="1">
      <c r="F5" s="5"/>
      <c r="G5" s="43">
        <v>285.5504</v>
      </c>
      <c r="H5" s="44">
        <v>776.0</v>
      </c>
      <c r="I5" s="44">
        <v>276.89</v>
      </c>
      <c r="J5" s="44">
        <v>8.66042</v>
      </c>
      <c r="K5" s="5"/>
      <c r="L5" s="5"/>
      <c r="M5" s="43">
        <v>285.3988</v>
      </c>
      <c r="N5" s="44">
        <v>774.0</v>
      </c>
      <c r="O5" s="44">
        <v>278.67</v>
      </c>
      <c r="P5" s="45">
        <v>6.72875</v>
      </c>
      <c r="Q5" s="13"/>
      <c r="R5" s="5"/>
      <c r="S5" s="43">
        <v>284.9133</v>
      </c>
      <c r="T5" s="44">
        <v>775.0</v>
      </c>
      <c r="U5" s="44">
        <v>277.82</v>
      </c>
      <c r="V5" s="45">
        <v>7.09333</v>
      </c>
      <c r="W5" s="13"/>
      <c r="X5" s="46"/>
      <c r="Y5" s="47">
        <v>287.45121</v>
      </c>
      <c r="Z5" s="47">
        <v>834.0</v>
      </c>
      <c r="AA5" s="47">
        <v>281.67001</v>
      </c>
      <c r="AB5" s="47">
        <f t="shared" si="1"/>
        <v>5.7812</v>
      </c>
      <c r="AD5" s="8"/>
      <c r="AE5" s="47">
        <v>286.44667</v>
      </c>
      <c r="AF5" s="47">
        <v>792.0</v>
      </c>
      <c r="AG5" s="47">
        <v>281.57001</v>
      </c>
      <c r="AH5" s="47">
        <f t="shared" si="2"/>
        <v>4.87666</v>
      </c>
    </row>
    <row r="6" ht="15.0" customHeight="1">
      <c r="F6" s="5"/>
      <c r="G6" s="48">
        <v>285.5796</v>
      </c>
      <c r="H6" s="44">
        <v>1248.0</v>
      </c>
      <c r="I6" s="44">
        <v>277.23</v>
      </c>
      <c r="J6" s="44">
        <v>8.34958</v>
      </c>
      <c r="K6" s="5"/>
      <c r="L6" s="5"/>
      <c r="M6" s="43">
        <v>285.3696</v>
      </c>
      <c r="N6" s="44">
        <v>1248.0</v>
      </c>
      <c r="O6" s="44">
        <v>279.23</v>
      </c>
      <c r="P6" s="45">
        <v>6.13957</v>
      </c>
      <c r="Q6" s="13"/>
      <c r="R6" s="5"/>
      <c r="S6" s="43">
        <v>285.0458</v>
      </c>
      <c r="T6" s="44">
        <v>1247.0</v>
      </c>
      <c r="U6" s="44">
        <v>277.64</v>
      </c>
      <c r="V6" s="45">
        <v>7.40584</v>
      </c>
      <c r="W6" s="13"/>
      <c r="X6" s="46"/>
      <c r="Y6" s="47">
        <v>287.32175</v>
      </c>
      <c r="Z6" s="47">
        <v>1306.0</v>
      </c>
      <c r="AA6" s="47">
        <v>281.70999</v>
      </c>
      <c r="AB6" s="47">
        <f t="shared" si="1"/>
        <v>5.61176</v>
      </c>
      <c r="AD6" s="8"/>
      <c r="AE6" s="47">
        <v>286.37158</v>
      </c>
      <c r="AF6" s="47">
        <v>18830.0</v>
      </c>
      <c r="AG6" s="47">
        <v>281.59</v>
      </c>
      <c r="AH6" s="47">
        <f t="shared" si="2"/>
        <v>4.78158</v>
      </c>
    </row>
    <row r="7" ht="15.0" customHeight="1">
      <c r="F7" s="5"/>
      <c r="G7" s="49">
        <v>285.6383</v>
      </c>
      <c r="H7" s="44">
        <v>1722.0</v>
      </c>
      <c r="I7" s="44">
        <v>276.85</v>
      </c>
      <c r="J7" s="44">
        <v>8.78833</v>
      </c>
      <c r="K7" s="5"/>
      <c r="L7" s="5"/>
      <c r="M7" s="43">
        <v>285.4904</v>
      </c>
      <c r="N7" s="44">
        <v>1720.0</v>
      </c>
      <c r="O7" s="44">
        <v>278.81</v>
      </c>
      <c r="P7" s="45">
        <v>6.68042</v>
      </c>
      <c r="Q7" s="13"/>
      <c r="R7" s="5"/>
      <c r="S7" s="43">
        <v>285.0558</v>
      </c>
      <c r="T7" s="44">
        <v>1721.0</v>
      </c>
      <c r="U7" s="44">
        <v>277.57</v>
      </c>
      <c r="V7" s="45">
        <v>7.48583</v>
      </c>
      <c r="W7" s="13"/>
      <c r="X7" s="46"/>
      <c r="Y7" s="47">
        <v>287.44983</v>
      </c>
      <c r="Z7" s="47">
        <v>1780.0</v>
      </c>
      <c r="AA7" s="47">
        <v>281.63</v>
      </c>
      <c r="AB7" s="47">
        <f t="shared" si="1"/>
        <v>5.81983</v>
      </c>
      <c r="AD7" s="8"/>
      <c r="AE7" s="47">
        <v>286.45842</v>
      </c>
      <c r="AF7" s="47">
        <v>19301.0</v>
      </c>
      <c r="AG7" s="47">
        <v>281.60999</v>
      </c>
      <c r="AH7" s="47">
        <f t="shared" si="2"/>
        <v>4.84843</v>
      </c>
    </row>
    <row r="8" ht="15.0" customHeight="1">
      <c r="F8" s="5"/>
      <c r="G8" s="43">
        <v>285.5571</v>
      </c>
      <c r="H8" s="44">
        <v>2196.0</v>
      </c>
      <c r="I8" s="44">
        <v>277.2</v>
      </c>
      <c r="J8" s="44">
        <v>8.35708</v>
      </c>
      <c r="K8" s="5"/>
      <c r="L8" s="5"/>
      <c r="M8" s="43">
        <v>285.3588</v>
      </c>
      <c r="N8" s="44">
        <v>2195.0</v>
      </c>
      <c r="O8" s="44">
        <v>278.85</v>
      </c>
      <c r="P8" s="45">
        <v>6.50875</v>
      </c>
      <c r="Q8" s="13"/>
      <c r="R8" s="5"/>
      <c r="S8" s="43">
        <v>285.1608</v>
      </c>
      <c r="T8" s="44">
        <v>2194.0</v>
      </c>
      <c r="U8" s="44">
        <v>277.89</v>
      </c>
      <c r="V8" s="45">
        <v>7.27083</v>
      </c>
      <c r="W8" s="13"/>
      <c r="X8" s="46"/>
      <c r="Y8" s="47">
        <v>287.37404</v>
      </c>
      <c r="Z8" s="47">
        <v>2253.0</v>
      </c>
      <c r="AA8" s="47">
        <v>281.63</v>
      </c>
      <c r="AB8" s="47">
        <f t="shared" si="1"/>
        <v>5.74404</v>
      </c>
      <c r="AD8" s="8"/>
      <c r="AE8" s="47">
        <v>286.50579</v>
      </c>
      <c r="AF8" s="47">
        <v>19778.0</v>
      </c>
      <c r="AG8" s="47">
        <v>281.5</v>
      </c>
      <c r="AH8" s="47">
        <f t="shared" si="2"/>
        <v>5.00579</v>
      </c>
    </row>
    <row r="9" ht="15.0" customHeight="1">
      <c r="F9" s="5"/>
      <c r="G9" s="43">
        <v>285.6813</v>
      </c>
      <c r="H9" s="44">
        <v>2668.0</v>
      </c>
      <c r="I9" s="44">
        <v>277.51</v>
      </c>
      <c r="J9" s="44">
        <v>8.17125</v>
      </c>
      <c r="K9" s="5"/>
      <c r="L9" s="5"/>
      <c r="M9" s="43">
        <v>285.3925</v>
      </c>
      <c r="N9" s="44">
        <v>2668.0</v>
      </c>
      <c r="O9" s="44">
        <v>279.12</v>
      </c>
      <c r="P9" s="45">
        <v>6.2725</v>
      </c>
      <c r="Q9" s="13"/>
      <c r="R9" s="5"/>
      <c r="S9" s="43">
        <v>285.3646</v>
      </c>
      <c r="T9" s="44">
        <v>2668.0</v>
      </c>
      <c r="U9" s="44">
        <v>278.47</v>
      </c>
      <c r="V9" s="45">
        <v>6.89458</v>
      </c>
      <c r="W9" s="13"/>
      <c r="X9" s="46"/>
      <c r="Y9" s="47">
        <v>287.13224</v>
      </c>
      <c r="Z9" s="47">
        <v>2728.0</v>
      </c>
      <c r="AA9" s="47">
        <v>281.23001</v>
      </c>
      <c r="AB9" s="47">
        <f t="shared" si="1"/>
        <v>5.90223</v>
      </c>
      <c r="AD9" s="8"/>
      <c r="AE9" s="47">
        <v>286.42707</v>
      </c>
      <c r="AF9" s="47">
        <v>20248.0</v>
      </c>
      <c r="AG9" s="47">
        <v>281.35999</v>
      </c>
      <c r="AH9" s="47">
        <f t="shared" si="2"/>
        <v>5.06708</v>
      </c>
    </row>
    <row r="10" ht="15.0" customHeight="1">
      <c r="F10" s="5" t="s">
        <v>22</v>
      </c>
      <c r="G10" s="50">
        <v>285.2388</v>
      </c>
      <c r="H10" s="51">
        <v>3140.0</v>
      </c>
      <c r="I10" s="51">
        <v>278.1</v>
      </c>
      <c r="J10" s="51">
        <v>7.13875</v>
      </c>
      <c r="K10" s="5"/>
      <c r="L10" s="5" t="s">
        <v>24</v>
      </c>
      <c r="M10" s="50">
        <v>284.7938</v>
      </c>
      <c r="N10" s="51">
        <v>3141.0</v>
      </c>
      <c r="O10" s="51">
        <v>281.23</v>
      </c>
      <c r="P10" s="52">
        <v>3.56375</v>
      </c>
      <c r="Q10" s="13"/>
      <c r="R10" s="5" t="s">
        <v>67</v>
      </c>
      <c r="S10" s="50">
        <v>284.4917</v>
      </c>
      <c r="T10" s="51">
        <v>3141.0</v>
      </c>
      <c r="U10" s="51">
        <v>277.72</v>
      </c>
      <c r="V10" s="52">
        <v>6.77167</v>
      </c>
      <c r="W10" s="13"/>
      <c r="X10" s="46" t="s">
        <v>22</v>
      </c>
      <c r="Y10" s="47">
        <v>286.40966</v>
      </c>
      <c r="Z10" s="47">
        <v>3200.0</v>
      </c>
      <c r="AA10" s="47">
        <v>281.63</v>
      </c>
      <c r="AB10" s="47">
        <f t="shared" si="1"/>
        <v>4.77966</v>
      </c>
      <c r="AD10" s="8" t="s">
        <v>24</v>
      </c>
      <c r="AE10" s="8">
        <v>285.48604</v>
      </c>
      <c r="AF10" s="8">
        <v>20722.0</v>
      </c>
      <c r="AG10" s="8">
        <v>282.13</v>
      </c>
      <c r="AH10" s="8">
        <f t="shared" si="2"/>
        <v>3.35604</v>
      </c>
    </row>
    <row r="11" ht="15.0" customHeight="1">
      <c r="F11" s="5"/>
      <c r="G11" s="43">
        <v>285.3988</v>
      </c>
      <c r="H11" s="44">
        <v>3615.0</v>
      </c>
      <c r="I11" s="44">
        <v>278.7</v>
      </c>
      <c r="J11" s="44">
        <v>6.69875</v>
      </c>
      <c r="K11" s="5"/>
      <c r="L11" s="5"/>
      <c r="M11" s="43">
        <v>284.8948</v>
      </c>
      <c r="N11" s="44">
        <v>3613.0</v>
      </c>
      <c r="O11" s="44">
        <v>282.23</v>
      </c>
      <c r="P11" s="45">
        <v>2.66478</v>
      </c>
      <c r="Q11" s="13"/>
      <c r="R11" s="5"/>
      <c r="S11" s="43">
        <v>284.8946</v>
      </c>
      <c r="T11" s="44">
        <v>3614.0</v>
      </c>
      <c r="U11" s="44">
        <v>278.64</v>
      </c>
      <c r="V11" s="45">
        <v>6.25459</v>
      </c>
      <c r="W11" s="13"/>
      <c r="X11" s="46"/>
      <c r="Y11" s="47">
        <v>286.44667</v>
      </c>
      <c r="Z11" s="47">
        <v>3676.0</v>
      </c>
      <c r="AA11" s="47">
        <v>281.57001</v>
      </c>
      <c r="AB11" s="47">
        <f t="shared" si="1"/>
        <v>4.87666</v>
      </c>
      <c r="AD11" s="8"/>
      <c r="AE11" s="8">
        <v>285.34351</v>
      </c>
      <c r="AF11" s="8">
        <v>21194.0</v>
      </c>
      <c r="AG11" s="8">
        <v>282.34</v>
      </c>
      <c r="AH11" s="8">
        <f t="shared" si="2"/>
        <v>3.00351</v>
      </c>
    </row>
    <row r="12" ht="15.0" customHeight="1">
      <c r="F12" s="5"/>
      <c r="G12" s="43">
        <v>285.3988</v>
      </c>
      <c r="H12" s="44">
        <v>4088.0</v>
      </c>
      <c r="I12" s="44">
        <v>278.67</v>
      </c>
      <c r="J12" s="44">
        <v>6.72875</v>
      </c>
      <c r="K12" s="5"/>
      <c r="L12" s="5"/>
      <c r="M12" s="43">
        <v>284.9367</v>
      </c>
      <c r="N12" s="44">
        <v>4087.0</v>
      </c>
      <c r="O12" s="44">
        <v>282.22</v>
      </c>
      <c r="P12" s="45">
        <v>2.71667</v>
      </c>
      <c r="Q12" s="13"/>
      <c r="R12" s="5"/>
      <c r="S12" s="43">
        <v>285.0442</v>
      </c>
      <c r="T12" s="44">
        <v>4087.0</v>
      </c>
      <c r="U12" s="44">
        <v>279.39</v>
      </c>
      <c r="V12" s="45">
        <v>5.65417</v>
      </c>
      <c r="W12" s="13"/>
      <c r="X12" s="46"/>
      <c r="Y12" s="47">
        <v>286.37158</v>
      </c>
      <c r="Z12" s="47">
        <v>4150.0</v>
      </c>
      <c r="AA12" s="47">
        <v>281.59</v>
      </c>
      <c r="AB12" s="47">
        <f t="shared" si="1"/>
        <v>4.78158</v>
      </c>
      <c r="AD12" s="8"/>
      <c r="AE12" s="47">
        <v>285.2788</v>
      </c>
      <c r="AF12" s="47">
        <v>21668.0</v>
      </c>
      <c r="AG12" s="47">
        <v>282.48999</v>
      </c>
      <c r="AH12" s="47">
        <f t="shared" si="2"/>
        <v>2.78881</v>
      </c>
    </row>
    <row r="13" ht="15.0" customHeight="1">
      <c r="F13" s="5"/>
      <c r="G13" s="43">
        <v>285.3696</v>
      </c>
      <c r="H13" s="44">
        <v>4562.0</v>
      </c>
      <c r="I13" s="44">
        <v>279.23</v>
      </c>
      <c r="J13" s="44">
        <v>6.13957</v>
      </c>
      <c r="K13" s="5"/>
      <c r="L13" s="5"/>
      <c r="M13" s="43">
        <v>285.0692</v>
      </c>
      <c r="N13" s="44">
        <v>4562.0</v>
      </c>
      <c r="O13" s="44">
        <v>282.23</v>
      </c>
      <c r="P13" s="45">
        <v>2.83917</v>
      </c>
      <c r="Q13" s="13"/>
      <c r="R13" s="5"/>
      <c r="S13" s="43">
        <v>285.1763</v>
      </c>
      <c r="T13" s="44">
        <v>4561.0</v>
      </c>
      <c r="U13" s="44">
        <v>279.1</v>
      </c>
      <c r="V13" s="45">
        <v>6.07625</v>
      </c>
      <c r="W13" s="13"/>
      <c r="X13" s="46"/>
      <c r="Y13" s="47">
        <v>286.45842</v>
      </c>
      <c r="Z13" s="47">
        <v>4621.0</v>
      </c>
      <c r="AA13" s="47">
        <v>281.60999</v>
      </c>
      <c r="AB13" s="47">
        <f t="shared" si="1"/>
        <v>4.84843</v>
      </c>
      <c r="AD13" s="8"/>
      <c r="AE13" s="47">
        <v>285.14845</v>
      </c>
      <c r="AF13" s="47">
        <v>22141.0</v>
      </c>
      <c r="AG13" s="47">
        <v>282.39999</v>
      </c>
      <c r="AH13" s="47">
        <f t="shared" si="2"/>
        <v>2.74846</v>
      </c>
    </row>
    <row r="14" ht="15.0" customHeight="1">
      <c r="F14" s="5"/>
      <c r="G14" s="43">
        <v>285.4904</v>
      </c>
      <c r="H14" s="44">
        <v>5034.0</v>
      </c>
      <c r="I14" s="44">
        <v>278.81</v>
      </c>
      <c r="J14" s="44">
        <v>6.68042</v>
      </c>
      <c r="K14" s="5"/>
      <c r="L14" s="5"/>
      <c r="M14" s="43">
        <v>285.0221</v>
      </c>
      <c r="N14" s="44">
        <v>5034.0</v>
      </c>
      <c r="O14" s="44">
        <v>282.38</v>
      </c>
      <c r="P14" s="45">
        <v>2.64208</v>
      </c>
      <c r="Q14" s="13"/>
      <c r="R14" s="5"/>
      <c r="S14" s="43">
        <v>285.2626</v>
      </c>
      <c r="T14" s="44">
        <v>5034.0</v>
      </c>
      <c r="U14" s="44">
        <v>279.01</v>
      </c>
      <c r="V14" s="45">
        <v>6.25261</v>
      </c>
      <c r="W14" s="13"/>
      <c r="X14" s="46"/>
      <c r="Y14" s="47">
        <v>286.50579</v>
      </c>
      <c r="Z14" s="47">
        <v>5098.0</v>
      </c>
      <c r="AA14" s="47">
        <v>281.5</v>
      </c>
      <c r="AB14" s="47">
        <f t="shared" si="1"/>
        <v>5.00579</v>
      </c>
      <c r="AD14" s="8"/>
      <c r="AE14" s="47">
        <v>285.12632</v>
      </c>
      <c r="AF14" s="47">
        <v>22618.0</v>
      </c>
      <c r="AG14" s="47">
        <v>282.34</v>
      </c>
      <c r="AH14" s="47">
        <f t="shared" si="2"/>
        <v>2.78632</v>
      </c>
    </row>
    <row r="15" ht="15.0" customHeight="1">
      <c r="F15" s="5"/>
      <c r="G15" s="43">
        <v>285.3588</v>
      </c>
      <c r="H15" s="44">
        <v>5509.0</v>
      </c>
      <c r="I15" s="44">
        <v>278.85</v>
      </c>
      <c r="J15" s="44">
        <v>6.50875</v>
      </c>
      <c r="K15" s="5"/>
      <c r="L15" s="5"/>
      <c r="M15" s="43">
        <v>285.1538</v>
      </c>
      <c r="N15" s="44">
        <v>5506.0</v>
      </c>
      <c r="O15" s="44">
        <v>282.73</v>
      </c>
      <c r="P15" s="45">
        <v>2.42375</v>
      </c>
      <c r="Q15" s="13"/>
      <c r="R15" s="5"/>
      <c r="S15" s="43">
        <v>285.4658</v>
      </c>
      <c r="T15" s="44">
        <v>5508.0</v>
      </c>
      <c r="U15" s="44">
        <v>279.26</v>
      </c>
      <c r="V15" s="45">
        <v>6.20584</v>
      </c>
      <c r="W15" s="13"/>
      <c r="X15" s="46"/>
      <c r="Y15" s="47">
        <v>286.42707</v>
      </c>
      <c r="Z15" s="47">
        <v>5568.0</v>
      </c>
      <c r="AA15" s="47">
        <v>281.35999</v>
      </c>
      <c r="AB15" s="47">
        <f t="shared" si="1"/>
        <v>5.06708</v>
      </c>
      <c r="AD15" s="8"/>
      <c r="AE15" s="47">
        <v>285.01828</v>
      </c>
      <c r="AF15" s="47">
        <v>23090.0</v>
      </c>
      <c r="AG15" s="47">
        <v>282.26001</v>
      </c>
      <c r="AH15" s="47">
        <f t="shared" si="2"/>
        <v>2.75827</v>
      </c>
    </row>
    <row r="16" ht="15.0" customHeight="1">
      <c r="F16" s="5"/>
      <c r="G16" s="43">
        <v>285.3925</v>
      </c>
      <c r="H16" s="44">
        <v>5982.0</v>
      </c>
      <c r="I16" s="44">
        <v>279.12</v>
      </c>
      <c r="J16" s="44">
        <v>6.2725</v>
      </c>
      <c r="K16" s="5"/>
      <c r="L16" s="5"/>
      <c r="M16" s="43">
        <v>285.3048</v>
      </c>
      <c r="N16" s="44">
        <v>5982.0</v>
      </c>
      <c r="O16" s="44">
        <v>282.78</v>
      </c>
      <c r="P16" s="45">
        <v>2.52478</v>
      </c>
      <c r="Q16" s="13"/>
      <c r="R16" s="5"/>
      <c r="S16" s="43">
        <v>285.6108</v>
      </c>
      <c r="T16" s="44">
        <v>5982.0</v>
      </c>
      <c r="U16" s="44">
        <v>279.45</v>
      </c>
      <c r="V16" s="45">
        <v>6.16083</v>
      </c>
      <c r="AD16" s="8"/>
      <c r="AE16" s="47">
        <v>285.0193</v>
      </c>
      <c r="AF16" s="47">
        <v>23563.0</v>
      </c>
      <c r="AG16" s="47">
        <v>282.47</v>
      </c>
      <c r="AH16" s="47">
        <f t="shared" si="2"/>
        <v>2.5493</v>
      </c>
    </row>
    <row r="17" ht="15.0" customHeight="1">
      <c r="Q17" s="13"/>
      <c r="R17" s="5"/>
      <c r="S17" s="43">
        <v>285.7967</v>
      </c>
      <c r="T17" s="44">
        <v>6455.0</v>
      </c>
      <c r="U17" s="44">
        <v>279.76</v>
      </c>
      <c r="V17" s="45">
        <v>6.03667</v>
      </c>
      <c r="AD17" s="8"/>
      <c r="AE17" s="47">
        <v>285.07776</v>
      </c>
      <c r="AF17" s="47">
        <v>24035.0</v>
      </c>
      <c r="AG17" s="47">
        <v>282.57001</v>
      </c>
      <c r="AH17" s="47">
        <f t="shared" si="2"/>
        <v>2.50775</v>
      </c>
    </row>
  </sheetData>
  <mergeCells count="5">
    <mergeCell ref="G1:J1"/>
    <mergeCell ref="M1:P1"/>
    <mergeCell ref="S1:V1"/>
    <mergeCell ref="Y1:AB1"/>
    <mergeCell ref="AE1:AH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5.0"/>
    <col customWidth="1" min="2" max="2" width="15.67"/>
  </cols>
  <sheetData>
    <row r="1" ht="15.0" customHeight="1">
      <c r="A1" s="1" t="s">
        <v>88</v>
      </c>
      <c r="B1" s="13"/>
      <c r="C1" s="53" t="s">
        <v>89</v>
      </c>
      <c r="D1" s="3"/>
      <c r="E1" s="3"/>
      <c r="F1" s="4"/>
    </row>
    <row r="2" ht="15.0" customHeight="1">
      <c r="A2" s="1" t="s">
        <v>90</v>
      </c>
      <c r="B2" s="13"/>
      <c r="C2" s="54"/>
      <c r="D2" s="54"/>
      <c r="E2" s="54"/>
      <c r="F2" s="54"/>
    </row>
    <row r="3" ht="15.0" customHeight="1">
      <c r="A3" s="55" t="s">
        <v>91</v>
      </c>
      <c r="B3" s="56"/>
      <c r="C3" s="57" t="s">
        <v>10</v>
      </c>
      <c r="D3" s="57" t="s">
        <v>11</v>
      </c>
      <c r="E3" s="57" t="s">
        <v>12</v>
      </c>
      <c r="F3" s="58" t="s">
        <v>92</v>
      </c>
    </row>
    <row r="4" ht="15.0" customHeight="1">
      <c r="A4" s="55" t="s">
        <v>93</v>
      </c>
      <c r="B4" s="59" t="s">
        <v>94</v>
      </c>
      <c r="C4" s="60">
        <v>284.24792</v>
      </c>
      <c r="D4" s="60">
        <v>301.0</v>
      </c>
      <c r="E4" s="60">
        <v>262.82</v>
      </c>
      <c r="F4" s="60">
        <f t="shared" ref="F4:F15" si="1">C4-E4</f>
        <v>21.42792</v>
      </c>
    </row>
    <row r="5" ht="15.0" customHeight="1">
      <c r="A5" s="13"/>
      <c r="B5" s="56"/>
      <c r="C5" s="60">
        <v>284.35174</v>
      </c>
      <c r="D5" s="60">
        <v>771.0</v>
      </c>
      <c r="E5" s="60">
        <v>262.73</v>
      </c>
      <c r="F5" s="60">
        <f t="shared" si="1"/>
        <v>21.62174</v>
      </c>
    </row>
    <row r="6" ht="15.0" customHeight="1">
      <c r="A6" s="13"/>
      <c r="B6" s="56"/>
      <c r="C6" s="60">
        <v>284.20875</v>
      </c>
      <c r="D6" s="60">
        <v>1245.0</v>
      </c>
      <c r="E6" s="60">
        <v>261.64</v>
      </c>
      <c r="F6" s="60">
        <f t="shared" si="1"/>
        <v>22.56875</v>
      </c>
    </row>
    <row r="7" ht="15.0" customHeight="1">
      <c r="A7" s="13"/>
      <c r="B7" s="56"/>
      <c r="C7" s="60">
        <v>284.01417</v>
      </c>
      <c r="D7" s="60">
        <v>1720.0</v>
      </c>
      <c r="E7" s="60">
        <v>262.16</v>
      </c>
      <c r="F7" s="60">
        <f t="shared" si="1"/>
        <v>21.85417</v>
      </c>
    </row>
    <row r="8" ht="15.0" customHeight="1">
      <c r="A8" s="13"/>
      <c r="B8" s="56"/>
      <c r="C8" s="60">
        <v>284.07044</v>
      </c>
      <c r="D8" s="60">
        <v>2193.0</v>
      </c>
      <c r="E8" s="60">
        <v>262.66</v>
      </c>
      <c r="F8" s="60">
        <f t="shared" si="1"/>
        <v>21.41044</v>
      </c>
    </row>
    <row r="9" ht="15.0" customHeight="1">
      <c r="A9" s="13"/>
      <c r="B9" s="56"/>
      <c r="C9" s="60">
        <v>283.85391</v>
      </c>
      <c r="D9" s="60">
        <v>2665.0</v>
      </c>
      <c r="E9" s="60">
        <v>262.47</v>
      </c>
      <c r="F9" s="60">
        <f t="shared" si="1"/>
        <v>21.38391</v>
      </c>
    </row>
    <row r="10" ht="15.0" customHeight="1">
      <c r="A10" s="13"/>
      <c r="B10" s="59" t="s">
        <v>95</v>
      </c>
      <c r="C10" s="60">
        <v>283.50958</v>
      </c>
      <c r="D10" s="60">
        <v>3137.0</v>
      </c>
      <c r="E10" s="60">
        <v>264.67</v>
      </c>
      <c r="F10" s="60">
        <f t="shared" si="1"/>
        <v>18.83958</v>
      </c>
    </row>
    <row r="11" ht="15.0" customHeight="1">
      <c r="A11" s="13"/>
      <c r="B11" s="56"/>
      <c r="C11" s="60">
        <v>283.53043</v>
      </c>
      <c r="D11" s="60">
        <v>3610.0</v>
      </c>
      <c r="E11" s="60">
        <v>264.67</v>
      </c>
      <c r="F11" s="60">
        <f t="shared" si="1"/>
        <v>18.86043</v>
      </c>
    </row>
    <row r="12" ht="15.0" customHeight="1">
      <c r="A12" s="13"/>
      <c r="B12" s="56"/>
      <c r="C12" s="60">
        <v>283.3875</v>
      </c>
      <c r="D12" s="60">
        <v>4085.0</v>
      </c>
      <c r="E12" s="60">
        <v>264.19</v>
      </c>
      <c r="F12" s="60">
        <f t="shared" si="1"/>
        <v>19.1975</v>
      </c>
    </row>
    <row r="13" ht="15.0" customHeight="1">
      <c r="A13" s="13"/>
      <c r="B13" s="56"/>
      <c r="C13" s="60">
        <v>282.93565</v>
      </c>
      <c r="D13" s="60">
        <v>4558.0</v>
      </c>
      <c r="E13" s="60">
        <v>264.45</v>
      </c>
      <c r="F13" s="60">
        <f t="shared" si="1"/>
        <v>18.48565</v>
      </c>
    </row>
    <row r="14" ht="15.0" customHeight="1">
      <c r="A14" s="13"/>
      <c r="B14" s="56"/>
      <c r="C14" s="60">
        <v>282.91792</v>
      </c>
      <c r="D14" s="60">
        <v>5032.0</v>
      </c>
      <c r="E14" s="60">
        <v>264.98</v>
      </c>
      <c r="F14" s="60">
        <f t="shared" si="1"/>
        <v>17.93792</v>
      </c>
    </row>
    <row r="15" ht="15.0" customHeight="1">
      <c r="A15" s="13"/>
      <c r="B15" s="56"/>
      <c r="C15" s="60">
        <v>283.55625</v>
      </c>
      <c r="D15" s="60">
        <v>5504.0</v>
      </c>
      <c r="E15" s="60">
        <v>266.01</v>
      </c>
      <c r="F15" s="60">
        <f t="shared" si="1"/>
        <v>17.54625</v>
      </c>
    </row>
  </sheetData>
  <mergeCells count="1">
    <mergeCell ref="C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8.56"/>
  </cols>
  <sheetData>
    <row r="1">
      <c r="A1" s="1" t="s">
        <v>96</v>
      </c>
      <c r="E1" s="13"/>
      <c r="F1" s="61" t="s">
        <v>97</v>
      </c>
      <c r="G1" s="3"/>
      <c r="H1" s="3"/>
      <c r="I1" s="4"/>
      <c r="L1" s="62" t="s">
        <v>98</v>
      </c>
      <c r="M1" s="62"/>
      <c r="N1" s="62"/>
      <c r="O1" s="62"/>
      <c r="Q1" s="13"/>
      <c r="R1" s="61" t="s">
        <v>99</v>
      </c>
      <c r="S1" s="3"/>
      <c r="T1" s="3"/>
      <c r="U1" s="4"/>
      <c r="X1" s="62" t="s">
        <v>100</v>
      </c>
      <c r="Y1" s="62"/>
      <c r="Z1" s="62"/>
      <c r="AA1" s="62"/>
    </row>
    <row r="2">
      <c r="A2" s="1" t="s">
        <v>90</v>
      </c>
      <c r="E2" s="13"/>
      <c r="F2" s="54"/>
      <c r="G2" s="54"/>
      <c r="H2" s="54"/>
      <c r="I2" s="54"/>
      <c r="Q2" s="13"/>
      <c r="R2" s="54"/>
      <c r="S2" s="54"/>
      <c r="T2" s="54"/>
      <c r="U2" s="54"/>
    </row>
    <row r="3">
      <c r="A3" s="55" t="s">
        <v>91</v>
      </c>
      <c r="E3" s="56"/>
      <c r="F3" s="57" t="s">
        <v>10</v>
      </c>
      <c r="G3" s="57" t="s">
        <v>11</v>
      </c>
      <c r="H3" s="57" t="s">
        <v>12</v>
      </c>
      <c r="I3" s="58" t="s">
        <v>101</v>
      </c>
      <c r="K3" s="13"/>
      <c r="L3" s="9" t="s">
        <v>10</v>
      </c>
      <c r="M3" s="9" t="s">
        <v>11</v>
      </c>
      <c r="N3" s="9" t="s">
        <v>12</v>
      </c>
      <c r="O3" s="63" t="s">
        <v>102</v>
      </c>
      <c r="Q3" s="56"/>
      <c r="R3" s="64" t="s">
        <v>10</v>
      </c>
      <c r="S3" s="64" t="s">
        <v>11</v>
      </c>
      <c r="T3" s="64" t="s">
        <v>12</v>
      </c>
      <c r="U3" s="64" t="s">
        <v>103</v>
      </c>
      <c r="V3" s="65"/>
      <c r="W3" s="65"/>
      <c r="X3" s="66" t="s">
        <v>10</v>
      </c>
      <c r="Y3" s="66" t="s">
        <v>11</v>
      </c>
      <c r="Z3" s="66" t="s">
        <v>12</v>
      </c>
      <c r="AA3" s="66" t="s">
        <v>104</v>
      </c>
    </row>
    <row r="4">
      <c r="A4" s="55" t="s">
        <v>105</v>
      </c>
      <c r="E4" s="59" t="s">
        <v>106</v>
      </c>
      <c r="F4" s="67">
        <v>281.92719</v>
      </c>
      <c r="G4" s="67">
        <v>299.0</v>
      </c>
      <c r="H4" s="67">
        <v>272.55</v>
      </c>
      <c r="I4" s="67">
        <v>9.377189999999985</v>
      </c>
      <c r="K4" s="68" t="s">
        <v>94</v>
      </c>
      <c r="L4" s="47">
        <v>281.31211</v>
      </c>
      <c r="M4" s="47">
        <v>440.0</v>
      </c>
      <c r="N4" s="47">
        <v>273.83</v>
      </c>
      <c r="O4" s="47">
        <f t="shared" ref="O4:O16" si="1">L4-N4</f>
        <v>7.48211</v>
      </c>
      <c r="Q4" s="59" t="s">
        <v>106</v>
      </c>
      <c r="R4" s="69">
        <v>287.90289</v>
      </c>
      <c r="S4" s="69">
        <v>454.0</v>
      </c>
      <c r="T4" s="69">
        <v>277.62001</v>
      </c>
      <c r="U4" s="69">
        <v>10.282880000000034</v>
      </c>
      <c r="V4" s="65"/>
      <c r="W4" s="70" t="s">
        <v>94</v>
      </c>
      <c r="X4" s="71">
        <v>285.24386</v>
      </c>
      <c r="Y4" s="71">
        <v>265.0</v>
      </c>
      <c r="Z4" s="71">
        <v>277.57001</v>
      </c>
      <c r="AA4" s="71">
        <v>7.673849999999959</v>
      </c>
    </row>
    <row r="5">
      <c r="A5" s="13"/>
      <c r="E5" s="56"/>
      <c r="F5" s="67">
        <v>282.42053</v>
      </c>
      <c r="G5" s="67">
        <v>772.0</v>
      </c>
      <c r="H5" s="67">
        <v>273.33</v>
      </c>
      <c r="I5" s="67">
        <v>9.090530000000001</v>
      </c>
      <c r="K5" s="13"/>
      <c r="L5" s="47">
        <v>281.16632</v>
      </c>
      <c r="M5" s="47">
        <v>915.0</v>
      </c>
      <c r="N5" s="47">
        <v>273.58</v>
      </c>
      <c r="O5" s="47">
        <f t="shared" si="1"/>
        <v>7.58632</v>
      </c>
      <c r="Q5" s="56"/>
      <c r="R5" s="69">
        <v>287.75518</v>
      </c>
      <c r="S5" s="69">
        <v>920.0</v>
      </c>
      <c r="T5" s="69">
        <v>277.39</v>
      </c>
      <c r="U5" s="69">
        <v>10.36518000000001</v>
      </c>
      <c r="V5" s="65"/>
      <c r="W5" s="65"/>
      <c r="X5" s="71">
        <v>285.15759</v>
      </c>
      <c r="Y5" s="71">
        <v>737.0</v>
      </c>
      <c r="Z5" s="71">
        <v>277.53</v>
      </c>
      <c r="AA5" s="71">
        <v>7.627590000000055</v>
      </c>
    </row>
    <row r="6">
      <c r="A6" s="13"/>
      <c r="E6" s="56"/>
      <c r="F6" s="67">
        <v>282.47684</v>
      </c>
      <c r="G6" s="67">
        <v>1245.0</v>
      </c>
      <c r="H6" s="67">
        <v>273.35</v>
      </c>
      <c r="I6" s="67">
        <v>9.126839999999959</v>
      </c>
      <c r="K6" s="13"/>
      <c r="L6" s="47">
        <v>281.14948</v>
      </c>
      <c r="M6" s="47">
        <v>1385.0</v>
      </c>
      <c r="N6" s="47">
        <v>273.5</v>
      </c>
      <c r="O6" s="47">
        <f t="shared" si="1"/>
        <v>7.64948</v>
      </c>
      <c r="Q6" s="56"/>
      <c r="R6" s="69">
        <v>287.66262</v>
      </c>
      <c r="S6" s="69">
        <v>1394.0</v>
      </c>
      <c r="T6" s="69">
        <v>276.75999</v>
      </c>
      <c r="U6" s="69">
        <v>10.902629999999988</v>
      </c>
      <c r="V6" s="65"/>
      <c r="W6" s="65"/>
      <c r="X6" s="71">
        <v>285.09735</v>
      </c>
      <c r="Y6" s="71">
        <v>1213.0</v>
      </c>
      <c r="Z6" s="71">
        <v>277.45001</v>
      </c>
      <c r="AA6" s="71">
        <v>7.647339999999986</v>
      </c>
    </row>
    <row r="7">
      <c r="A7" s="13"/>
      <c r="E7" s="56"/>
      <c r="F7" s="67">
        <v>282.47121</v>
      </c>
      <c r="G7" s="67">
        <v>1720.0</v>
      </c>
      <c r="H7" s="67">
        <v>273.37</v>
      </c>
      <c r="I7" s="67">
        <v>9.10120999999998</v>
      </c>
      <c r="K7" s="13"/>
      <c r="L7" s="47">
        <v>281.27448</v>
      </c>
      <c r="M7" s="47">
        <v>1860.0</v>
      </c>
      <c r="N7" s="47">
        <v>273.85</v>
      </c>
      <c r="O7" s="47">
        <f t="shared" si="1"/>
        <v>7.42448</v>
      </c>
      <c r="Q7" s="56"/>
      <c r="R7" s="69">
        <v>287.4406</v>
      </c>
      <c r="S7" s="69">
        <v>1866.0</v>
      </c>
      <c r="T7" s="69">
        <v>277.87001</v>
      </c>
      <c r="U7" s="69">
        <v>9.570590000000038</v>
      </c>
      <c r="V7" s="65"/>
      <c r="W7" s="65"/>
      <c r="X7" s="71">
        <v>285.05964</v>
      </c>
      <c r="Y7" s="71">
        <v>1683.0</v>
      </c>
      <c r="Z7" s="71">
        <v>277.14999</v>
      </c>
      <c r="AA7" s="71">
        <v>7.909649999999999</v>
      </c>
    </row>
    <row r="8">
      <c r="E8" s="56"/>
      <c r="F8" s="67">
        <v>282.43281</v>
      </c>
      <c r="G8" s="67">
        <v>2193.0</v>
      </c>
      <c r="H8" s="67">
        <v>272.97</v>
      </c>
      <c r="I8" s="67">
        <v>9.46280999999999</v>
      </c>
      <c r="K8" s="13"/>
      <c r="L8" s="47">
        <v>281.46241</v>
      </c>
      <c r="M8" s="47">
        <v>2333.0</v>
      </c>
      <c r="N8" s="47">
        <v>273.75</v>
      </c>
      <c r="O8" s="47">
        <f t="shared" si="1"/>
        <v>7.71241</v>
      </c>
      <c r="Q8" s="56"/>
      <c r="R8" s="69">
        <v>287.47095</v>
      </c>
      <c r="S8" s="69">
        <v>2339.0</v>
      </c>
      <c r="T8" s="69">
        <v>277.83</v>
      </c>
      <c r="U8" s="69">
        <v>9.640950000000032</v>
      </c>
      <c r="V8" s="65"/>
      <c r="W8" s="65"/>
      <c r="X8" s="71">
        <v>284.85262</v>
      </c>
      <c r="Y8" s="71">
        <v>8940.0</v>
      </c>
      <c r="Z8" s="71">
        <v>277.07001</v>
      </c>
      <c r="AA8" s="71">
        <v>7.782609999999977</v>
      </c>
    </row>
    <row r="9">
      <c r="E9" s="56"/>
      <c r="F9" s="67">
        <v>282.22842</v>
      </c>
      <c r="G9" s="67">
        <v>2667.0</v>
      </c>
      <c r="H9" s="67">
        <v>273.56</v>
      </c>
      <c r="I9" s="67">
        <v>8.668420000000026</v>
      </c>
      <c r="K9" s="13"/>
      <c r="L9" s="47">
        <v>281.2781</v>
      </c>
      <c r="M9" s="47">
        <v>2807.0</v>
      </c>
      <c r="N9" s="47">
        <v>273.43</v>
      </c>
      <c r="O9" s="47">
        <f t="shared" si="1"/>
        <v>7.8481</v>
      </c>
      <c r="Q9" s="56"/>
      <c r="R9" s="69">
        <v>287.3459</v>
      </c>
      <c r="S9" s="69">
        <v>2813.0</v>
      </c>
      <c r="T9" s="69">
        <v>277.14</v>
      </c>
      <c r="U9" s="69">
        <v>10.205899999999986</v>
      </c>
      <c r="V9" s="65"/>
      <c r="W9" s="65"/>
      <c r="X9" s="71">
        <v>284.95434</v>
      </c>
      <c r="Y9" s="71">
        <v>9412.0</v>
      </c>
      <c r="Z9" s="71">
        <v>276.98999</v>
      </c>
      <c r="AA9" s="71">
        <v>7.9643500000000245</v>
      </c>
    </row>
    <row r="10">
      <c r="E10" s="59" t="s">
        <v>94</v>
      </c>
      <c r="F10" s="67">
        <v>281.31211</v>
      </c>
      <c r="G10" s="67">
        <v>3140.0</v>
      </c>
      <c r="H10" s="67">
        <v>273.83</v>
      </c>
      <c r="I10" s="67">
        <v>7.482110000000034</v>
      </c>
      <c r="K10" s="68" t="s">
        <v>107</v>
      </c>
      <c r="L10" s="8">
        <v>280.98491</v>
      </c>
      <c r="M10" s="8">
        <v>3281.0</v>
      </c>
      <c r="N10" s="8">
        <v>275.29</v>
      </c>
      <c r="O10" s="8">
        <f t="shared" si="1"/>
        <v>5.69491</v>
      </c>
      <c r="Q10" s="59" t="s">
        <v>94</v>
      </c>
      <c r="R10" s="72">
        <v>285.2247</v>
      </c>
      <c r="S10" s="72">
        <v>3276.0</v>
      </c>
      <c r="T10" s="72">
        <v>277.35999</v>
      </c>
      <c r="U10" s="72">
        <v>7.864710000000002</v>
      </c>
      <c r="V10" s="65"/>
      <c r="W10" s="70" t="s">
        <v>107</v>
      </c>
      <c r="X10" s="73">
        <v>285.1687</v>
      </c>
      <c r="Y10" s="73">
        <v>9878.0</v>
      </c>
      <c r="Z10" s="73">
        <v>279.51999</v>
      </c>
      <c r="AA10" s="73">
        <v>5.648709999999994</v>
      </c>
    </row>
    <row r="11">
      <c r="E11" s="56"/>
      <c r="F11" s="67">
        <v>281.16632</v>
      </c>
      <c r="G11" s="67">
        <v>3615.0</v>
      </c>
      <c r="H11" s="67">
        <v>273.58</v>
      </c>
      <c r="I11" s="67">
        <v>7.586320000000001</v>
      </c>
      <c r="K11" s="13"/>
      <c r="L11" s="47">
        <v>280.99158</v>
      </c>
      <c r="M11" s="47">
        <v>3755.0</v>
      </c>
      <c r="N11" s="47">
        <v>275.48</v>
      </c>
      <c r="O11" s="47">
        <f t="shared" si="1"/>
        <v>5.51158</v>
      </c>
      <c r="Q11" s="13"/>
      <c r="R11" s="74">
        <v>285.24386</v>
      </c>
      <c r="S11" s="74">
        <v>3748.0</v>
      </c>
      <c r="T11" s="74">
        <v>277.57001</v>
      </c>
      <c r="U11" s="74">
        <v>7.673849999999959</v>
      </c>
      <c r="V11" s="65"/>
      <c r="W11" s="65"/>
      <c r="X11" s="73">
        <v>284.94522</v>
      </c>
      <c r="Y11" s="73">
        <v>10352.0</v>
      </c>
      <c r="Z11" s="73">
        <v>279.73001</v>
      </c>
      <c r="AA11" s="73">
        <v>5.215210000000013</v>
      </c>
    </row>
    <row r="12">
      <c r="E12" s="56"/>
      <c r="F12" s="67">
        <v>281.14948</v>
      </c>
      <c r="G12" s="67">
        <v>4085.0</v>
      </c>
      <c r="H12" s="67">
        <v>273.5</v>
      </c>
      <c r="I12" s="67">
        <v>7.649479999999983</v>
      </c>
      <c r="K12" s="13"/>
      <c r="L12" s="47">
        <v>281.14193</v>
      </c>
      <c r="M12" s="47">
        <v>4227.0</v>
      </c>
      <c r="N12" s="47">
        <v>275.65</v>
      </c>
      <c r="O12" s="47">
        <f t="shared" si="1"/>
        <v>5.49193</v>
      </c>
      <c r="Q12" s="13"/>
      <c r="R12" s="74">
        <v>285.15759</v>
      </c>
      <c r="S12" s="74">
        <v>4221.0</v>
      </c>
      <c r="T12" s="74">
        <v>277.53</v>
      </c>
      <c r="U12" s="74">
        <v>7.627590000000055</v>
      </c>
      <c r="V12" s="65"/>
      <c r="W12" s="65"/>
      <c r="X12" s="71">
        <v>284.77826</v>
      </c>
      <c r="Y12" s="71">
        <v>10825.0</v>
      </c>
      <c r="Z12" s="71">
        <v>279.69</v>
      </c>
      <c r="AA12" s="71">
        <v>5.088259999999991</v>
      </c>
    </row>
    <row r="13">
      <c r="E13" s="56"/>
      <c r="F13" s="67">
        <v>281.27448</v>
      </c>
      <c r="G13" s="67">
        <v>4560.0</v>
      </c>
      <c r="H13" s="67">
        <v>273.85</v>
      </c>
      <c r="I13" s="67">
        <v>7.42447999999996</v>
      </c>
      <c r="K13" s="13"/>
      <c r="L13" s="47">
        <v>281.30158</v>
      </c>
      <c r="M13" s="47">
        <v>4702.0</v>
      </c>
      <c r="N13" s="47">
        <v>275.94</v>
      </c>
      <c r="O13" s="47">
        <f t="shared" si="1"/>
        <v>5.36158</v>
      </c>
      <c r="Q13" s="13"/>
      <c r="R13" s="74">
        <v>285.09735</v>
      </c>
      <c r="S13" s="74">
        <v>4695.0</v>
      </c>
      <c r="T13" s="74">
        <v>277.45001</v>
      </c>
      <c r="U13" s="74">
        <v>7.647339999999986</v>
      </c>
      <c r="V13" s="65"/>
      <c r="W13" s="65"/>
      <c r="X13" s="71">
        <v>284.70111</v>
      </c>
      <c r="Y13" s="71">
        <v>11298.0</v>
      </c>
      <c r="Z13" s="71">
        <v>279.75</v>
      </c>
      <c r="AA13" s="71">
        <v>4.951110000000028</v>
      </c>
    </row>
    <row r="14">
      <c r="E14" s="56"/>
      <c r="F14" s="67">
        <v>281.46241</v>
      </c>
      <c r="G14" s="67">
        <v>5033.0</v>
      </c>
      <c r="H14" s="67">
        <v>273.75</v>
      </c>
      <c r="I14" s="67">
        <v>7.712409999999977</v>
      </c>
      <c r="K14" s="13"/>
      <c r="L14" s="47">
        <v>281.10579</v>
      </c>
      <c r="M14" s="47">
        <v>5175.0</v>
      </c>
      <c r="N14" s="47">
        <v>275.86</v>
      </c>
      <c r="O14" s="47">
        <f t="shared" si="1"/>
        <v>5.24579</v>
      </c>
      <c r="Q14" s="13"/>
      <c r="R14" s="74">
        <v>285.05964</v>
      </c>
      <c r="S14" s="74">
        <v>5167.0</v>
      </c>
      <c r="T14" s="74">
        <v>277.14999</v>
      </c>
      <c r="U14" s="74">
        <v>7.909649999999999</v>
      </c>
      <c r="V14" s="65"/>
      <c r="W14" s="65"/>
      <c r="X14" s="71">
        <v>284.49348</v>
      </c>
      <c r="Y14" s="71">
        <v>11771.0</v>
      </c>
      <c r="Z14" s="71">
        <v>279.62</v>
      </c>
      <c r="AA14" s="71">
        <v>4.873479999999972</v>
      </c>
    </row>
    <row r="15">
      <c r="E15" s="56"/>
      <c r="F15" s="67">
        <v>281.2781</v>
      </c>
      <c r="G15" s="67">
        <v>5507.0</v>
      </c>
      <c r="H15" s="67">
        <v>273.43</v>
      </c>
      <c r="I15" s="67">
        <v>7.848099999999988</v>
      </c>
      <c r="K15" s="13"/>
      <c r="L15" s="47">
        <v>281.19368</v>
      </c>
      <c r="M15" s="47">
        <v>5650.0</v>
      </c>
      <c r="N15" s="47">
        <v>276.03</v>
      </c>
      <c r="O15" s="47">
        <f t="shared" si="1"/>
        <v>5.16368</v>
      </c>
      <c r="Q15" s="13"/>
      <c r="R15" s="74">
        <v>284.85262</v>
      </c>
      <c r="S15" s="74">
        <v>5641.0</v>
      </c>
      <c r="T15" s="74">
        <v>277.07001</v>
      </c>
      <c r="U15" s="74">
        <v>7.782609999999977</v>
      </c>
      <c r="V15" s="65"/>
      <c r="W15" s="65"/>
      <c r="X15" s="71">
        <v>284.39778</v>
      </c>
      <c r="Y15" s="71">
        <v>12245.0</v>
      </c>
      <c r="Z15" s="71">
        <v>279.20001</v>
      </c>
      <c r="AA15" s="71">
        <v>5.197769999999991</v>
      </c>
    </row>
    <row r="16">
      <c r="K16" s="13"/>
      <c r="L16" s="47">
        <v>281.22966</v>
      </c>
      <c r="M16" s="47">
        <v>6112.0</v>
      </c>
      <c r="N16" s="47">
        <v>276.0</v>
      </c>
      <c r="O16" s="47">
        <f t="shared" si="1"/>
        <v>5.22966</v>
      </c>
      <c r="Q16" s="13"/>
      <c r="R16" s="71">
        <v>284.95434</v>
      </c>
      <c r="S16" s="71">
        <v>6113.0</v>
      </c>
      <c r="T16" s="71">
        <v>276.98999</v>
      </c>
      <c r="U16" s="71">
        <v>7.9643500000000245</v>
      </c>
      <c r="V16" s="65"/>
      <c r="W16" s="65"/>
      <c r="X16" s="71">
        <v>284.11133</v>
      </c>
      <c r="Y16" s="71">
        <v>12719.0</v>
      </c>
      <c r="Z16" s="71">
        <v>279.06</v>
      </c>
      <c r="AA16" s="71">
        <v>5.051330000000007</v>
      </c>
    </row>
    <row r="17">
      <c r="R17" s="65"/>
      <c r="S17" s="65"/>
      <c r="T17" s="65"/>
      <c r="U17" s="65"/>
      <c r="V17" s="65"/>
      <c r="W17" s="65"/>
      <c r="X17" s="71">
        <v>283.91667</v>
      </c>
      <c r="Y17" s="71">
        <v>13192.0</v>
      </c>
      <c r="Z17" s="71">
        <v>279.20001</v>
      </c>
      <c r="AA17" s="71">
        <v>4.71665999999999</v>
      </c>
    </row>
    <row r="18"/>
    <row r="19"/>
    <row r="20"/>
  </sheetData>
  <mergeCells count="2">
    <mergeCell ref="F1:I1"/>
    <mergeCell ref="R1:U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75" t="s">
        <v>108</v>
      </c>
      <c r="D1" s="76"/>
      <c r="E1" s="77" t="s">
        <v>109</v>
      </c>
      <c r="J1" s="76"/>
      <c r="K1" s="77" t="s">
        <v>110</v>
      </c>
    </row>
    <row r="2">
      <c r="A2" s="7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78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78" t="s">
        <v>112</v>
      </c>
      <c r="D4" s="82" t="s">
        <v>113</v>
      </c>
      <c r="E4" s="83">
        <v>282.2754</v>
      </c>
      <c r="F4" s="84">
        <v>301.0</v>
      </c>
      <c r="G4" s="84">
        <v>264.79</v>
      </c>
      <c r="H4" s="84">
        <v>17.48541</v>
      </c>
      <c r="J4" s="82" t="s">
        <v>94</v>
      </c>
      <c r="K4" s="83">
        <v>281.6254</v>
      </c>
      <c r="L4" s="84">
        <v>301.0</v>
      </c>
      <c r="M4" s="84">
        <v>267.22</v>
      </c>
      <c r="N4" s="84">
        <v>14.40542</v>
      </c>
    </row>
    <row r="5">
      <c r="D5" s="76"/>
      <c r="E5" s="83">
        <v>282.2529</v>
      </c>
      <c r="F5" s="84">
        <v>775.0</v>
      </c>
      <c r="G5" s="84">
        <v>264.38</v>
      </c>
      <c r="H5" s="84">
        <v>17.87292</v>
      </c>
      <c r="J5" s="76"/>
      <c r="K5" s="83">
        <v>281.3954</v>
      </c>
      <c r="L5" s="84">
        <v>774.0</v>
      </c>
      <c r="M5" s="84">
        <v>267.66</v>
      </c>
      <c r="N5" s="84">
        <v>13.73541</v>
      </c>
    </row>
    <row r="6">
      <c r="D6" s="76"/>
      <c r="E6" s="83">
        <v>282.1491</v>
      </c>
      <c r="F6" s="84">
        <v>1249.0</v>
      </c>
      <c r="G6" s="84">
        <v>264.44</v>
      </c>
      <c r="H6" s="84">
        <v>17.70914</v>
      </c>
      <c r="J6" s="76"/>
      <c r="K6" s="83">
        <v>281.5658</v>
      </c>
      <c r="L6" s="84">
        <v>1248.0</v>
      </c>
      <c r="M6" s="84">
        <v>267.81</v>
      </c>
      <c r="N6" s="84">
        <v>13.75583</v>
      </c>
    </row>
    <row r="7">
      <c r="D7" s="76"/>
      <c r="E7" s="83">
        <v>282.2113</v>
      </c>
      <c r="F7" s="84">
        <v>1722.0</v>
      </c>
      <c r="G7" s="84">
        <v>263.79</v>
      </c>
      <c r="H7" s="84">
        <v>18.42125</v>
      </c>
      <c r="J7" s="76"/>
      <c r="K7" s="83">
        <v>281.8067</v>
      </c>
      <c r="L7" s="84">
        <v>1723.0</v>
      </c>
      <c r="M7" s="84">
        <v>268.5</v>
      </c>
      <c r="N7" s="84">
        <v>13.30666</v>
      </c>
    </row>
    <row r="8">
      <c r="D8" s="76"/>
      <c r="E8" s="83">
        <v>282.2304</v>
      </c>
      <c r="F8" s="84">
        <v>2195.0</v>
      </c>
      <c r="G8" s="84">
        <v>264.48</v>
      </c>
      <c r="H8" s="84">
        <v>17.75042</v>
      </c>
      <c r="J8" s="76"/>
      <c r="K8" s="83">
        <v>281.9367</v>
      </c>
      <c r="L8" s="84">
        <v>2196.0</v>
      </c>
      <c r="M8" s="84">
        <v>268.0</v>
      </c>
      <c r="N8" s="84">
        <v>13.93667</v>
      </c>
    </row>
    <row r="9">
      <c r="D9" s="76"/>
      <c r="E9" s="83">
        <v>282.1639</v>
      </c>
      <c r="F9" s="84">
        <v>2669.0</v>
      </c>
      <c r="G9" s="84">
        <v>264.14</v>
      </c>
      <c r="H9" s="84">
        <v>18.02392</v>
      </c>
      <c r="J9" s="76"/>
      <c r="K9" s="83">
        <v>281.9146</v>
      </c>
      <c r="L9" s="84">
        <v>2668.0</v>
      </c>
      <c r="M9" s="84">
        <v>267.72</v>
      </c>
      <c r="N9" s="84">
        <v>14.19458</v>
      </c>
    </row>
    <row r="10">
      <c r="D10" s="82" t="s">
        <v>94</v>
      </c>
      <c r="E10" s="83">
        <v>281.6254</v>
      </c>
      <c r="F10" s="84">
        <v>3140.0</v>
      </c>
      <c r="G10" s="84">
        <v>267.22</v>
      </c>
      <c r="H10" s="84">
        <v>14.40542</v>
      </c>
      <c r="J10" s="82" t="s">
        <v>114</v>
      </c>
      <c r="K10" s="24">
        <v>280.2383</v>
      </c>
      <c r="L10" s="25">
        <v>3167.0</v>
      </c>
      <c r="M10" s="25">
        <v>270.1</v>
      </c>
      <c r="N10" s="25">
        <v>10.13834</v>
      </c>
    </row>
    <row r="11">
      <c r="D11" s="76"/>
      <c r="E11" s="83">
        <v>281.3954</v>
      </c>
      <c r="F11" s="84">
        <v>3613.0</v>
      </c>
      <c r="G11" s="84">
        <v>267.66</v>
      </c>
      <c r="H11" s="84">
        <v>13.73541</v>
      </c>
      <c r="J11" s="76"/>
      <c r="K11" s="83">
        <v>279.7048</v>
      </c>
      <c r="L11" s="84">
        <v>3642.0</v>
      </c>
      <c r="M11" s="84">
        <v>270.64</v>
      </c>
      <c r="N11" s="84">
        <v>9.06479</v>
      </c>
    </row>
    <row r="12">
      <c r="D12" s="76"/>
      <c r="E12" s="83">
        <v>281.5658</v>
      </c>
      <c r="F12" s="84">
        <v>4087.0</v>
      </c>
      <c r="G12" s="84">
        <v>267.81</v>
      </c>
      <c r="H12" s="84">
        <v>13.75583</v>
      </c>
      <c r="J12" s="76"/>
      <c r="K12" s="83">
        <v>279.9604</v>
      </c>
      <c r="L12" s="84">
        <v>4117.0</v>
      </c>
      <c r="M12" s="84">
        <v>271.51</v>
      </c>
      <c r="N12" s="84">
        <v>8.45042</v>
      </c>
    </row>
    <row r="13">
      <c r="D13" s="76"/>
      <c r="E13" s="83">
        <v>281.8067</v>
      </c>
      <c r="F13" s="84">
        <v>4562.0</v>
      </c>
      <c r="G13" s="84">
        <v>268.5</v>
      </c>
      <c r="H13" s="84">
        <v>13.30666</v>
      </c>
      <c r="J13" s="76"/>
      <c r="K13" s="83">
        <v>280.2896</v>
      </c>
      <c r="L13" s="84">
        <v>4588.0</v>
      </c>
      <c r="M13" s="84">
        <v>271.76</v>
      </c>
      <c r="N13" s="84">
        <v>8.52957</v>
      </c>
    </row>
    <row r="14">
      <c r="D14" s="76"/>
      <c r="E14" s="83">
        <v>281.9367</v>
      </c>
      <c r="F14" s="84">
        <v>5035.0</v>
      </c>
      <c r="G14" s="84">
        <v>268.0</v>
      </c>
      <c r="H14" s="84">
        <v>13.93667</v>
      </c>
      <c r="J14" s="76"/>
      <c r="K14" s="83">
        <v>280.5792</v>
      </c>
      <c r="L14" s="84">
        <v>5062.0</v>
      </c>
      <c r="M14" s="84">
        <v>271.84</v>
      </c>
      <c r="N14" s="84">
        <v>8.73917</v>
      </c>
    </row>
    <row r="15">
      <c r="D15" s="76"/>
      <c r="E15" s="83">
        <v>281.9146</v>
      </c>
      <c r="F15" s="84">
        <v>5507.0</v>
      </c>
      <c r="G15" s="84">
        <v>267.72</v>
      </c>
      <c r="H15" s="84">
        <v>14.19458</v>
      </c>
      <c r="J15" s="76"/>
      <c r="K15" s="83">
        <v>280.3021</v>
      </c>
      <c r="L15" s="84">
        <v>5534.0</v>
      </c>
      <c r="M15" s="84">
        <v>271.34</v>
      </c>
      <c r="N15" s="84">
        <v>8.96208</v>
      </c>
    </row>
    <row r="16">
      <c r="D16" s="76"/>
      <c r="E16" s="76"/>
      <c r="F16" s="76"/>
      <c r="G16" s="76"/>
      <c r="H16" s="76"/>
      <c r="J16" s="76"/>
      <c r="K16" s="83">
        <v>280.5974</v>
      </c>
      <c r="L16" s="84">
        <v>6009.0</v>
      </c>
      <c r="M16" s="84">
        <v>271.97</v>
      </c>
      <c r="N16" s="84">
        <v>8.62739</v>
      </c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75" t="s">
        <v>115</v>
      </c>
      <c r="D1" s="76"/>
      <c r="E1" s="77" t="s">
        <v>116</v>
      </c>
      <c r="J1" s="76"/>
      <c r="K1" s="77" t="s">
        <v>117</v>
      </c>
    </row>
    <row r="2">
      <c r="A2" s="7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78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78" t="s">
        <v>118</v>
      </c>
      <c r="D4" s="82" t="s">
        <v>94</v>
      </c>
      <c r="E4" s="83">
        <v>284.3465</v>
      </c>
      <c r="F4" s="84">
        <v>301.0</v>
      </c>
      <c r="G4" s="84">
        <v>275.35</v>
      </c>
      <c r="H4" s="84">
        <v>8.99652</v>
      </c>
      <c r="J4" s="82" t="s">
        <v>119</v>
      </c>
      <c r="K4" s="83">
        <v>282.4204</v>
      </c>
      <c r="L4" s="84">
        <v>301.0</v>
      </c>
      <c r="M4" s="84">
        <v>273.16</v>
      </c>
      <c r="N4" s="84">
        <v>9.26042</v>
      </c>
    </row>
    <row r="5">
      <c r="D5" s="76"/>
      <c r="E5" s="83">
        <v>284.283</v>
      </c>
      <c r="F5" s="84">
        <v>778.0</v>
      </c>
      <c r="G5" s="84">
        <v>275.84</v>
      </c>
      <c r="H5" s="84">
        <v>8.44304</v>
      </c>
      <c r="J5" s="76"/>
      <c r="K5" s="83">
        <v>282.7113</v>
      </c>
      <c r="L5" s="84">
        <v>776.0</v>
      </c>
      <c r="M5" s="84">
        <v>273.7</v>
      </c>
      <c r="N5" s="84">
        <v>9.01125</v>
      </c>
    </row>
    <row r="6">
      <c r="D6" s="76"/>
      <c r="E6" s="83">
        <v>284.0438</v>
      </c>
      <c r="F6" s="84">
        <v>1251.0</v>
      </c>
      <c r="G6" s="84">
        <v>275.26</v>
      </c>
      <c r="H6" s="84">
        <v>8.78375</v>
      </c>
      <c r="J6" s="76"/>
      <c r="K6" s="83">
        <v>282.9167</v>
      </c>
      <c r="L6" s="84">
        <v>1250.0</v>
      </c>
      <c r="M6" s="84">
        <v>273.79</v>
      </c>
      <c r="N6" s="84">
        <v>9.12667</v>
      </c>
    </row>
    <row r="7">
      <c r="D7" s="76"/>
      <c r="E7" s="83">
        <v>283.9104</v>
      </c>
      <c r="F7" s="84">
        <v>1723.0</v>
      </c>
      <c r="G7" s="84">
        <v>274.79</v>
      </c>
      <c r="H7" s="84">
        <v>9.12042</v>
      </c>
      <c r="J7" s="76"/>
      <c r="K7" s="83">
        <v>282.9135</v>
      </c>
      <c r="L7" s="84">
        <v>1719.0</v>
      </c>
      <c r="M7" s="84">
        <v>273.91</v>
      </c>
      <c r="N7" s="84">
        <v>9.00348</v>
      </c>
    </row>
    <row r="8">
      <c r="D8" s="76"/>
      <c r="E8" s="83">
        <v>283.9904</v>
      </c>
      <c r="F8" s="84">
        <v>2198.0</v>
      </c>
      <c r="G8" s="84">
        <v>275.0</v>
      </c>
      <c r="H8" s="84">
        <v>8.99043</v>
      </c>
      <c r="J8" s="76"/>
      <c r="K8" s="83">
        <v>282.9326</v>
      </c>
      <c r="L8" s="84">
        <v>2195.0</v>
      </c>
      <c r="M8" s="84">
        <v>273.67</v>
      </c>
      <c r="N8" s="84">
        <v>9.26261</v>
      </c>
    </row>
    <row r="9">
      <c r="D9" s="76"/>
      <c r="E9" s="83">
        <v>283.7371</v>
      </c>
      <c r="F9" s="84">
        <v>2678.0</v>
      </c>
      <c r="G9" s="84">
        <v>273.98</v>
      </c>
      <c r="H9" s="84">
        <v>9.75709</v>
      </c>
      <c r="J9" s="76"/>
      <c r="K9" s="83">
        <v>283.0588</v>
      </c>
      <c r="L9" s="84">
        <v>2666.0</v>
      </c>
      <c r="M9" s="84">
        <v>273.07</v>
      </c>
      <c r="N9" s="84">
        <v>9.98875</v>
      </c>
    </row>
    <row r="10">
      <c r="D10" s="76"/>
      <c r="E10" s="83">
        <v>283.7313</v>
      </c>
      <c r="F10" s="84">
        <v>3144.0</v>
      </c>
      <c r="G10" s="84">
        <v>274.6</v>
      </c>
      <c r="H10" s="84">
        <v>9.13125</v>
      </c>
      <c r="J10" s="82" t="s">
        <v>120</v>
      </c>
      <c r="K10" s="24">
        <v>283.2104</v>
      </c>
      <c r="L10" s="25">
        <v>3140.0</v>
      </c>
      <c r="M10" s="25">
        <v>272.92</v>
      </c>
      <c r="N10" s="25">
        <v>10.29042</v>
      </c>
    </row>
    <row r="11">
      <c r="D11" s="82" t="s">
        <v>114</v>
      </c>
      <c r="E11" s="83">
        <v>281.8421</v>
      </c>
      <c r="F11" s="84">
        <v>3617.0</v>
      </c>
      <c r="G11" s="84">
        <v>273.79</v>
      </c>
      <c r="H11" s="84">
        <v>8.05208</v>
      </c>
      <c r="J11" s="76"/>
      <c r="K11" s="24">
        <v>282.5083</v>
      </c>
      <c r="L11" s="25">
        <v>3613.0</v>
      </c>
      <c r="M11" s="25">
        <v>273.42</v>
      </c>
      <c r="N11" s="25">
        <v>9.08826</v>
      </c>
    </row>
    <row r="12">
      <c r="D12" s="76"/>
      <c r="E12" s="83">
        <v>282.2883</v>
      </c>
      <c r="F12" s="84">
        <v>4089.0</v>
      </c>
      <c r="G12" s="84">
        <v>275.23</v>
      </c>
      <c r="H12" s="84">
        <v>7.05833</v>
      </c>
      <c r="J12" s="76"/>
      <c r="K12" s="83">
        <v>282.6163</v>
      </c>
      <c r="L12" s="84">
        <v>4084.0</v>
      </c>
      <c r="M12" s="84">
        <v>273.95</v>
      </c>
      <c r="N12" s="84">
        <v>8.66625</v>
      </c>
    </row>
    <row r="13">
      <c r="D13" s="76"/>
      <c r="E13" s="83">
        <v>282.2767</v>
      </c>
      <c r="F13" s="84">
        <v>4574.0</v>
      </c>
      <c r="G13" s="84">
        <v>274.26</v>
      </c>
      <c r="H13" s="84">
        <v>8.01667</v>
      </c>
      <c r="J13" s="76"/>
      <c r="K13" s="83">
        <v>282.7521</v>
      </c>
      <c r="L13" s="84">
        <v>4559.0</v>
      </c>
      <c r="M13" s="84">
        <v>274.1</v>
      </c>
      <c r="N13" s="84">
        <v>8.65208</v>
      </c>
    </row>
    <row r="14">
      <c r="D14" s="76"/>
      <c r="E14" s="83">
        <v>282.3546</v>
      </c>
      <c r="F14" s="84">
        <v>5036.0</v>
      </c>
      <c r="G14" s="84">
        <v>275.01</v>
      </c>
      <c r="H14" s="84">
        <v>7.34458</v>
      </c>
      <c r="J14" s="76"/>
      <c r="K14" s="83">
        <v>282.9025</v>
      </c>
      <c r="L14" s="84">
        <v>5031.0</v>
      </c>
      <c r="M14" s="84">
        <v>274.48</v>
      </c>
      <c r="N14" s="84">
        <v>8.4225</v>
      </c>
    </row>
    <row r="15">
      <c r="D15" s="76"/>
      <c r="E15" s="83">
        <v>282.5274</v>
      </c>
      <c r="F15" s="84">
        <v>5511.0</v>
      </c>
      <c r="G15" s="84">
        <v>275.31</v>
      </c>
      <c r="H15" s="84">
        <v>7.21739</v>
      </c>
      <c r="J15" s="76"/>
      <c r="K15" s="83">
        <v>282.9946</v>
      </c>
      <c r="L15" s="84">
        <v>5511.0</v>
      </c>
      <c r="M15" s="84">
        <v>274.37</v>
      </c>
      <c r="N15" s="84">
        <v>8.62458</v>
      </c>
    </row>
    <row r="16">
      <c r="D16" s="76"/>
      <c r="E16" s="83">
        <v>282.7129</v>
      </c>
      <c r="F16" s="84">
        <v>5983.0</v>
      </c>
      <c r="G16" s="84">
        <v>275.54</v>
      </c>
      <c r="H16" s="84">
        <v>7.17292</v>
      </c>
      <c r="J16" s="76"/>
      <c r="K16" s="83">
        <v>283.1944</v>
      </c>
      <c r="L16" s="84">
        <v>5982.0</v>
      </c>
      <c r="M16" s="84">
        <v>274.7</v>
      </c>
      <c r="N16" s="84">
        <v>8.49435</v>
      </c>
    </row>
    <row r="17">
      <c r="D17" s="76"/>
      <c r="E17" s="83">
        <v>282.9417</v>
      </c>
      <c r="F17" s="84">
        <v>6457.0</v>
      </c>
      <c r="G17" s="84">
        <v>275.79</v>
      </c>
      <c r="H17" s="84">
        <v>7.15167</v>
      </c>
      <c r="J17" s="76"/>
      <c r="K17" s="83">
        <v>283.3946</v>
      </c>
      <c r="L17" s="84">
        <v>6454.0</v>
      </c>
      <c r="M17" s="84">
        <v>274.75</v>
      </c>
      <c r="N17" s="84">
        <v>8.64459</v>
      </c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5" t="s">
        <v>121</v>
      </c>
      <c r="B1" s="86"/>
      <c r="C1" s="86"/>
      <c r="D1" s="76"/>
      <c r="E1" s="77" t="s">
        <v>122</v>
      </c>
    </row>
    <row r="2">
      <c r="A2" s="85" t="s">
        <v>90</v>
      </c>
      <c r="B2" s="86"/>
      <c r="C2" s="86"/>
      <c r="D2" s="76"/>
      <c r="E2" s="76"/>
      <c r="F2" s="76"/>
      <c r="G2" s="76"/>
      <c r="H2" s="76"/>
    </row>
    <row r="3">
      <c r="A3" s="78" t="s">
        <v>111</v>
      </c>
      <c r="B3" s="86"/>
      <c r="C3" s="86"/>
      <c r="D3" s="87"/>
      <c r="E3" s="80" t="s">
        <v>10</v>
      </c>
      <c r="F3" s="80" t="s">
        <v>11</v>
      </c>
      <c r="G3" s="80" t="s">
        <v>12</v>
      </c>
      <c r="H3" s="81" t="s">
        <v>85</v>
      </c>
    </row>
    <row r="4">
      <c r="A4" s="78" t="s">
        <v>118</v>
      </c>
      <c r="B4" s="86"/>
      <c r="C4" s="86"/>
      <c r="D4" s="88" t="s">
        <v>66</v>
      </c>
      <c r="E4" s="89">
        <v>292.6964</v>
      </c>
      <c r="F4" s="89">
        <v>317.0</v>
      </c>
      <c r="G4" s="89">
        <v>281.51999</v>
      </c>
      <c r="H4" s="89">
        <v>11.17641</v>
      </c>
    </row>
    <row r="5">
      <c r="A5" s="86"/>
      <c r="B5" s="86"/>
      <c r="C5" s="86"/>
      <c r="D5" s="90"/>
      <c r="E5" s="89">
        <v>292.5697</v>
      </c>
      <c r="F5" s="89">
        <v>790.0</v>
      </c>
      <c r="G5" s="89">
        <v>281.67001</v>
      </c>
      <c r="H5" s="89">
        <v>10.89972</v>
      </c>
    </row>
    <row r="6">
      <c r="A6" s="86"/>
      <c r="B6" s="86"/>
      <c r="C6" s="86"/>
      <c r="D6" s="90"/>
      <c r="E6" s="89">
        <v>292.694</v>
      </c>
      <c r="F6" s="89">
        <v>1263.0</v>
      </c>
      <c r="G6" s="89">
        <v>281.44</v>
      </c>
      <c r="H6" s="89">
        <v>11.254</v>
      </c>
    </row>
    <row r="7">
      <c r="A7" s="86"/>
      <c r="B7" s="86"/>
      <c r="C7" s="86"/>
      <c r="D7" s="90"/>
      <c r="E7" s="89">
        <v>292.5997</v>
      </c>
      <c r="F7" s="89">
        <v>1737.0</v>
      </c>
      <c r="G7" s="89">
        <v>281.85999</v>
      </c>
      <c r="H7" s="89">
        <v>10.73974</v>
      </c>
    </row>
    <row r="8">
      <c r="A8" s="86"/>
      <c r="B8" s="86"/>
      <c r="C8" s="86"/>
      <c r="D8" s="90"/>
      <c r="E8" s="89">
        <v>292.3213</v>
      </c>
      <c r="F8" s="89">
        <v>2211.0</v>
      </c>
      <c r="G8" s="89">
        <v>281.23001</v>
      </c>
      <c r="H8" s="89">
        <v>11.09132</v>
      </c>
    </row>
    <row r="9">
      <c r="A9" s="86"/>
      <c r="B9" s="86"/>
      <c r="C9" s="86"/>
      <c r="D9" s="90"/>
      <c r="E9" s="89">
        <v>291.1703</v>
      </c>
      <c r="F9" s="89">
        <v>2684.0</v>
      </c>
      <c r="G9" s="89">
        <v>280.60999</v>
      </c>
      <c r="H9" s="89">
        <v>10.56028</v>
      </c>
    </row>
    <row r="10">
      <c r="A10" s="86"/>
      <c r="B10" s="86"/>
      <c r="C10" s="86"/>
      <c r="D10" s="88" t="s">
        <v>23</v>
      </c>
      <c r="E10" s="91">
        <v>290.8658</v>
      </c>
      <c r="F10" s="91">
        <v>3157.0</v>
      </c>
      <c r="G10" s="91">
        <v>281.38</v>
      </c>
      <c r="H10" s="91">
        <v>9.48581</v>
      </c>
    </row>
    <row r="11">
      <c r="A11" s="86"/>
      <c r="B11" s="86"/>
      <c r="C11" s="86"/>
      <c r="D11" s="90"/>
      <c r="E11" s="89">
        <v>289.9733</v>
      </c>
      <c r="F11" s="89">
        <v>3634.0</v>
      </c>
      <c r="G11" s="89">
        <v>281.48001</v>
      </c>
      <c r="H11" s="89">
        <v>8.49332</v>
      </c>
    </row>
    <row r="12">
      <c r="A12" s="86"/>
      <c r="B12" s="86"/>
      <c r="C12" s="86"/>
      <c r="D12" s="90"/>
      <c r="E12" s="89">
        <v>290.2039</v>
      </c>
      <c r="F12" s="89">
        <v>4106.0</v>
      </c>
      <c r="G12" s="89">
        <v>281.57001</v>
      </c>
      <c r="H12" s="89">
        <v>8.63391</v>
      </c>
    </row>
    <row r="13">
      <c r="A13" s="86"/>
      <c r="B13" s="86"/>
      <c r="C13" s="86"/>
      <c r="D13" s="90"/>
      <c r="E13" s="89">
        <v>289.6632</v>
      </c>
      <c r="F13" s="89">
        <v>4583.0</v>
      </c>
      <c r="G13" s="89">
        <v>280.75</v>
      </c>
      <c r="H13" s="89">
        <v>8.91324</v>
      </c>
    </row>
    <row r="14">
      <c r="A14" s="86"/>
      <c r="B14" s="86"/>
      <c r="C14" s="86"/>
      <c r="D14" s="90"/>
      <c r="E14" s="89">
        <v>289.9916</v>
      </c>
      <c r="F14" s="89">
        <v>5055.0</v>
      </c>
      <c r="G14" s="89">
        <v>281.39999</v>
      </c>
      <c r="H14" s="89">
        <v>8.59163</v>
      </c>
    </row>
    <row r="15">
      <c r="A15" s="86"/>
      <c r="B15" s="86"/>
      <c r="C15" s="86"/>
      <c r="D15" s="90"/>
      <c r="E15" s="89">
        <v>289.8007</v>
      </c>
      <c r="F15" s="89">
        <v>5530.0</v>
      </c>
      <c r="G15" s="89">
        <v>281.54999</v>
      </c>
      <c r="H15" s="89">
        <v>8.25068</v>
      </c>
    </row>
    <row r="16">
      <c r="A16" s="86"/>
      <c r="B16" s="86"/>
      <c r="C16" s="86"/>
      <c r="D16" s="90"/>
      <c r="E16" s="89">
        <v>290.3577</v>
      </c>
      <c r="F16" s="89">
        <v>6002.0</v>
      </c>
      <c r="G16" s="89">
        <v>281.82001</v>
      </c>
      <c r="H16" s="89">
        <v>8.53769</v>
      </c>
    </row>
    <row r="17">
      <c r="A17" s="86"/>
      <c r="B17" s="86"/>
      <c r="C17" s="86"/>
      <c r="D17" s="92"/>
      <c r="E17" s="93"/>
      <c r="F17" s="93"/>
      <c r="G17" s="93"/>
      <c r="H17" s="93"/>
    </row>
  </sheetData>
  <mergeCells count="1">
    <mergeCell ref="E1:H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5" t="s">
        <v>123</v>
      </c>
      <c r="B1" s="86"/>
      <c r="C1" s="86"/>
      <c r="D1" s="76"/>
      <c r="E1" s="77" t="s">
        <v>124</v>
      </c>
    </row>
    <row r="2">
      <c r="A2" s="85" t="s">
        <v>90</v>
      </c>
      <c r="B2" s="86"/>
      <c r="C2" s="86"/>
      <c r="D2" s="76"/>
      <c r="E2" s="76"/>
      <c r="F2" s="76"/>
      <c r="G2" s="76"/>
      <c r="H2" s="76"/>
    </row>
    <row r="3">
      <c r="A3" s="78" t="s">
        <v>111</v>
      </c>
      <c r="B3" s="86"/>
      <c r="C3" s="86"/>
      <c r="D3" s="87"/>
      <c r="E3" s="80" t="s">
        <v>10</v>
      </c>
      <c r="F3" s="80" t="s">
        <v>11</v>
      </c>
      <c r="G3" s="80" t="s">
        <v>12</v>
      </c>
      <c r="H3" s="81" t="s">
        <v>85</v>
      </c>
    </row>
    <row r="4">
      <c r="A4" s="78" t="s">
        <v>118</v>
      </c>
      <c r="B4" s="86"/>
      <c r="C4" s="86"/>
      <c r="D4" s="88" t="s">
        <v>66</v>
      </c>
      <c r="E4" s="89">
        <v>288.8782</v>
      </c>
      <c r="F4" s="89">
        <v>342.0</v>
      </c>
      <c r="G4" s="89">
        <v>282.46</v>
      </c>
      <c r="H4" s="89">
        <v>6.41823</v>
      </c>
    </row>
    <row r="5">
      <c r="A5" s="86"/>
      <c r="B5" s="86"/>
      <c r="C5" s="86"/>
      <c r="D5" s="90"/>
      <c r="E5" s="89">
        <v>288.6924</v>
      </c>
      <c r="F5" s="89">
        <v>818.0</v>
      </c>
      <c r="G5" s="89">
        <v>282.44001</v>
      </c>
      <c r="H5" s="89">
        <v>6.25241</v>
      </c>
    </row>
    <row r="6">
      <c r="A6" s="86"/>
      <c r="B6" s="86"/>
      <c r="C6" s="86"/>
      <c r="D6" s="90"/>
      <c r="E6" s="89">
        <v>288.219</v>
      </c>
      <c r="F6" s="89">
        <v>1293.0</v>
      </c>
      <c r="G6" s="89">
        <v>281.70999</v>
      </c>
      <c r="H6" s="89">
        <v>6.50903</v>
      </c>
    </row>
    <row r="7">
      <c r="A7" s="86"/>
      <c r="B7" s="86"/>
      <c r="C7" s="86"/>
      <c r="D7" s="90"/>
      <c r="E7" s="89">
        <v>287.6489</v>
      </c>
      <c r="F7" s="89">
        <v>21764.0</v>
      </c>
      <c r="G7" s="89">
        <v>281.39999</v>
      </c>
      <c r="H7" s="89">
        <v>6.24888</v>
      </c>
    </row>
    <row r="8">
      <c r="A8" s="86"/>
      <c r="B8" s="86"/>
      <c r="C8" s="86"/>
      <c r="D8" s="90"/>
      <c r="E8" s="89">
        <v>287.0132</v>
      </c>
      <c r="F8" s="89">
        <v>22238.0</v>
      </c>
      <c r="G8" s="89">
        <v>280.94</v>
      </c>
      <c r="H8" s="89">
        <v>6.07322</v>
      </c>
    </row>
    <row r="9">
      <c r="A9" s="86"/>
      <c r="B9" s="86"/>
      <c r="C9" s="86"/>
      <c r="D9" s="90"/>
      <c r="E9" s="89">
        <v>286.1626</v>
      </c>
      <c r="F9" s="89">
        <v>22710.0</v>
      </c>
      <c r="G9" s="89">
        <v>279.62</v>
      </c>
      <c r="H9" s="89">
        <v>6.54262</v>
      </c>
    </row>
    <row r="10">
      <c r="A10" s="86"/>
      <c r="B10" s="86"/>
      <c r="C10" s="86"/>
      <c r="D10" s="88" t="s">
        <v>68</v>
      </c>
      <c r="E10" s="89">
        <v>286.2792</v>
      </c>
      <c r="F10" s="89">
        <v>23183.0</v>
      </c>
      <c r="G10" s="89">
        <v>281.89001</v>
      </c>
      <c r="H10" s="89">
        <v>4.38918</v>
      </c>
    </row>
    <row r="11">
      <c r="A11" s="86"/>
      <c r="B11" s="86"/>
      <c r="C11" s="86"/>
      <c r="D11" s="90"/>
      <c r="E11" s="89">
        <v>286.269</v>
      </c>
      <c r="F11" s="89">
        <v>23657.0</v>
      </c>
      <c r="G11" s="89">
        <v>281.85001</v>
      </c>
      <c r="H11" s="89">
        <v>4.41902</v>
      </c>
    </row>
    <row r="12">
      <c r="A12" s="86"/>
      <c r="B12" s="86"/>
      <c r="C12" s="86"/>
      <c r="D12" s="90"/>
      <c r="E12" s="89">
        <v>286.4523</v>
      </c>
      <c r="F12" s="89">
        <v>24132.0</v>
      </c>
      <c r="G12" s="89">
        <v>282.32999</v>
      </c>
      <c r="H12" s="89">
        <v>4.1223</v>
      </c>
    </row>
    <row r="13">
      <c r="A13" s="86"/>
      <c r="B13" s="86"/>
      <c r="C13" s="86"/>
      <c r="D13" s="90"/>
      <c r="E13" s="89">
        <v>286.1642</v>
      </c>
      <c r="F13" s="89">
        <v>24610.0</v>
      </c>
      <c r="G13" s="89">
        <v>281.87</v>
      </c>
      <c r="H13" s="89">
        <v>4.29419</v>
      </c>
    </row>
    <row r="14">
      <c r="A14" s="86"/>
      <c r="B14" s="86"/>
      <c r="C14" s="86"/>
      <c r="D14" s="90"/>
      <c r="E14" s="89">
        <v>286.0958</v>
      </c>
      <c r="F14" s="89">
        <v>25079.0</v>
      </c>
      <c r="G14" s="89">
        <v>281.98999</v>
      </c>
      <c r="H14" s="89">
        <v>4.10581</v>
      </c>
    </row>
    <row r="15">
      <c r="A15" s="86"/>
      <c r="B15" s="86"/>
      <c r="C15" s="86"/>
      <c r="D15" s="90"/>
      <c r="E15" s="89">
        <v>285.6044</v>
      </c>
      <c r="F15" s="89">
        <v>25555.0</v>
      </c>
      <c r="G15" s="89">
        <v>281.53</v>
      </c>
      <c r="H15" s="89">
        <v>4.07435</v>
      </c>
    </row>
    <row r="16">
      <c r="A16" s="86"/>
      <c r="B16" s="86"/>
      <c r="C16" s="86"/>
      <c r="D16" s="90"/>
      <c r="E16" s="94"/>
      <c r="F16" s="94"/>
      <c r="G16" s="94"/>
      <c r="H16" s="94"/>
    </row>
    <row r="17">
      <c r="A17" s="86"/>
      <c r="B17" s="86"/>
      <c r="C17" s="86"/>
      <c r="D17" s="92"/>
      <c r="E17" s="93"/>
      <c r="F17" s="93"/>
      <c r="G17" s="93"/>
      <c r="H17" s="93"/>
    </row>
    <row r="18">
      <c r="A18" s="86"/>
      <c r="B18" s="86"/>
      <c r="C18" s="86"/>
      <c r="D18" s="86"/>
      <c r="E18" s="86"/>
      <c r="F18" s="86"/>
      <c r="G18" s="86"/>
      <c r="H18" s="86"/>
    </row>
    <row r="19">
      <c r="A19" s="86"/>
      <c r="B19" s="86"/>
      <c r="C19" s="86"/>
      <c r="D19" s="86"/>
      <c r="E19" s="86"/>
      <c r="F19" s="86"/>
      <c r="G19" s="86"/>
      <c r="H19" s="86"/>
    </row>
    <row r="20">
      <c r="A20" s="86"/>
      <c r="B20" s="86"/>
      <c r="C20" s="86"/>
      <c r="D20" s="86"/>
      <c r="E20" s="86"/>
      <c r="F20" s="86"/>
      <c r="G20" s="86"/>
      <c r="H20" s="86"/>
    </row>
  </sheetData>
  <mergeCells count="1">
    <mergeCell ref="E1:H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125</v>
      </c>
      <c r="D1" s="76"/>
      <c r="E1" s="77" t="s">
        <v>126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127</v>
      </c>
      <c r="D4" s="82" t="s">
        <v>119</v>
      </c>
      <c r="E4" s="83">
        <v>286.7542</v>
      </c>
      <c r="F4" s="84">
        <v>301.0</v>
      </c>
      <c r="G4" s="84">
        <v>276.51</v>
      </c>
      <c r="H4" s="84">
        <v>10.24417</v>
      </c>
    </row>
    <row r="5">
      <c r="D5" s="76"/>
      <c r="E5" s="83">
        <v>286.6838</v>
      </c>
      <c r="F5" s="84">
        <v>773.0</v>
      </c>
      <c r="G5" s="84">
        <v>276.35</v>
      </c>
      <c r="H5" s="84">
        <v>10.33375</v>
      </c>
    </row>
    <row r="6">
      <c r="D6" s="76"/>
      <c r="E6" s="83">
        <v>286.9471</v>
      </c>
      <c r="F6" s="84">
        <v>1246.0</v>
      </c>
      <c r="G6" s="84">
        <v>277.48</v>
      </c>
      <c r="H6" s="84">
        <v>9.46709</v>
      </c>
    </row>
    <row r="7">
      <c r="D7" s="76"/>
      <c r="E7" s="83">
        <v>286.9167</v>
      </c>
      <c r="F7" s="84">
        <v>1721.0</v>
      </c>
      <c r="G7" s="84">
        <v>276.95</v>
      </c>
      <c r="H7" s="84">
        <v>9.96666</v>
      </c>
    </row>
    <row r="8">
      <c r="D8" s="76"/>
      <c r="E8" s="83">
        <v>287.1291</v>
      </c>
      <c r="F8" s="84">
        <v>2194.0</v>
      </c>
      <c r="G8" s="84">
        <v>276.85</v>
      </c>
      <c r="H8" s="84">
        <v>10.27913</v>
      </c>
    </row>
    <row r="9">
      <c r="D9" s="76"/>
      <c r="E9" s="83">
        <v>286.9196</v>
      </c>
      <c r="F9" s="84">
        <v>2667.0</v>
      </c>
      <c r="G9" s="84">
        <v>276.84</v>
      </c>
      <c r="H9" s="84">
        <v>10.07957</v>
      </c>
    </row>
    <row r="10">
      <c r="D10" s="76"/>
      <c r="E10" s="83">
        <v>286.6563</v>
      </c>
      <c r="F10" s="84">
        <v>3141.0</v>
      </c>
      <c r="G10" s="84">
        <v>277.17</v>
      </c>
      <c r="H10" s="84">
        <v>9.48629</v>
      </c>
    </row>
    <row r="11">
      <c r="D11" s="82" t="s">
        <v>107</v>
      </c>
      <c r="E11" s="83">
        <v>286.8208</v>
      </c>
      <c r="F11" s="84">
        <v>3611.0</v>
      </c>
      <c r="G11" s="84">
        <v>280.45</v>
      </c>
      <c r="H11" s="84">
        <v>6.37083</v>
      </c>
    </row>
    <row r="12">
      <c r="D12" s="76"/>
      <c r="E12" s="83">
        <v>286.9263</v>
      </c>
      <c r="F12" s="84">
        <v>4082.0</v>
      </c>
      <c r="G12" s="84">
        <v>281.26</v>
      </c>
      <c r="H12" s="84">
        <v>5.66625</v>
      </c>
    </row>
    <row r="13">
      <c r="D13" s="76"/>
      <c r="E13" s="83">
        <v>287.005</v>
      </c>
      <c r="F13" s="84">
        <v>4556.0</v>
      </c>
      <c r="G13" s="84">
        <v>281.92</v>
      </c>
      <c r="H13" s="84">
        <v>5.085</v>
      </c>
    </row>
    <row r="14">
      <c r="D14" s="76"/>
      <c r="E14" s="83">
        <v>286.9646</v>
      </c>
      <c r="F14" s="84">
        <v>5030.0</v>
      </c>
      <c r="G14" s="84">
        <v>282.14</v>
      </c>
      <c r="H14" s="84">
        <v>4.82458</v>
      </c>
    </row>
    <row r="15">
      <c r="D15" s="76"/>
      <c r="E15" s="83">
        <v>287.2013</v>
      </c>
      <c r="F15" s="84">
        <v>5502.0</v>
      </c>
      <c r="G15" s="84">
        <v>282.48</v>
      </c>
      <c r="H15" s="84">
        <v>4.7213</v>
      </c>
    </row>
    <row r="16">
      <c r="D16" s="76"/>
      <c r="E16" s="83">
        <v>287.5179</v>
      </c>
      <c r="F16" s="84">
        <v>5977.0</v>
      </c>
      <c r="G16" s="84">
        <v>282.22</v>
      </c>
      <c r="H16" s="84">
        <v>5.29792</v>
      </c>
    </row>
    <row r="17">
      <c r="D17" s="76"/>
      <c r="E17" s="83">
        <v>287.0071</v>
      </c>
      <c r="F17" s="84">
        <v>6449.0</v>
      </c>
      <c r="G17" s="84">
        <v>280.92</v>
      </c>
      <c r="H17" s="84">
        <v>6.08708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  <row r="27">
      <c r="D27" s="76"/>
      <c r="E27" s="76"/>
      <c r="F27" s="76"/>
      <c r="G27" s="76"/>
      <c r="H27" s="76"/>
    </row>
    <row r="28">
      <c r="D28" s="76"/>
      <c r="E28" s="76"/>
      <c r="F28" s="76"/>
      <c r="G28" s="76"/>
      <c r="H28" s="76"/>
    </row>
    <row r="29">
      <c r="D29" s="76"/>
      <c r="E29" s="76"/>
      <c r="F29" s="76"/>
      <c r="G29" s="76"/>
      <c r="H29" s="76"/>
    </row>
    <row r="30">
      <c r="D30" s="76"/>
      <c r="E30" s="76"/>
      <c r="F30" s="76"/>
      <c r="G30" s="76"/>
      <c r="H30" s="76"/>
    </row>
    <row r="31">
      <c r="D31" s="76"/>
      <c r="E31" s="76"/>
      <c r="F31" s="76"/>
      <c r="G31" s="76"/>
      <c r="H31" s="76"/>
    </row>
    <row r="32">
      <c r="D32" s="76"/>
      <c r="E32" s="76"/>
      <c r="F32" s="76"/>
      <c r="G32" s="76"/>
      <c r="H32" s="76"/>
    </row>
    <row r="33">
      <c r="D33" s="76"/>
      <c r="E33" s="76"/>
      <c r="F33" s="76"/>
      <c r="G33" s="76"/>
      <c r="H33" s="76"/>
    </row>
    <row r="34">
      <c r="D34" s="76"/>
      <c r="E34" s="76"/>
      <c r="F34" s="76"/>
      <c r="G34" s="76"/>
      <c r="H34" s="76"/>
    </row>
    <row r="35">
      <c r="D35" s="76"/>
      <c r="E35" s="76"/>
      <c r="F35" s="76"/>
      <c r="G35" s="76"/>
      <c r="H35" s="76"/>
    </row>
    <row r="36">
      <c r="D36" s="76"/>
      <c r="E36" s="76"/>
      <c r="F36" s="76"/>
      <c r="G36" s="76"/>
      <c r="H36" s="76"/>
    </row>
    <row r="37">
      <c r="D37" s="76"/>
      <c r="E37" s="76"/>
      <c r="F37" s="76"/>
      <c r="G37" s="76"/>
      <c r="H37" s="76"/>
    </row>
    <row r="38">
      <c r="D38" s="76"/>
      <c r="E38" s="76"/>
      <c r="F38" s="76"/>
      <c r="G38" s="76"/>
      <c r="H38" s="76"/>
    </row>
    <row r="39">
      <c r="D39" s="76"/>
      <c r="E39" s="76"/>
      <c r="F39" s="76"/>
      <c r="G39" s="76"/>
      <c r="H39" s="76"/>
    </row>
    <row r="40">
      <c r="D40" s="76"/>
      <c r="E40" s="76"/>
      <c r="F40" s="76"/>
      <c r="G40" s="76"/>
      <c r="H40" s="76"/>
    </row>
    <row r="41">
      <c r="D41" s="76"/>
      <c r="E41" s="76"/>
      <c r="F41" s="76"/>
      <c r="G41" s="76"/>
      <c r="H41" s="76"/>
    </row>
    <row r="42">
      <c r="D42" s="76"/>
      <c r="E42" s="76"/>
      <c r="F42" s="76"/>
      <c r="G42" s="76"/>
      <c r="H42" s="76"/>
    </row>
  </sheetData>
  <mergeCells count="1">
    <mergeCell ref="E1:H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7" t="s">
        <v>128</v>
      </c>
      <c r="B1" s="98"/>
      <c r="C1" s="98"/>
      <c r="D1" s="76"/>
      <c r="E1" s="77" t="s">
        <v>129</v>
      </c>
      <c r="J1" s="76"/>
      <c r="K1" s="77" t="s">
        <v>130</v>
      </c>
    </row>
    <row r="2">
      <c r="A2" s="99" t="s">
        <v>90</v>
      </c>
      <c r="B2" s="98"/>
      <c r="C2" s="98"/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100" t="s">
        <v>111</v>
      </c>
      <c r="B3" s="98"/>
      <c r="C3" s="98"/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100" t="s">
        <v>131</v>
      </c>
      <c r="B4" s="98"/>
      <c r="C4" s="98"/>
      <c r="D4" s="82" t="s">
        <v>119</v>
      </c>
      <c r="E4" s="83">
        <v>292.3539</v>
      </c>
      <c r="F4" s="84">
        <v>301.0</v>
      </c>
      <c r="G4" s="84">
        <v>276.84</v>
      </c>
      <c r="H4" s="84">
        <v>15.51389</v>
      </c>
      <c r="J4" s="82" t="s">
        <v>95</v>
      </c>
      <c r="K4" s="83">
        <v>292.7611</v>
      </c>
      <c r="L4" s="84">
        <v>301.0</v>
      </c>
      <c r="M4" s="84">
        <v>273.95</v>
      </c>
      <c r="N4" s="84">
        <v>18.81114</v>
      </c>
    </row>
    <row r="5">
      <c r="D5" s="76"/>
      <c r="E5" s="83">
        <v>292.2769</v>
      </c>
      <c r="F5" s="84">
        <v>774.0</v>
      </c>
      <c r="G5" s="84">
        <v>276.17</v>
      </c>
      <c r="H5" s="84">
        <v>16.10685</v>
      </c>
      <c r="J5" s="76"/>
      <c r="K5" s="83">
        <v>292.4051</v>
      </c>
      <c r="L5" s="84">
        <v>776.0</v>
      </c>
      <c r="M5" s="84">
        <v>273.75</v>
      </c>
      <c r="N5" s="84">
        <v>18.65514</v>
      </c>
    </row>
    <row r="6">
      <c r="D6" s="76"/>
      <c r="E6" s="83">
        <v>291.7074</v>
      </c>
      <c r="F6" s="84">
        <v>1249.0</v>
      </c>
      <c r="G6" s="84">
        <v>276.44</v>
      </c>
      <c r="H6" s="84">
        <v>15.26743</v>
      </c>
      <c r="J6" s="76"/>
      <c r="K6" s="83">
        <v>292.2674</v>
      </c>
      <c r="L6" s="84">
        <v>1249.0</v>
      </c>
      <c r="M6" s="84">
        <v>272.82</v>
      </c>
      <c r="N6" s="84">
        <v>19.44743</v>
      </c>
    </row>
    <row r="7">
      <c r="D7" s="76"/>
      <c r="E7" s="83">
        <v>290.9789</v>
      </c>
      <c r="F7" s="84">
        <v>1721.0</v>
      </c>
      <c r="G7" s="84">
        <v>276.28</v>
      </c>
      <c r="H7" s="84">
        <v>14.69889</v>
      </c>
      <c r="J7" s="76"/>
      <c r="K7" s="83">
        <v>292.2909</v>
      </c>
      <c r="L7" s="84">
        <v>1721.0</v>
      </c>
      <c r="M7" s="84">
        <v>274.16</v>
      </c>
      <c r="N7" s="84">
        <v>18.13086</v>
      </c>
    </row>
    <row r="8">
      <c r="D8" s="76"/>
      <c r="E8" s="83">
        <v>291.4051</v>
      </c>
      <c r="F8" s="84">
        <v>2197.0</v>
      </c>
      <c r="G8" s="84">
        <v>276.54</v>
      </c>
      <c r="H8" s="84">
        <v>14.86514</v>
      </c>
      <c r="J8" s="76"/>
      <c r="K8" s="83">
        <v>292.2317</v>
      </c>
      <c r="L8" s="84">
        <v>2196.0</v>
      </c>
      <c r="M8" s="84">
        <v>275.17</v>
      </c>
      <c r="N8" s="84">
        <v>17.06171</v>
      </c>
    </row>
    <row r="9">
      <c r="D9" s="82" t="s">
        <v>94</v>
      </c>
      <c r="E9" s="24">
        <v>289.854</v>
      </c>
      <c r="F9" s="25">
        <v>2670.0</v>
      </c>
      <c r="G9" s="25">
        <v>276.04</v>
      </c>
      <c r="H9" s="25">
        <v>13.814</v>
      </c>
      <c r="J9" s="82" t="s">
        <v>119</v>
      </c>
      <c r="K9" s="83">
        <v>291.8929</v>
      </c>
      <c r="L9" s="84">
        <v>2671.0</v>
      </c>
      <c r="M9" s="84">
        <v>273.64</v>
      </c>
      <c r="N9" s="84">
        <v>18.25286</v>
      </c>
    </row>
    <row r="10">
      <c r="D10" s="76"/>
      <c r="E10" s="24">
        <v>290.6046</v>
      </c>
      <c r="F10" s="25">
        <v>3116.0</v>
      </c>
      <c r="G10" s="25">
        <v>277.47</v>
      </c>
      <c r="H10" s="25">
        <v>13.13457</v>
      </c>
      <c r="J10" s="76"/>
      <c r="K10" s="83">
        <v>292.3539</v>
      </c>
      <c r="L10" s="84">
        <v>3143.0</v>
      </c>
      <c r="M10" s="84">
        <v>276.84</v>
      </c>
      <c r="N10" s="84">
        <v>15.51389</v>
      </c>
    </row>
    <row r="11">
      <c r="D11" s="76"/>
      <c r="E11" s="24">
        <v>290.7871</v>
      </c>
      <c r="F11" s="25">
        <v>3590.0</v>
      </c>
      <c r="G11" s="25">
        <v>277.14</v>
      </c>
      <c r="H11" s="25">
        <v>13.64714</v>
      </c>
      <c r="J11" s="76"/>
      <c r="K11" s="83">
        <v>292.2769</v>
      </c>
      <c r="L11" s="84">
        <v>3616.0</v>
      </c>
      <c r="M11" s="84">
        <v>276.17</v>
      </c>
      <c r="N11" s="84">
        <v>16.10685</v>
      </c>
    </row>
    <row r="12">
      <c r="D12" s="76"/>
      <c r="E12" s="24">
        <v>289.6431</v>
      </c>
      <c r="F12" s="25">
        <v>4062.0</v>
      </c>
      <c r="G12" s="25">
        <v>277.41</v>
      </c>
      <c r="H12" s="25">
        <v>12.23314</v>
      </c>
      <c r="J12" s="76"/>
      <c r="K12" s="83">
        <v>291.7074</v>
      </c>
      <c r="L12" s="84">
        <v>4091.0</v>
      </c>
      <c r="M12" s="84">
        <v>276.44</v>
      </c>
      <c r="N12" s="84">
        <v>15.26743</v>
      </c>
    </row>
    <row r="13">
      <c r="D13" s="76"/>
      <c r="E13" s="83">
        <v>289.4914</v>
      </c>
      <c r="F13" s="84">
        <v>4537.0</v>
      </c>
      <c r="G13" s="84">
        <v>277.47</v>
      </c>
      <c r="H13" s="84">
        <v>12.02143</v>
      </c>
      <c r="J13" s="76"/>
      <c r="K13" s="83">
        <v>290.9789</v>
      </c>
      <c r="L13" s="84">
        <v>4563.0</v>
      </c>
      <c r="M13" s="84">
        <v>276.28</v>
      </c>
      <c r="N13" s="84">
        <v>14.69889</v>
      </c>
    </row>
    <row r="14">
      <c r="D14" s="76"/>
      <c r="E14" s="83">
        <v>289.3023</v>
      </c>
      <c r="F14" s="84">
        <v>5013.0</v>
      </c>
      <c r="G14" s="84">
        <v>276.64</v>
      </c>
      <c r="H14" s="84">
        <v>12.66229</v>
      </c>
      <c r="J14" s="76"/>
      <c r="K14" s="83">
        <v>291.4051</v>
      </c>
      <c r="L14" s="84">
        <v>5039.0</v>
      </c>
      <c r="M14" s="84">
        <v>276.54</v>
      </c>
      <c r="N14" s="84">
        <v>14.86514</v>
      </c>
    </row>
    <row r="15">
      <c r="D15" s="76"/>
      <c r="E15" s="83">
        <v>288.0471</v>
      </c>
      <c r="F15" s="84">
        <v>5484.0</v>
      </c>
      <c r="G15" s="84">
        <v>274.7</v>
      </c>
      <c r="H15" s="84">
        <v>13.34714</v>
      </c>
      <c r="J15" s="76"/>
      <c r="K15" s="76"/>
      <c r="L15" s="76"/>
      <c r="M15" s="76"/>
      <c r="N15" s="76"/>
    </row>
    <row r="16">
      <c r="D16" s="76"/>
      <c r="E16" s="83">
        <v>289.9089</v>
      </c>
      <c r="F16" s="84">
        <v>5958.0</v>
      </c>
      <c r="G16" s="84">
        <v>277.51</v>
      </c>
      <c r="H16" s="84">
        <v>12.39886</v>
      </c>
      <c r="J16" s="76"/>
      <c r="K16" s="76"/>
      <c r="L16" s="76"/>
      <c r="M16" s="76"/>
      <c r="N16" s="76"/>
    </row>
    <row r="17">
      <c r="D17" s="76"/>
      <c r="E17" s="83">
        <v>289.1091</v>
      </c>
      <c r="F17" s="84">
        <v>6434.0</v>
      </c>
      <c r="G17" s="84">
        <v>276.0</v>
      </c>
      <c r="H17" s="84">
        <v>13.10914</v>
      </c>
      <c r="J17" s="76"/>
      <c r="K17" s="76"/>
      <c r="L17" s="76"/>
      <c r="M17" s="76"/>
      <c r="N17" s="76"/>
    </row>
    <row r="18">
      <c r="D18" s="76"/>
      <c r="E18" s="83">
        <v>288.326</v>
      </c>
      <c r="F18" s="84">
        <v>6908.0</v>
      </c>
      <c r="G18" s="84">
        <v>275.42</v>
      </c>
      <c r="H18" s="84">
        <v>12.906</v>
      </c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01" t="s">
        <v>132</v>
      </c>
      <c r="B1" s="98"/>
      <c r="C1" s="98"/>
      <c r="D1" s="98"/>
      <c r="E1" s="102" t="s">
        <v>133</v>
      </c>
    </row>
    <row r="2">
      <c r="A2" s="99" t="s">
        <v>90</v>
      </c>
      <c r="B2" s="98"/>
      <c r="C2" s="98"/>
      <c r="D2" s="98"/>
      <c r="E2" s="103"/>
      <c r="F2" s="103"/>
      <c r="G2" s="103"/>
      <c r="H2" s="103"/>
    </row>
    <row r="3">
      <c r="A3" s="100" t="s">
        <v>111</v>
      </c>
      <c r="B3" s="98"/>
      <c r="C3" s="98"/>
      <c r="D3" s="104"/>
      <c r="E3" s="105" t="s">
        <v>10</v>
      </c>
      <c r="F3" s="105" t="s">
        <v>11</v>
      </c>
      <c r="G3" s="105" t="s">
        <v>12</v>
      </c>
      <c r="H3" s="106" t="s">
        <v>85</v>
      </c>
    </row>
    <row r="4">
      <c r="A4" s="100" t="s">
        <v>131</v>
      </c>
      <c r="B4" s="98"/>
      <c r="C4" s="98"/>
      <c r="D4" s="107" t="s">
        <v>95</v>
      </c>
      <c r="E4" s="108">
        <v>284.9104</v>
      </c>
      <c r="F4" s="108">
        <v>301.0</v>
      </c>
      <c r="G4" s="108">
        <v>268.75</v>
      </c>
      <c r="H4" s="108">
        <v>16.16042</v>
      </c>
    </row>
    <row r="5">
      <c r="D5" s="104"/>
      <c r="E5" s="108">
        <v>284.9343</v>
      </c>
      <c r="F5" s="108">
        <v>775.0</v>
      </c>
      <c r="G5" s="108">
        <v>268.89</v>
      </c>
      <c r="H5" s="108">
        <v>16.04434</v>
      </c>
    </row>
    <row r="6">
      <c r="D6" s="104"/>
      <c r="E6" s="108">
        <v>284.8044</v>
      </c>
      <c r="F6" s="108">
        <v>1250.0</v>
      </c>
      <c r="G6" s="108">
        <v>269.14</v>
      </c>
      <c r="H6" s="108">
        <v>15.66435</v>
      </c>
    </row>
    <row r="7">
      <c r="D7" s="104"/>
      <c r="E7" s="108">
        <v>284.8359</v>
      </c>
      <c r="F7" s="108">
        <v>1723.0</v>
      </c>
      <c r="G7" s="108">
        <v>269.12</v>
      </c>
      <c r="H7" s="108">
        <v>15.71588</v>
      </c>
    </row>
    <row r="8">
      <c r="D8" s="104"/>
      <c r="E8" s="108">
        <v>284.7882</v>
      </c>
      <c r="F8" s="108">
        <v>2195.0</v>
      </c>
      <c r="G8" s="108">
        <v>269.54</v>
      </c>
      <c r="H8" s="108">
        <v>15.24824</v>
      </c>
    </row>
    <row r="9">
      <c r="D9" s="104"/>
      <c r="E9" s="108">
        <v>284.7285</v>
      </c>
      <c r="F9" s="108">
        <v>2667.0</v>
      </c>
      <c r="G9" s="108">
        <v>269.7</v>
      </c>
      <c r="H9" s="108">
        <v>15.02853</v>
      </c>
    </row>
    <row r="10">
      <c r="D10" s="107" t="s">
        <v>119</v>
      </c>
      <c r="E10" s="109">
        <v>284.4063</v>
      </c>
      <c r="F10" s="109">
        <v>3140.0</v>
      </c>
      <c r="G10" s="109">
        <v>269.48</v>
      </c>
      <c r="H10" s="109">
        <v>14.92629</v>
      </c>
    </row>
    <row r="11">
      <c r="D11" s="104"/>
      <c r="E11" s="108">
        <v>284.3912</v>
      </c>
      <c r="F11" s="108">
        <v>3614.0</v>
      </c>
      <c r="G11" s="108">
        <v>269.73</v>
      </c>
      <c r="H11" s="108">
        <v>14.66118</v>
      </c>
    </row>
    <row r="12">
      <c r="D12" s="104"/>
      <c r="E12" s="108">
        <v>284.2938</v>
      </c>
      <c r="F12" s="108">
        <v>4086.0</v>
      </c>
      <c r="G12" s="108">
        <v>269.69</v>
      </c>
      <c r="H12" s="108">
        <v>14.60382</v>
      </c>
    </row>
    <row r="13">
      <c r="D13" s="104"/>
      <c r="E13" s="108">
        <v>284.0691</v>
      </c>
      <c r="F13" s="108">
        <v>4559.0</v>
      </c>
      <c r="G13" s="108">
        <v>269.85</v>
      </c>
      <c r="H13" s="108">
        <v>14.21914</v>
      </c>
    </row>
    <row r="14">
      <c r="D14" s="104"/>
      <c r="E14" s="108">
        <v>283.932</v>
      </c>
      <c r="F14" s="108">
        <v>5033.0</v>
      </c>
      <c r="G14" s="108">
        <v>269.95</v>
      </c>
      <c r="H14" s="108">
        <v>13.982</v>
      </c>
    </row>
    <row r="15">
      <c r="D15" s="104"/>
      <c r="E15" s="108">
        <v>283.2289</v>
      </c>
      <c r="F15" s="108">
        <v>5511.0</v>
      </c>
      <c r="G15" s="108">
        <v>268.48</v>
      </c>
      <c r="H15" s="108">
        <v>14.74886</v>
      </c>
    </row>
    <row r="16">
      <c r="D16" s="98"/>
      <c r="E16" s="98"/>
      <c r="F16" s="98"/>
      <c r="G16" s="98"/>
      <c r="H16" s="98"/>
    </row>
    <row r="17">
      <c r="D17" s="98"/>
      <c r="E17" s="98"/>
      <c r="F17" s="98"/>
      <c r="G17" s="98"/>
      <c r="H17" s="98"/>
    </row>
    <row r="18">
      <c r="D18" s="98"/>
      <c r="E18" s="98"/>
      <c r="F18" s="98"/>
      <c r="G18" s="98"/>
      <c r="H18" s="98"/>
    </row>
    <row r="19">
      <c r="D19" s="98"/>
      <c r="E19" s="98"/>
      <c r="F19" s="98"/>
      <c r="G19" s="98"/>
      <c r="H19" s="98"/>
    </row>
    <row r="20">
      <c r="D20" s="98"/>
      <c r="E20" s="98"/>
      <c r="F20" s="98"/>
      <c r="G20" s="98"/>
      <c r="H20" s="98"/>
    </row>
    <row r="21">
      <c r="D21" s="98"/>
      <c r="E21" s="98"/>
      <c r="F21" s="98"/>
      <c r="G21" s="98"/>
      <c r="H21" s="98"/>
    </row>
    <row r="22">
      <c r="D22" s="98"/>
      <c r="E22" s="98"/>
      <c r="F22" s="98"/>
      <c r="G22" s="98"/>
      <c r="H22" s="98"/>
    </row>
    <row r="23">
      <c r="D23" s="98"/>
      <c r="E23" s="98"/>
      <c r="F23" s="98"/>
      <c r="G23" s="98"/>
      <c r="H23" s="98"/>
    </row>
    <row r="24">
      <c r="D24" s="98"/>
      <c r="E24" s="98"/>
      <c r="F24" s="98"/>
      <c r="G24" s="98"/>
      <c r="H24" s="98"/>
    </row>
    <row r="25">
      <c r="D25" s="98"/>
      <c r="E25" s="98"/>
      <c r="F25" s="98"/>
      <c r="G25" s="98"/>
      <c r="H25" s="98"/>
    </row>
    <row r="26">
      <c r="D26" s="98"/>
      <c r="E26" s="98"/>
      <c r="F26" s="98"/>
      <c r="G26" s="98"/>
      <c r="H26" s="98"/>
    </row>
    <row r="27">
      <c r="D27" s="98"/>
      <c r="E27" s="98"/>
      <c r="F27" s="98"/>
      <c r="G27" s="98"/>
      <c r="H27" s="98"/>
    </row>
    <row r="28">
      <c r="D28" s="98"/>
      <c r="E28" s="98"/>
      <c r="F28" s="98"/>
      <c r="G28" s="98"/>
      <c r="H28" s="98"/>
    </row>
    <row r="29">
      <c r="D29" s="98"/>
      <c r="E29" s="98"/>
      <c r="F29" s="98"/>
      <c r="G29" s="98"/>
      <c r="H29" s="98"/>
    </row>
    <row r="30">
      <c r="D30" s="98"/>
      <c r="E30" s="98"/>
      <c r="F30" s="98"/>
      <c r="G30" s="98"/>
      <c r="H30" s="98"/>
    </row>
    <row r="31">
      <c r="D31" s="98"/>
      <c r="E31" s="98"/>
      <c r="F31" s="98"/>
      <c r="G31" s="98"/>
      <c r="H31" s="98"/>
    </row>
    <row r="32">
      <c r="D32" s="98"/>
      <c r="E32" s="98"/>
      <c r="F32" s="98"/>
      <c r="G32" s="98"/>
      <c r="H32" s="98"/>
    </row>
    <row r="33">
      <c r="D33" s="98"/>
      <c r="E33" s="98"/>
      <c r="F33" s="98"/>
      <c r="G33" s="98"/>
      <c r="H33" s="98"/>
    </row>
    <row r="34">
      <c r="D34" s="98"/>
      <c r="E34" s="98"/>
      <c r="F34" s="98"/>
      <c r="G34" s="98"/>
      <c r="H34" s="98"/>
    </row>
    <row r="35">
      <c r="D35" s="98"/>
      <c r="E35" s="98"/>
      <c r="F35" s="98"/>
      <c r="G35" s="98"/>
      <c r="H35" s="98"/>
    </row>
    <row r="36">
      <c r="D36" s="98"/>
      <c r="E36" s="98"/>
      <c r="F36" s="98"/>
      <c r="G36" s="98"/>
      <c r="H36" s="98"/>
    </row>
    <row r="37">
      <c r="D37" s="98"/>
      <c r="E37" s="98"/>
      <c r="F37" s="98"/>
      <c r="G37" s="98"/>
      <c r="H37" s="98"/>
    </row>
    <row r="38">
      <c r="D38" s="98"/>
      <c r="E38" s="98"/>
      <c r="F38" s="98"/>
      <c r="G38" s="98"/>
      <c r="H38" s="98"/>
    </row>
    <row r="39">
      <c r="D39" s="98"/>
      <c r="E39" s="98"/>
      <c r="F39" s="98"/>
      <c r="G39" s="98"/>
      <c r="H39" s="98"/>
    </row>
    <row r="40">
      <c r="D40" s="98"/>
      <c r="E40" s="98"/>
      <c r="F40" s="98"/>
      <c r="G40" s="98"/>
      <c r="H40" s="98"/>
    </row>
    <row r="41">
      <c r="D41" s="98"/>
      <c r="E41" s="98"/>
      <c r="F41" s="98"/>
      <c r="G41" s="98"/>
      <c r="H41" s="98"/>
    </row>
    <row r="42">
      <c r="D42" s="98"/>
      <c r="E42" s="98"/>
      <c r="F42" s="98"/>
      <c r="G42" s="98"/>
      <c r="H42" s="98"/>
    </row>
    <row r="43">
      <c r="D43" s="98"/>
      <c r="E43" s="98"/>
      <c r="F43" s="98"/>
      <c r="G43" s="98"/>
      <c r="H43" s="98"/>
    </row>
    <row r="44">
      <c r="D44" s="98"/>
      <c r="E44" s="98"/>
      <c r="F44" s="98"/>
      <c r="G44" s="98"/>
      <c r="H44" s="98"/>
    </row>
    <row r="45">
      <c r="D45" s="98"/>
      <c r="E45" s="98"/>
      <c r="F45" s="98"/>
      <c r="G45" s="98"/>
      <c r="H45" s="98"/>
    </row>
    <row r="46">
      <c r="D46" s="98"/>
      <c r="E46" s="98"/>
      <c r="F46" s="98"/>
      <c r="G46" s="98"/>
      <c r="H46" s="98"/>
    </row>
    <row r="47">
      <c r="D47" s="98"/>
      <c r="E47" s="98"/>
      <c r="F47" s="98"/>
      <c r="G47" s="98"/>
      <c r="H47" s="98"/>
    </row>
    <row r="48">
      <c r="D48" s="98"/>
      <c r="E48" s="98"/>
      <c r="F48" s="98"/>
      <c r="G48" s="98"/>
      <c r="H48" s="98"/>
    </row>
    <row r="49">
      <c r="D49" s="98"/>
      <c r="E49" s="98"/>
      <c r="F49" s="98"/>
      <c r="G49" s="98"/>
      <c r="H49" s="98"/>
    </row>
    <row r="50">
      <c r="D50" s="98"/>
      <c r="E50" s="98"/>
      <c r="F50" s="98"/>
      <c r="G50" s="98"/>
      <c r="H50" s="98"/>
    </row>
    <row r="51">
      <c r="D51" s="98"/>
      <c r="E51" s="98"/>
      <c r="F51" s="98"/>
      <c r="G51" s="98"/>
      <c r="H51" s="98"/>
    </row>
    <row r="52">
      <c r="D52" s="98"/>
      <c r="E52" s="98"/>
      <c r="F52" s="98"/>
      <c r="G52" s="98"/>
      <c r="H52" s="98"/>
    </row>
    <row r="53">
      <c r="D53" s="98"/>
      <c r="E53" s="98"/>
      <c r="F53" s="98"/>
      <c r="G53" s="98"/>
      <c r="H53" s="98"/>
    </row>
    <row r="54">
      <c r="D54" s="98"/>
      <c r="E54" s="98"/>
      <c r="F54" s="98"/>
      <c r="G54" s="98"/>
      <c r="H54" s="98"/>
    </row>
    <row r="55">
      <c r="D55" s="98"/>
      <c r="E55" s="98"/>
      <c r="F55" s="98"/>
      <c r="G55" s="98"/>
      <c r="H55" s="98"/>
    </row>
    <row r="56">
      <c r="D56" s="98"/>
      <c r="E56" s="98"/>
      <c r="F56" s="98"/>
      <c r="G56" s="98"/>
      <c r="H56" s="98"/>
    </row>
    <row r="57">
      <c r="D57" s="98"/>
      <c r="E57" s="98"/>
      <c r="F57" s="98"/>
      <c r="G57" s="98"/>
      <c r="H57" s="98"/>
    </row>
    <row r="58">
      <c r="D58" s="98"/>
      <c r="E58" s="98"/>
      <c r="F58" s="98"/>
      <c r="G58" s="98"/>
      <c r="H58" s="98"/>
    </row>
    <row r="59">
      <c r="D59" s="98"/>
      <c r="E59" s="98"/>
      <c r="F59" s="98"/>
      <c r="G59" s="98"/>
      <c r="H59" s="98"/>
    </row>
    <row r="60">
      <c r="D60" s="98"/>
      <c r="E60" s="98"/>
      <c r="F60" s="98"/>
      <c r="G60" s="98"/>
      <c r="H60" s="98"/>
    </row>
    <row r="61">
      <c r="D61" s="98"/>
      <c r="E61" s="98"/>
      <c r="F61" s="98"/>
      <c r="G61" s="98"/>
      <c r="H61" s="98"/>
    </row>
    <row r="62">
      <c r="D62" s="98"/>
      <c r="E62" s="98"/>
      <c r="F62" s="98"/>
      <c r="G62" s="98"/>
      <c r="H62" s="98"/>
    </row>
    <row r="63">
      <c r="D63" s="98"/>
      <c r="E63" s="98"/>
      <c r="F63" s="98"/>
      <c r="G63" s="98"/>
      <c r="H63" s="98"/>
    </row>
    <row r="64">
      <c r="D64" s="98"/>
      <c r="E64" s="98"/>
      <c r="F64" s="98"/>
      <c r="G64" s="98"/>
      <c r="H64" s="98"/>
    </row>
    <row r="65">
      <c r="D65" s="98"/>
      <c r="E65" s="98"/>
      <c r="F65" s="98"/>
      <c r="G65" s="98"/>
      <c r="H65" s="98"/>
    </row>
    <row r="66">
      <c r="D66" s="98"/>
      <c r="E66" s="98"/>
      <c r="F66" s="98"/>
      <c r="G66" s="98"/>
      <c r="H66" s="98"/>
    </row>
    <row r="67">
      <c r="D67" s="98"/>
      <c r="E67" s="98"/>
      <c r="F67" s="98"/>
      <c r="G67" s="98"/>
      <c r="H67" s="98"/>
    </row>
    <row r="68">
      <c r="D68" s="98"/>
      <c r="E68" s="98"/>
      <c r="F68" s="98"/>
      <c r="G68" s="98"/>
      <c r="H68" s="98"/>
    </row>
    <row r="69">
      <c r="D69" s="98"/>
      <c r="E69" s="98"/>
      <c r="F69" s="98"/>
      <c r="G69" s="98"/>
      <c r="H69" s="98"/>
    </row>
    <row r="70">
      <c r="D70" s="98"/>
      <c r="E70" s="98"/>
      <c r="F70" s="98"/>
      <c r="G70" s="98"/>
      <c r="H70" s="98"/>
    </row>
    <row r="71">
      <c r="D71" s="98"/>
      <c r="E71" s="98"/>
      <c r="F71" s="98"/>
      <c r="G71" s="98"/>
      <c r="H71" s="98"/>
    </row>
    <row r="72">
      <c r="D72" s="98"/>
      <c r="E72" s="98"/>
      <c r="F72" s="98"/>
      <c r="G72" s="98"/>
      <c r="H72" s="98"/>
    </row>
    <row r="73">
      <c r="D73" s="98"/>
      <c r="E73" s="98"/>
      <c r="F73" s="98"/>
      <c r="G73" s="98"/>
      <c r="H73" s="98"/>
    </row>
    <row r="74">
      <c r="D74" s="98"/>
      <c r="E74" s="98"/>
      <c r="F74" s="98"/>
      <c r="G74" s="98"/>
      <c r="H74" s="98"/>
    </row>
    <row r="75">
      <c r="D75" s="98"/>
      <c r="E75" s="98"/>
      <c r="F75" s="98"/>
      <c r="G75" s="98"/>
      <c r="H75" s="98"/>
    </row>
    <row r="76">
      <c r="D76" s="98"/>
      <c r="E76" s="98"/>
      <c r="F76" s="98"/>
      <c r="G76" s="98"/>
      <c r="H76" s="98"/>
    </row>
    <row r="77">
      <c r="D77" s="98"/>
      <c r="E77" s="98"/>
      <c r="F77" s="98"/>
      <c r="G77" s="98"/>
      <c r="H77" s="98"/>
    </row>
    <row r="78">
      <c r="D78" s="98"/>
      <c r="E78" s="98"/>
      <c r="F78" s="98"/>
      <c r="G78" s="98"/>
      <c r="H78" s="98"/>
    </row>
    <row r="79">
      <c r="D79" s="98"/>
      <c r="E79" s="98"/>
      <c r="F79" s="98"/>
      <c r="G79" s="98"/>
      <c r="H79" s="98"/>
    </row>
    <row r="80">
      <c r="D80" s="98"/>
      <c r="E80" s="98"/>
      <c r="F80" s="98"/>
      <c r="G80" s="98"/>
      <c r="H80" s="98"/>
    </row>
    <row r="81">
      <c r="D81" s="98"/>
      <c r="E81" s="98"/>
      <c r="F81" s="98"/>
      <c r="G81" s="98"/>
      <c r="H81" s="98"/>
    </row>
    <row r="82">
      <c r="D82" s="98"/>
      <c r="E82" s="98"/>
      <c r="F82" s="98"/>
      <c r="G82" s="98"/>
      <c r="H82" s="98"/>
    </row>
    <row r="83">
      <c r="D83" s="98"/>
      <c r="E83" s="98"/>
      <c r="F83" s="98"/>
      <c r="G83" s="98"/>
      <c r="H83" s="98"/>
    </row>
    <row r="84">
      <c r="D84" s="98"/>
      <c r="E84" s="98"/>
      <c r="F84" s="98"/>
      <c r="G84" s="98"/>
      <c r="H84" s="98"/>
    </row>
    <row r="85">
      <c r="D85" s="98"/>
      <c r="E85" s="98"/>
      <c r="F85" s="98"/>
      <c r="G85" s="98"/>
      <c r="H85" s="98"/>
    </row>
    <row r="86">
      <c r="D86" s="98"/>
      <c r="E86" s="98"/>
      <c r="F86" s="98"/>
      <c r="G86" s="98"/>
      <c r="H86" s="98"/>
    </row>
    <row r="87">
      <c r="D87" s="98"/>
      <c r="E87" s="98"/>
      <c r="F87" s="98"/>
      <c r="G87" s="98"/>
      <c r="H87" s="98"/>
    </row>
    <row r="88">
      <c r="D88" s="98"/>
      <c r="E88" s="98"/>
      <c r="F88" s="98"/>
      <c r="G88" s="98"/>
      <c r="H88" s="98"/>
    </row>
    <row r="89">
      <c r="D89" s="98"/>
      <c r="E89" s="98"/>
      <c r="F89" s="98"/>
      <c r="G89" s="98"/>
      <c r="H89" s="98"/>
    </row>
    <row r="90">
      <c r="D90" s="98"/>
      <c r="E90" s="98"/>
      <c r="F90" s="98"/>
      <c r="G90" s="98"/>
      <c r="H90" s="98"/>
    </row>
    <row r="91">
      <c r="D91" s="98"/>
      <c r="E91" s="98"/>
      <c r="F91" s="98"/>
      <c r="G91" s="98"/>
      <c r="H91" s="98"/>
    </row>
    <row r="92">
      <c r="D92" s="98"/>
      <c r="E92" s="98"/>
      <c r="F92" s="98"/>
      <c r="G92" s="98"/>
      <c r="H92" s="98"/>
    </row>
    <row r="93">
      <c r="D93" s="98"/>
      <c r="E93" s="98"/>
      <c r="F93" s="98"/>
      <c r="G93" s="98"/>
      <c r="H93" s="98"/>
    </row>
    <row r="94">
      <c r="D94" s="98"/>
      <c r="E94" s="98"/>
      <c r="F94" s="98"/>
      <c r="G94" s="98"/>
      <c r="H94" s="98"/>
    </row>
    <row r="95">
      <c r="D95" s="98"/>
      <c r="E95" s="98"/>
      <c r="F95" s="98"/>
      <c r="G95" s="98"/>
      <c r="H95" s="98"/>
    </row>
    <row r="96">
      <c r="D96" s="98"/>
      <c r="E96" s="98"/>
      <c r="F96" s="98"/>
      <c r="G96" s="98"/>
      <c r="H96" s="98"/>
    </row>
    <row r="97">
      <c r="D97" s="98"/>
      <c r="E97" s="98"/>
      <c r="F97" s="98"/>
      <c r="G97" s="98"/>
      <c r="H97" s="98"/>
    </row>
    <row r="98">
      <c r="D98" s="98"/>
      <c r="E98" s="98"/>
      <c r="F98" s="98"/>
      <c r="G98" s="98"/>
      <c r="H98" s="98"/>
    </row>
    <row r="99">
      <c r="D99" s="98"/>
      <c r="E99" s="98"/>
      <c r="F99" s="98"/>
      <c r="G99" s="98"/>
      <c r="H99" s="98"/>
    </row>
    <row r="100">
      <c r="D100" s="98"/>
      <c r="E100" s="98"/>
      <c r="F100" s="98"/>
      <c r="G100" s="98"/>
      <c r="H100" s="98"/>
    </row>
    <row r="101">
      <c r="D101" s="98"/>
      <c r="E101" s="98"/>
      <c r="F101" s="98"/>
      <c r="G101" s="98"/>
      <c r="H101" s="98"/>
    </row>
    <row r="102">
      <c r="D102" s="98"/>
      <c r="E102" s="98"/>
      <c r="F102" s="98"/>
      <c r="G102" s="98"/>
      <c r="H102" s="98"/>
    </row>
    <row r="103">
      <c r="D103" s="98"/>
      <c r="E103" s="98"/>
      <c r="F103" s="98"/>
      <c r="G103" s="98"/>
      <c r="H103" s="98"/>
    </row>
    <row r="104">
      <c r="D104" s="98"/>
      <c r="E104" s="98"/>
      <c r="F104" s="98"/>
      <c r="G104" s="98"/>
      <c r="H104" s="98"/>
    </row>
    <row r="105">
      <c r="D105" s="98"/>
      <c r="E105" s="98"/>
      <c r="F105" s="98"/>
      <c r="G105" s="98"/>
      <c r="H105" s="98"/>
    </row>
    <row r="106">
      <c r="D106" s="98"/>
      <c r="E106" s="98"/>
      <c r="F106" s="98"/>
      <c r="G106" s="98"/>
      <c r="H106" s="98"/>
    </row>
    <row r="107">
      <c r="D107" s="98"/>
      <c r="E107" s="98"/>
      <c r="F107" s="98"/>
      <c r="G107" s="98"/>
      <c r="H107" s="98"/>
    </row>
    <row r="108">
      <c r="D108" s="98"/>
      <c r="E108" s="98"/>
      <c r="F108" s="98"/>
      <c r="G108" s="98"/>
      <c r="H108" s="98"/>
    </row>
    <row r="109">
      <c r="D109" s="98"/>
      <c r="E109" s="98"/>
      <c r="F109" s="98"/>
      <c r="G109" s="98"/>
      <c r="H109" s="98"/>
    </row>
    <row r="110">
      <c r="D110" s="98"/>
      <c r="E110" s="98"/>
      <c r="F110" s="98"/>
      <c r="G110" s="98"/>
      <c r="H110" s="98"/>
    </row>
    <row r="111">
      <c r="D111" s="98"/>
      <c r="E111" s="98"/>
      <c r="F111" s="98"/>
      <c r="G111" s="98"/>
      <c r="H111" s="98"/>
    </row>
    <row r="112">
      <c r="D112" s="98"/>
      <c r="E112" s="98"/>
      <c r="F112" s="98"/>
      <c r="G112" s="98"/>
      <c r="H112" s="98"/>
    </row>
    <row r="113">
      <c r="D113" s="98"/>
      <c r="E113" s="98"/>
      <c r="F113" s="98"/>
      <c r="G113" s="98"/>
      <c r="H113" s="98"/>
    </row>
    <row r="114">
      <c r="D114" s="98"/>
      <c r="E114" s="98"/>
      <c r="F114" s="98"/>
      <c r="G114" s="98"/>
      <c r="H114" s="98"/>
    </row>
    <row r="115">
      <c r="D115" s="98"/>
      <c r="E115" s="98"/>
      <c r="F115" s="98"/>
      <c r="G115" s="98"/>
      <c r="H115" s="98"/>
    </row>
    <row r="116">
      <c r="D116" s="98"/>
      <c r="E116" s="98"/>
      <c r="F116" s="98"/>
      <c r="G116" s="98"/>
      <c r="H116" s="98"/>
    </row>
    <row r="117">
      <c r="D117" s="98"/>
      <c r="E117" s="98"/>
      <c r="F117" s="98"/>
      <c r="G117" s="98"/>
      <c r="H117" s="98"/>
    </row>
    <row r="118">
      <c r="D118" s="98"/>
      <c r="E118" s="98"/>
      <c r="F118" s="98"/>
      <c r="G118" s="98"/>
      <c r="H118" s="98"/>
    </row>
    <row r="119">
      <c r="D119" s="98"/>
      <c r="E119" s="98"/>
      <c r="F119" s="98"/>
      <c r="G119" s="98"/>
      <c r="H119" s="98"/>
    </row>
    <row r="120">
      <c r="D120" s="98"/>
      <c r="E120" s="98"/>
      <c r="F120" s="98"/>
      <c r="G120" s="98"/>
      <c r="H120" s="98"/>
    </row>
    <row r="121">
      <c r="D121" s="98"/>
      <c r="E121" s="98"/>
      <c r="F121" s="98"/>
      <c r="G121" s="98"/>
      <c r="H121" s="98"/>
    </row>
    <row r="122">
      <c r="D122" s="98"/>
      <c r="E122" s="98"/>
      <c r="F122" s="98"/>
      <c r="G122" s="98"/>
      <c r="H122" s="98"/>
    </row>
    <row r="123">
      <c r="D123" s="98"/>
      <c r="E123" s="98"/>
      <c r="F123" s="98"/>
      <c r="G123" s="98"/>
      <c r="H123" s="98"/>
    </row>
    <row r="124">
      <c r="D124" s="98"/>
      <c r="E124" s="98"/>
      <c r="F124" s="98"/>
      <c r="G124" s="98"/>
      <c r="H124" s="98"/>
    </row>
    <row r="125">
      <c r="D125" s="98"/>
      <c r="E125" s="98"/>
      <c r="F125" s="98"/>
      <c r="G125" s="98"/>
      <c r="H125" s="98"/>
    </row>
    <row r="126">
      <c r="D126" s="98"/>
      <c r="E126" s="98"/>
      <c r="F126" s="98"/>
      <c r="G126" s="98"/>
      <c r="H126" s="98"/>
    </row>
    <row r="127">
      <c r="D127" s="98"/>
      <c r="E127" s="98"/>
      <c r="F127" s="98"/>
      <c r="G127" s="98"/>
      <c r="H127" s="98"/>
    </row>
    <row r="128">
      <c r="D128" s="98"/>
      <c r="E128" s="98"/>
      <c r="F128" s="98"/>
      <c r="G128" s="98"/>
      <c r="H128" s="98"/>
    </row>
    <row r="129">
      <c r="D129" s="98"/>
      <c r="E129" s="98"/>
      <c r="F129" s="98"/>
      <c r="G129" s="98"/>
      <c r="H129" s="98"/>
    </row>
    <row r="130">
      <c r="D130" s="98"/>
      <c r="E130" s="98"/>
      <c r="F130" s="98"/>
      <c r="G130" s="98"/>
      <c r="H130" s="98"/>
    </row>
    <row r="131">
      <c r="D131" s="98"/>
      <c r="E131" s="98"/>
      <c r="F131" s="98"/>
      <c r="G131" s="98"/>
      <c r="H131" s="98"/>
    </row>
    <row r="132">
      <c r="D132" s="98"/>
      <c r="E132" s="98"/>
      <c r="F132" s="98"/>
      <c r="G132" s="98"/>
      <c r="H132" s="98"/>
    </row>
    <row r="133">
      <c r="D133" s="98"/>
      <c r="E133" s="98"/>
      <c r="F133" s="98"/>
      <c r="G133" s="98"/>
      <c r="H133" s="98"/>
    </row>
    <row r="134">
      <c r="D134" s="98"/>
      <c r="E134" s="98"/>
      <c r="F134" s="98"/>
      <c r="G134" s="98"/>
      <c r="H134" s="98"/>
    </row>
    <row r="135">
      <c r="D135" s="98"/>
      <c r="E135" s="98"/>
      <c r="F135" s="98"/>
      <c r="G135" s="98"/>
      <c r="H135" s="98"/>
    </row>
    <row r="136">
      <c r="D136" s="98"/>
      <c r="E136" s="98"/>
      <c r="F136" s="98"/>
      <c r="G136" s="98"/>
      <c r="H136" s="98"/>
    </row>
    <row r="137">
      <c r="D137" s="98"/>
      <c r="E137" s="98"/>
      <c r="F137" s="98"/>
      <c r="G137" s="98"/>
      <c r="H137" s="98"/>
    </row>
    <row r="138">
      <c r="D138" s="98"/>
      <c r="E138" s="98"/>
      <c r="F138" s="98"/>
      <c r="G138" s="98"/>
      <c r="H138" s="98"/>
    </row>
    <row r="139">
      <c r="D139" s="98"/>
      <c r="E139" s="98"/>
      <c r="F139" s="98"/>
      <c r="G139" s="98"/>
      <c r="H139" s="98"/>
    </row>
    <row r="140">
      <c r="D140" s="98"/>
      <c r="E140" s="98"/>
      <c r="F140" s="98"/>
      <c r="G140" s="98"/>
      <c r="H140" s="98"/>
    </row>
    <row r="141">
      <c r="D141" s="98"/>
      <c r="E141" s="98"/>
      <c r="F141" s="98"/>
      <c r="G141" s="98"/>
      <c r="H141" s="98"/>
    </row>
    <row r="142">
      <c r="D142" s="98"/>
      <c r="E142" s="98"/>
      <c r="F142" s="98"/>
      <c r="G142" s="98"/>
      <c r="H142" s="98"/>
    </row>
    <row r="143">
      <c r="D143" s="98"/>
      <c r="E143" s="98"/>
      <c r="F143" s="98"/>
      <c r="G143" s="98"/>
      <c r="H143" s="98"/>
    </row>
    <row r="144">
      <c r="D144" s="98"/>
      <c r="E144" s="98"/>
      <c r="F144" s="98"/>
      <c r="G144" s="98"/>
      <c r="H144" s="98"/>
    </row>
    <row r="145">
      <c r="D145" s="98"/>
      <c r="E145" s="98"/>
      <c r="F145" s="98"/>
      <c r="G145" s="98"/>
      <c r="H145" s="98"/>
    </row>
    <row r="146">
      <c r="D146" s="98"/>
      <c r="E146" s="98"/>
      <c r="F146" s="98"/>
      <c r="G146" s="98"/>
      <c r="H146" s="98"/>
    </row>
    <row r="147">
      <c r="D147" s="98"/>
      <c r="E147" s="98"/>
      <c r="F147" s="98"/>
      <c r="G147" s="98"/>
      <c r="H147" s="98"/>
    </row>
    <row r="148">
      <c r="D148" s="98"/>
      <c r="E148" s="98"/>
      <c r="F148" s="98"/>
      <c r="G148" s="98"/>
      <c r="H148" s="98"/>
    </row>
    <row r="149">
      <c r="D149" s="98"/>
      <c r="E149" s="98"/>
      <c r="F149" s="98"/>
      <c r="G149" s="98"/>
      <c r="H149" s="98"/>
    </row>
    <row r="150">
      <c r="D150" s="98"/>
      <c r="E150" s="98"/>
      <c r="F150" s="98"/>
      <c r="G150" s="98"/>
      <c r="H150" s="98"/>
    </row>
    <row r="151">
      <c r="D151" s="98"/>
      <c r="E151" s="98"/>
      <c r="F151" s="98"/>
      <c r="G151" s="98"/>
      <c r="H151" s="98"/>
    </row>
    <row r="152">
      <c r="D152" s="98"/>
      <c r="E152" s="98"/>
      <c r="F152" s="98"/>
      <c r="G152" s="98"/>
      <c r="H152" s="98"/>
    </row>
    <row r="153">
      <c r="D153" s="98"/>
      <c r="E153" s="98"/>
      <c r="F153" s="98"/>
      <c r="G153" s="98"/>
      <c r="H153" s="98"/>
    </row>
    <row r="154">
      <c r="D154" s="98"/>
      <c r="E154" s="98"/>
      <c r="F154" s="98"/>
      <c r="G154" s="98"/>
      <c r="H154" s="98"/>
    </row>
    <row r="155">
      <c r="D155" s="98"/>
      <c r="E155" s="98"/>
      <c r="F155" s="98"/>
      <c r="G155" s="98"/>
      <c r="H155" s="98"/>
    </row>
    <row r="156">
      <c r="D156" s="98"/>
      <c r="E156" s="98"/>
      <c r="F156" s="98"/>
      <c r="G156" s="98"/>
      <c r="H156" s="98"/>
    </row>
    <row r="157">
      <c r="D157" s="98"/>
      <c r="E157" s="98"/>
      <c r="F157" s="98"/>
      <c r="G157" s="98"/>
      <c r="H157" s="98"/>
    </row>
    <row r="158">
      <c r="D158" s="98"/>
      <c r="E158" s="98"/>
      <c r="F158" s="98"/>
      <c r="G158" s="98"/>
      <c r="H158" s="98"/>
    </row>
    <row r="159">
      <c r="D159" s="98"/>
      <c r="E159" s="98"/>
      <c r="F159" s="98"/>
      <c r="G159" s="98"/>
      <c r="H159" s="98"/>
    </row>
    <row r="160">
      <c r="D160" s="98"/>
      <c r="E160" s="98"/>
      <c r="F160" s="98"/>
      <c r="G160" s="98"/>
      <c r="H160" s="98"/>
    </row>
    <row r="161">
      <c r="D161" s="98"/>
      <c r="E161" s="98"/>
      <c r="F161" s="98"/>
      <c r="G161" s="98"/>
      <c r="H161" s="98"/>
    </row>
    <row r="162">
      <c r="D162" s="98"/>
      <c r="E162" s="98"/>
      <c r="F162" s="98"/>
      <c r="G162" s="98"/>
      <c r="H162" s="98"/>
    </row>
    <row r="163">
      <c r="D163" s="98"/>
      <c r="E163" s="98"/>
      <c r="F163" s="98"/>
      <c r="G163" s="98"/>
      <c r="H163" s="98"/>
    </row>
    <row r="164">
      <c r="D164" s="98"/>
      <c r="E164" s="98"/>
      <c r="F164" s="98"/>
      <c r="G164" s="98"/>
      <c r="H164" s="98"/>
    </row>
    <row r="165">
      <c r="D165" s="98"/>
      <c r="E165" s="98"/>
      <c r="F165" s="98"/>
      <c r="G165" s="98"/>
      <c r="H165" s="98"/>
    </row>
    <row r="166">
      <c r="D166" s="98"/>
      <c r="E166" s="98"/>
      <c r="F166" s="98"/>
      <c r="G166" s="98"/>
      <c r="H166" s="98"/>
    </row>
    <row r="167">
      <c r="D167" s="98"/>
      <c r="E167" s="98"/>
      <c r="F167" s="98"/>
      <c r="G167" s="98"/>
      <c r="H167" s="98"/>
    </row>
    <row r="168">
      <c r="D168" s="98"/>
      <c r="E168" s="98"/>
      <c r="F168" s="98"/>
      <c r="G168" s="98"/>
      <c r="H168" s="98"/>
    </row>
    <row r="169">
      <c r="D169" s="98"/>
      <c r="E169" s="98"/>
      <c r="F169" s="98"/>
      <c r="G169" s="98"/>
      <c r="H169" s="98"/>
    </row>
    <row r="170">
      <c r="D170" s="98"/>
      <c r="E170" s="98"/>
      <c r="F170" s="98"/>
      <c r="G170" s="98"/>
      <c r="H170" s="98"/>
    </row>
    <row r="171">
      <c r="D171" s="98"/>
      <c r="E171" s="98"/>
      <c r="F171" s="98"/>
      <c r="G171" s="98"/>
      <c r="H171" s="98"/>
    </row>
    <row r="172">
      <c r="D172" s="98"/>
      <c r="E172" s="98"/>
      <c r="F172" s="98"/>
      <c r="G172" s="98"/>
      <c r="H172" s="98"/>
    </row>
    <row r="173">
      <c r="D173" s="98"/>
      <c r="E173" s="98"/>
      <c r="F173" s="98"/>
      <c r="G173" s="98"/>
      <c r="H173" s="98"/>
    </row>
    <row r="174">
      <c r="D174" s="98"/>
      <c r="E174" s="98"/>
      <c r="F174" s="98"/>
      <c r="G174" s="98"/>
      <c r="H174" s="98"/>
    </row>
    <row r="175">
      <c r="D175" s="98"/>
      <c r="E175" s="98"/>
      <c r="F175" s="98"/>
      <c r="G175" s="98"/>
      <c r="H175" s="98"/>
    </row>
    <row r="176">
      <c r="D176" s="98"/>
      <c r="E176" s="98"/>
      <c r="F176" s="98"/>
      <c r="G176" s="98"/>
      <c r="H176" s="98"/>
    </row>
    <row r="177">
      <c r="D177" s="98"/>
      <c r="E177" s="98"/>
      <c r="F177" s="98"/>
      <c r="G177" s="98"/>
      <c r="H177" s="98"/>
    </row>
    <row r="178">
      <c r="D178" s="98"/>
      <c r="E178" s="98"/>
      <c r="F178" s="98"/>
      <c r="G178" s="98"/>
      <c r="H178" s="98"/>
    </row>
    <row r="179">
      <c r="D179" s="98"/>
      <c r="E179" s="98"/>
      <c r="F179" s="98"/>
      <c r="G179" s="98"/>
      <c r="H179" s="98"/>
    </row>
    <row r="180">
      <c r="D180" s="98"/>
      <c r="E180" s="98"/>
      <c r="F180" s="98"/>
      <c r="G180" s="98"/>
      <c r="H180" s="98"/>
    </row>
    <row r="181">
      <c r="D181" s="98"/>
      <c r="E181" s="98"/>
      <c r="F181" s="98"/>
      <c r="G181" s="98"/>
      <c r="H181" s="98"/>
    </row>
    <row r="182">
      <c r="D182" s="98"/>
      <c r="E182" s="98"/>
      <c r="F182" s="98"/>
      <c r="G182" s="98"/>
      <c r="H182" s="98"/>
    </row>
    <row r="183">
      <c r="D183" s="98"/>
      <c r="E183" s="98"/>
      <c r="F183" s="98"/>
      <c r="G183" s="98"/>
      <c r="H183" s="98"/>
    </row>
    <row r="184">
      <c r="D184" s="98"/>
      <c r="E184" s="98"/>
      <c r="F184" s="98"/>
      <c r="G184" s="98"/>
      <c r="H184" s="98"/>
    </row>
    <row r="185">
      <c r="D185" s="98"/>
      <c r="E185" s="98"/>
      <c r="F185" s="98"/>
      <c r="G185" s="98"/>
      <c r="H185" s="98"/>
    </row>
    <row r="186">
      <c r="D186" s="98"/>
      <c r="E186" s="98"/>
      <c r="F186" s="98"/>
      <c r="G186" s="98"/>
      <c r="H186" s="98"/>
    </row>
    <row r="187">
      <c r="D187" s="98"/>
      <c r="E187" s="98"/>
      <c r="F187" s="98"/>
      <c r="G187" s="98"/>
      <c r="H187" s="98"/>
    </row>
    <row r="188">
      <c r="D188" s="98"/>
      <c r="E188" s="98"/>
      <c r="F188" s="98"/>
      <c r="G188" s="98"/>
      <c r="H188" s="98"/>
    </row>
    <row r="189">
      <c r="D189" s="98"/>
      <c r="E189" s="98"/>
      <c r="F189" s="98"/>
      <c r="G189" s="98"/>
      <c r="H189" s="98"/>
    </row>
    <row r="190">
      <c r="D190" s="98"/>
      <c r="E190" s="98"/>
      <c r="F190" s="98"/>
      <c r="G190" s="98"/>
      <c r="H190" s="98"/>
    </row>
    <row r="191">
      <c r="D191" s="98"/>
      <c r="E191" s="98"/>
      <c r="F191" s="98"/>
      <c r="G191" s="98"/>
      <c r="H191" s="98"/>
    </row>
    <row r="192">
      <c r="D192" s="98"/>
      <c r="E192" s="98"/>
      <c r="F192" s="98"/>
      <c r="G192" s="98"/>
      <c r="H192" s="98"/>
    </row>
    <row r="193">
      <c r="D193" s="98"/>
      <c r="E193" s="98"/>
      <c r="F193" s="98"/>
      <c r="G193" s="98"/>
      <c r="H193" s="98"/>
    </row>
    <row r="194">
      <c r="D194" s="98"/>
      <c r="E194" s="98"/>
      <c r="F194" s="98"/>
      <c r="G194" s="98"/>
      <c r="H194" s="98"/>
    </row>
    <row r="195">
      <c r="D195" s="98"/>
      <c r="E195" s="98"/>
      <c r="F195" s="98"/>
      <c r="G195" s="98"/>
      <c r="H195" s="98"/>
    </row>
    <row r="196">
      <c r="D196" s="98"/>
      <c r="E196" s="98"/>
      <c r="F196" s="98"/>
      <c r="G196" s="98"/>
      <c r="H196" s="98"/>
    </row>
    <row r="197">
      <c r="D197" s="98"/>
      <c r="E197" s="98"/>
      <c r="F197" s="98"/>
      <c r="G197" s="98"/>
      <c r="H197" s="98"/>
    </row>
    <row r="198">
      <c r="D198" s="98"/>
      <c r="E198" s="98"/>
      <c r="F198" s="98"/>
      <c r="G198" s="98"/>
      <c r="H198" s="98"/>
    </row>
    <row r="199">
      <c r="D199" s="98"/>
      <c r="E199" s="98"/>
      <c r="F199" s="98"/>
      <c r="G199" s="98"/>
      <c r="H199" s="98"/>
    </row>
    <row r="200">
      <c r="D200" s="98"/>
      <c r="E200" s="98"/>
      <c r="F200" s="98"/>
      <c r="G200" s="98"/>
      <c r="H200" s="98"/>
    </row>
    <row r="201">
      <c r="D201" s="98"/>
      <c r="E201" s="98"/>
      <c r="F201" s="98"/>
      <c r="G201" s="98"/>
      <c r="H201" s="98"/>
    </row>
    <row r="202">
      <c r="D202" s="98"/>
      <c r="E202" s="98"/>
      <c r="F202" s="98"/>
      <c r="G202" s="98"/>
      <c r="H202" s="98"/>
    </row>
    <row r="203">
      <c r="D203" s="98"/>
      <c r="E203" s="98"/>
      <c r="F203" s="98"/>
      <c r="G203" s="98"/>
      <c r="H203" s="98"/>
    </row>
    <row r="204">
      <c r="D204" s="98"/>
      <c r="E204" s="98"/>
      <c r="F204" s="98"/>
      <c r="G204" s="98"/>
      <c r="H204" s="98"/>
    </row>
    <row r="205">
      <c r="D205" s="98"/>
      <c r="E205" s="98"/>
      <c r="F205" s="98"/>
      <c r="G205" s="98"/>
      <c r="H205" s="98"/>
    </row>
    <row r="206">
      <c r="D206" s="98"/>
      <c r="E206" s="98"/>
      <c r="F206" s="98"/>
      <c r="G206" s="98"/>
      <c r="H206" s="98"/>
    </row>
    <row r="207">
      <c r="D207" s="98"/>
      <c r="E207" s="98"/>
      <c r="F207" s="98"/>
      <c r="G207" s="98"/>
      <c r="H207" s="98"/>
    </row>
    <row r="208">
      <c r="D208" s="98"/>
      <c r="E208" s="98"/>
      <c r="F208" s="98"/>
      <c r="G208" s="98"/>
      <c r="H208" s="98"/>
    </row>
    <row r="209">
      <c r="D209" s="98"/>
      <c r="E209" s="98"/>
      <c r="F209" s="98"/>
      <c r="G209" s="98"/>
      <c r="H209" s="98"/>
    </row>
    <row r="210">
      <c r="D210" s="98"/>
      <c r="E210" s="98"/>
      <c r="F210" s="98"/>
      <c r="G210" s="98"/>
      <c r="H210" s="98"/>
    </row>
    <row r="211">
      <c r="D211" s="98"/>
      <c r="E211" s="98"/>
      <c r="F211" s="98"/>
      <c r="G211" s="98"/>
      <c r="H211" s="98"/>
    </row>
    <row r="212">
      <c r="D212" s="98"/>
      <c r="E212" s="98"/>
      <c r="F212" s="98"/>
      <c r="G212" s="98"/>
      <c r="H212" s="98"/>
    </row>
    <row r="213">
      <c r="D213" s="98"/>
      <c r="E213" s="98"/>
      <c r="F213" s="98"/>
      <c r="G213" s="98"/>
      <c r="H213" s="98"/>
    </row>
    <row r="214">
      <c r="D214" s="98"/>
      <c r="E214" s="98"/>
      <c r="F214" s="98"/>
      <c r="G214" s="98"/>
      <c r="H214" s="98"/>
    </row>
    <row r="215">
      <c r="D215" s="98"/>
      <c r="E215" s="98"/>
      <c r="F215" s="98"/>
      <c r="G215" s="98"/>
      <c r="H215" s="98"/>
    </row>
    <row r="216">
      <c r="D216" s="98"/>
      <c r="E216" s="98"/>
      <c r="F216" s="98"/>
      <c r="G216" s="98"/>
      <c r="H216" s="98"/>
    </row>
    <row r="217">
      <c r="D217" s="98"/>
      <c r="E217" s="98"/>
      <c r="F217" s="98"/>
      <c r="G217" s="98"/>
      <c r="H217" s="98"/>
    </row>
    <row r="218">
      <c r="D218" s="98"/>
      <c r="E218" s="98"/>
      <c r="F218" s="98"/>
      <c r="G218" s="98"/>
      <c r="H218" s="98"/>
    </row>
    <row r="219">
      <c r="D219" s="98"/>
      <c r="E219" s="98"/>
      <c r="F219" s="98"/>
      <c r="G219" s="98"/>
      <c r="H219" s="98"/>
    </row>
    <row r="220">
      <c r="D220" s="98"/>
      <c r="E220" s="98"/>
      <c r="F220" s="98"/>
      <c r="G220" s="98"/>
      <c r="H220" s="98"/>
    </row>
    <row r="221">
      <c r="D221" s="98"/>
      <c r="E221" s="98"/>
      <c r="F221" s="98"/>
      <c r="G221" s="98"/>
      <c r="H221" s="98"/>
    </row>
    <row r="222">
      <c r="D222" s="98"/>
      <c r="E222" s="98"/>
      <c r="F222" s="98"/>
      <c r="G222" s="98"/>
      <c r="H222" s="98"/>
    </row>
    <row r="223">
      <c r="D223" s="98"/>
      <c r="E223" s="98"/>
      <c r="F223" s="98"/>
      <c r="G223" s="98"/>
      <c r="H223" s="98"/>
    </row>
    <row r="224">
      <c r="D224" s="98"/>
      <c r="E224" s="98"/>
      <c r="F224" s="98"/>
      <c r="G224" s="98"/>
      <c r="H224" s="98"/>
    </row>
    <row r="225">
      <c r="D225" s="98"/>
      <c r="E225" s="98"/>
      <c r="F225" s="98"/>
      <c r="G225" s="98"/>
      <c r="H225" s="98"/>
    </row>
    <row r="226">
      <c r="D226" s="98"/>
      <c r="E226" s="98"/>
      <c r="F226" s="98"/>
      <c r="G226" s="98"/>
      <c r="H226" s="98"/>
    </row>
    <row r="227">
      <c r="D227" s="98"/>
      <c r="E227" s="98"/>
      <c r="F227" s="98"/>
      <c r="G227" s="98"/>
      <c r="H227" s="98"/>
    </row>
    <row r="228">
      <c r="D228" s="98"/>
      <c r="E228" s="98"/>
      <c r="F228" s="98"/>
      <c r="G228" s="98"/>
      <c r="H228" s="98"/>
    </row>
    <row r="229">
      <c r="D229" s="98"/>
      <c r="E229" s="98"/>
      <c r="F229" s="98"/>
      <c r="G229" s="98"/>
      <c r="H229" s="98"/>
    </row>
    <row r="230">
      <c r="D230" s="98"/>
      <c r="E230" s="98"/>
      <c r="F230" s="98"/>
      <c r="G230" s="98"/>
      <c r="H230" s="98"/>
    </row>
    <row r="231">
      <c r="D231" s="98"/>
      <c r="E231" s="98"/>
      <c r="F231" s="98"/>
      <c r="G231" s="98"/>
      <c r="H231" s="98"/>
    </row>
    <row r="232">
      <c r="D232" s="98"/>
      <c r="E232" s="98"/>
      <c r="F232" s="98"/>
      <c r="G232" s="98"/>
      <c r="H232" s="98"/>
    </row>
    <row r="233">
      <c r="D233" s="98"/>
      <c r="E233" s="98"/>
      <c r="F233" s="98"/>
      <c r="G233" s="98"/>
      <c r="H233" s="98"/>
    </row>
    <row r="234">
      <c r="D234" s="98"/>
      <c r="E234" s="98"/>
      <c r="F234" s="98"/>
      <c r="G234" s="98"/>
      <c r="H234" s="98"/>
    </row>
    <row r="235">
      <c r="D235" s="98"/>
      <c r="E235" s="98"/>
      <c r="F235" s="98"/>
      <c r="G235" s="98"/>
      <c r="H235" s="98"/>
    </row>
    <row r="236">
      <c r="D236" s="98"/>
      <c r="E236" s="98"/>
      <c r="F236" s="98"/>
      <c r="G236" s="98"/>
      <c r="H236" s="98"/>
    </row>
    <row r="237">
      <c r="D237" s="98"/>
      <c r="E237" s="98"/>
      <c r="F237" s="98"/>
      <c r="G237" s="98"/>
      <c r="H237" s="98"/>
    </row>
    <row r="238">
      <c r="D238" s="98"/>
      <c r="E238" s="98"/>
      <c r="F238" s="98"/>
      <c r="G238" s="98"/>
      <c r="H238" s="98"/>
    </row>
    <row r="239">
      <c r="D239" s="98"/>
      <c r="E239" s="98"/>
      <c r="F239" s="98"/>
      <c r="G239" s="98"/>
      <c r="H239" s="98"/>
    </row>
    <row r="240">
      <c r="D240" s="98"/>
      <c r="E240" s="98"/>
      <c r="F240" s="98"/>
      <c r="G240" s="98"/>
      <c r="H240" s="98"/>
    </row>
    <row r="241">
      <c r="D241" s="98"/>
      <c r="E241" s="98"/>
      <c r="F241" s="98"/>
      <c r="G241" s="98"/>
      <c r="H241" s="98"/>
    </row>
    <row r="242">
      <c r="D242" s="98"/>
      <c r="E242" s="98"/>
      <c r="F242" s="98"/>
      <c r="G242" s="98"/>
      <c r="H242" s="98"/>
    </row>
    <row r="243">
      <c r="D243" s="98"/>
      <c r="E243" s="98"/>
      <c r="F243" s="98"/>
      <c r="G243" s="98"/>
      <c r="H243" s="98"/>
    </row>
    <row r="244">
      <c r="D244" s="98"/>
      <c r="E244" s="98"/>
      <c r="F244" s="98"/>
      <c r="G244" s="98"/>
      <c r="H244" s="98"/>
    </row>
    <row r="245">
      <c r="D245" s="98"/>
      <c r="E245" s="98"/>
      <c r="F245" s="98"/>
      <c r="G245" s="98"/>
      <c r="H245" s="98"/>
    </row>
    <row r="246">
      <c r="D246" s="98"/>
      <c r="E246" s="98"/>
      <c r="F246" s="98"/>
      <c r="G246" s="98"/>
      <c r="H246" s="98"/>
    </row>
    <row r="247">
      <c r="D247" s="98"/>
      <c r="E247" s="98"/>
      <c r="F247" s="98"/>
      <c r="G247" s="98"/>
      <c r="H247" s="98"/>
    </row>
    <row r="248">
      <c r="D248" s="98"/>
      <c r="E248" s="98"/>
      <c r="F248" s="98"/>
      <c r="G248" s="98"/>
      <c r="H248" s="98"/>
    </row>
    <row r="249">
      <c r="D249" s="98"/>
      <c r="E249" s="98"/>
      <c r="F249" s="98"/>
      <c r="G249" s="98"/>
      <c r="H249" s="98"/>
    </row>
    <row r="250">
      <c r="D250" s="98"/>
      <c r="E250" s="98"/>
      <c r="F250" s="98"/>
      <c r="G250" s="98"/>
      <c r="H250" s="98"/>
    </row>
    <row r="251">
      <c r="D251" s="98"/>
      <c r="E251" s="98"/>
      <c r="F251" s="98"/>
      <c r="G251" s="98"/>
      <c r="H251" s="98"/>
    </row>
    <row r="252">
      <c r="D252" s="98"/>
      <c r="E252" s="98"/>
      <c r="F252" s="98"/>
      <c r="G252" s="98"/>
      <c r="H252" s="98"/>
    </row>
    <row r="253">
      <c r="D253" s="98"/>
      <c r="E253" s="98"/>
      <c r="F253" s="98"/>
      <c r="G253" s="98"/>
      <c r="H253" s="98"/>
    </row>
    <row r="254">
      <c r="D254" s="98"/>
      <c r="E254" s="98"/>
      <c r="F254" s="98"/>
      <c r="G254" s="98"/>
      <c r="H254" s="98"/>
    </row>
    <row r="255">
      <c r="D255" s="98"/>
      <c r="E255" s="98"/>
      <c r="F255" s="98"/>
      <c r="G255" s="98"/>
      <c r="H255" s="98"/>
    </row>
    <row r="256">
      <c r="D256" s="98"/>
      <c r="E256" s="98"/>
      <c r="F256" s="98"/>
      <c r="G256" s="98"/>
      <c r="H256" s="98"/>
    </row>
    <row r="257">
      <c r="D257" s="98"/>
      <c r="E257" s="98"/>
      <c r="F257" s="98"/>
      <c r="G257" s="98"/>
      <c r="H257" s="98"/>
    </row>
    <row r="258">
      <c r="D258" s="98"/>
      <c r="E258" s="98"/>
      <c r="F258" s="98"/>
      <c r="G258" s="98"/>
      <c r="H258" s="98"/>
    </row>
    <row r="259">
      <c r="D259" s="98"/>
      <c r="E259" s="98"/>
      <c r="F259" s="98"/>
      <c r="G259" s="98"/>
      <c r="H259" s="98"/>
    </row>
    <row r="260">
      <c r="D260" s="98"/>
      <c r="E260" s="98"/>
      <c r="F260" s="98"/>
      <c r="G260" s="98"/>
      <c r="H260" s="98"/>
    </row>
    <row r="261">
      <c r="D261" s="98"/>
      <c r="E261" s="98"/>
      <c r="F261" s="98"/>
      <c r="G261" s="98"/>
      <c r="H261" s="98"/>
    </row>
    <row r="262">
      <c r="D262" s="98"/>
      <c r="E262" s="98"/>
      <c r="F262" s="98"/>
      <c r="G262" s="98"/>
      <c r="H262" s="98"/>
    </row>
    <row r="263">
      <c r="D263" s="98"/>
      <c r="E263" s="98"/>
      <c r="F263" s="98"/>
      <c r="G263" s="98"/>
      <c r="H263" s="98"/>
    </row>
    <row r="264">
      <c r="D264" s="98"/>
      <c r="E264" s="98"/>
      <c r="F264" s="98"/>
      <c r="G264" s="98"/>
      <c r="H264" s="98"/>
    </row>
    <row r="265">
      <c r="D265" s="98"/>
      <c r="E265" s="98"/>
      <c r="F265" s="98"/>
      <c r="G265" s="98"/>
      <c r="H265" s="98"/>
    </row>
    <row r="266">
      <c r="D266" s="98"/>
      <c r="E266" s="98"/>
      <c r="F266" s="98"/>
      <c r="G266" s="98"/>
      <c r="H266" s="98"/>
    </row>
    <row r="267">
      <c r="D267" s="98"/>
      <c r="E267" s="98"/>
      <c r="F267" s="98"/>
      <c r="G267" s="98"/>
      <c r="H267" s="98"/>
    </row>
    <row r="268">
      <c r="D268" s="98"/>
      <c r="E268" s="98"/>
      <c r="F268" s="98"/>
      <c r="G268" s="98"/>
      <c r="H268" s="98"/>
    </row>
    <row r="269">
      <c r="D269" s="98"/>
      <c r="E269" s="98"/>
      <c r="F269" s="98"/>
      <c r="G269" s="98"/>
      <c r="H269" s="98"/>
    </row>
    <row r="270">
      <c r="D270" s="98"/>
      <c r="E270" s="98"/>
      <c r="F270" s="98"/>
      <c r="G270" s="98"/>
      <c r="H270" s="98"/>
    </row>
    <row r="271">
      <c r="D271" s="98"/>
      <c r="E271" s="98"/>
      <c r="F271" s="98"/>
      <c r="G271" s="98"/>
      <c r="H271" s="98"/>
    </row>
    <row r="272">
      <c r="D272" s="98"/>
      <c r="E272" s="98"/>
      <c r="F272" s="98"/>
      <c r="G272" s="98"/>
      <c r="H272" s="98"/>
    </row>
    <row r="273">
      <c r="D273" s="98"/>
      <c r="E273" s="98"/>
      <c r="F273" s="98"/>
      <c r="G273" s="98"/>
      <c r="H273" s="98"/>
    </row>
    <row r="274">
      <c r="D274" s="98"/>
      <c r="E274" s="98"/>
      <c r="F274" s="98"/>
      <c r="G274" s="98"/>
      <c r="H274" s="98"/>
    </row>
    <row r="275">
      <c r="D275" s="98"/>
      <c r="E275" s="98"/>
      <c r="F275" s="98"/>
      <c r="G275" s="98"/>
      <c r="H275" s="98"/>
    </row>
    <row r="276">
      <c r="D276" s="98"/>
      <c r="E276" s="98"/>
      <c r="F276" s="98"/>
      <c r="G276" s="98"/>
      <c r="H276" s="98"/>
    </row>
    <row r="277">
      <c r="D277" s="98"/>
      <c r="E277" s="98"/>
      <c r="F277" s="98"/>
      <c r="G277" s="98"/>
      <c r="H277" s="98"/>
    </row>
    <row r="278">
      <c r="D278" s="98"/>
      <c r="E278" s="98"/>
      <c r="F278" s="98"/>
      <c r="G278" s="98"/>
      <c r="H278" s="98"/>
    </row>
    <row r="279">
      <c r="D279" s="98"/>
      <c r="E279" s="98"/>
      <c r="F279" s="98"/>
      <c r="G279" s="98"/>
      <c r="H279" s="98"/>
    </row>
    <row r="280">
      <c r="D280" s="98"/>
      <c r="E280" s="98"/>
      <c r="F280" s="98"/>
      <c r="G280" s="98"/>
      <c r="H280" s="98"/>
    </row>
    <row r="281">
      <c r="D281" s="98"/>
      <c r="E281" s="98"/>
      <c r="F281" s="98"/>
      <c r="G281" s="98"/>
      <c r="H281" s="98"/>
    </row>
    <row r="282">
      <c r="D282" s="98"/>
      <c r="E282" s="98"/>
      <c r="F282" s="98"/>
      <c r="G282" s="98"/>
      <c r="H282" s="98"/>
    </row>
    <row r="283">
      <c r="D283" s="98"/>
      <c r="E283" s="98"/>
      <c r="F283" s="98"/>
      <c r="G283" s="98"/>
      <c r="H283" s="98"/>
    </row>
    <row r="284">
      <c r="D284" s="98"/>
      <c r="E284" s="98"/>
      <c r="F284" s="98"/>
      <c r="G284" s="98"/>
      <c r="H284" s="98"/>
    </row>
    <row r="285">
      <c r="D285" s="98"/>
      <c r="E285" s="98"/>
      <c r="F285" s="98"/>
      <c r="G285" s="98"/>
      <c r="H285" s="98"/>
    </row>
    <row r="286">
      <c r="D286" s="98"/>
      <c r="E286" s="98"/>
      <c r="F286" s="98"/>
      <c r="G286" s="98"/>
      <c r="H286" s="98"/>
    </row>
    <row r="287">
      <c r="D287" s="98"/>
      <c r="E287" s="98"/>
      <c r="F287" s="98"/>
      <c r="G287" s="98"/>
      <c r="H287" s="98"/>
    </row>
    <row r="288">
      <c r="D288" s="98"/>
      <c r="E288" s="98"/>
      <c r="F288" s="98"/>
      <c r="G288" s="98"/>
      <c r="H288" s="98"/>
    </row>
    <row r="289">
      <c r="D289" s="98"/>
      <c r="E289" s="98"/>
      <c r="F289" s="98"/>
      <c r="G289" s="98"/>
      <c r="H289" s="98"/>
    </row>
    <row r="290">
      <c r="D290" s="98"/>
      <c r="E290" s="98"/>
      <c r="F290" s="98"/>
      <c r="G290" s="98"/>
      <c r="H290" s="98"/>
    </row>
    <row r="291">
      <c r="D291" s="98"/>
      <c r="E291" s="98"/>
      <c r="F291" s="98"/>
      <c r="G291" s="98"/>
      <c r="H291" s="98"/>
    </row>
    <row r="292">
      <c r="D292" s="98"/>
      <c r="E292" s="98"/>
      <c r="F292" s="98"/>
      <c r="G292" s="98"/>
      <c r="H292" s="98"/>
    </row>
    <row r="293">
      <c r="D293" s="98"/>
      <c r="E293" s="98"/>
      <c r="F293" s="98"/>
      <c r="G293" s="98"/>
      <c r="H293" s="98"/>
    </row>
    <row r="294">
      <c r="D294" s="98"/>
      <c r="E294" s="98"/>
      <c r="F294" s="98"/>
      <c r="G294" s="98"/>
      <c r="H294" s="98"/>
    </row>
    <row r="295">
      <c r="D295" s="98"/>
      <c r="E295" s="98"/>
      <c r="F295" s="98"/>
      <c r="G295" s="98"/>
      <c r="H295" s="98"/>
    </row>
    <row r="296">
      <c r="D296" s="98"/>
      <c r="E296" s="98"/>
      <c r="F296" s="98"/>
      <c r="G296" s="98"/>
      <c r="H296" s="98"/>
    </row>
    <row r="297">
      <c r="D297" s="98"/>
      <c r="E297" s="98"/>
      <c r="F297" s="98"/>
      <c r="G297" s="98"/>
      <c r="H297" s="98"/>
    </row>
    <row r="298">
      <c r="D298" s="98"/>
      <c r="E298" s="98"/>
      <c r="F298" s="98"/>
      <c r="G298" s="98"/>
      <c r="H298" s="98"/>
    </row>
    <row r="299">
      <c r="D299" s="98"/>
      <c r="E299" s="98"/>
      <c r="F299" s="98"/>
      <c r="G299" s="98"/>
      <c r="H299" s="98"/>
    </row>
    <row r="300">
      <c r="D300" s="98"/>
      <c r="E300" s="98"/>
      <c r="F300" s="98"/>
      <c r="G300" s="98"/>
      <c r="H300" s="98"/>
    </row>
    <row r="301">
      <c r="D301" s="98"/>
      <c r="E301" s="98"/>
      <c r="F301" s="98"/>
      <c r="G301" s="98"/>
      <c r="H301" s="98"/>
    </row>
    <row r="302">
      <c r="D302" s="98"/>
      <c r="E302" s="98"/>
      <c r="F302" s="98"/>
      <c r="G302" s="98"/>
      <c r="H302" s="98"/>
    </row>
    <row r="303">
      <c r="D303" s="98"/>
      <c r="E303" s="98"/>
      <c r="F303" s="98"/>
      <c r="G303" s="98"/>
      <c r="H303" s="98"/>
    </row>
    <row r="304">
      <c r="D304" s="98"/>
      <c r="E304" s="98"/>
      <c r="F304" s="98"/>
      <c r="G304" s="98"/>
      <c r="H304" s="98"/>
    </row>
    <row r="305">
      <c r="D305" s="98"/>
      <c r="E305" s="98"/>
      <c r="F305" s="98"/>
      <c r="G305" s="98"/>
      <c r="H305" s="98"/>
    </row>
    <row r="306">
      <c r="D306" s="98"/>
      <c r="E306" s="98"/>
      <c r="F306" s="98"/>
      <c r="G306" s="98"/>
      <c r="H306" s="98"/>
    </row>
    <row r="307">
      <c r="D307" s="98"/>
      <c r="E307" s="98"/>
      <c r="F307" s="98"/>
      <c r="G307" s="98"/>
      <c r="H307" s="98"/>
    </row>
    <row r="308">
      <c r="D308" s="98"/>
      <c r="E308" s="98"/>
      <c r="F308" s="98"/>
      <c r="G308" s="98"/>
      <c r="H308" s="98"/>
    </row>
    <row r="309">
      <c r="D309" s="98"/>
      <c r="E309" s="98"/>
      <c r="F309" s="98"/>
      <c r="G309" s="98"/>
      <c r="H309" s="98"/>
    </row>
    <row r="310">
      <c r="D310" s="98"/>
      <c r="E310" s="98"/>
      <c r="F310" s="98"/>
      <c r="G310" s="98"/>
      <c r="H310" s="98"/>
    </row>
    <row r="311">
      <c r="D311" s="98"/>
      <c r="E311" s="98"/>
      <c r="F311" s="98"/>
      <c r="G311" s="98"/>
      <c r="H311" s="98"/>
    </row>
    <row r="312">
      <c r="D312" s="98"/>
      <c r="E312" s="98"/>
      <c r="F312" s="98"/>
      <c r="G312" s="98"/>
      <c r="H312" s="98"/>
    </row>
    <row r="313">
      <c r="D313" s="98"/>
      <c r="E313" s="98"/>
      <c r="F313" s="98"/>
      <c r="G313" s="98"/>
      <c r="H313" s="98"/>
    </row>
    <row r="314">
      <c r="D314" s="98"/>
      <c r="E314" s="98"/>
      <c r="F314" s="98"/>
      <c r="G314" s="98"/>
      <c r="H314" s="98"/>
    </row>
    <row r="315">
      <c r="D315" s="98"/>
      <c r="E315" s="98"/>
      <c r="F315" s="98"/>
      <c r="G315" s="98"/>
      <c r="H315" s="98"/>
    </row>
    <row r="316">
      <c r="D316" s="98"/>
      <c r="E316" s="98"/>
      <c r="F316" s="98"/>
      <c r="G316" s="98"/>
      <c r="H316" s="98"/>
    </row>
    <row r="317">
      <c r="D317" s="98"/>
      <c r="E317" s="98"/>
      <c r="F317" s="98"/>
      <c r="G317" s="98"/>
      <c r="H317" s="98"/>
    </row>
    <row r="318">
      <c r="D318" s="98"/>
      <c r="E318" s="98"/>
      <c r="F318" s="98"/>
      <c r="G318" s="98"/>
      <c r="H318" s="98"/>
    </row>
    <row r="319">
      <c r="D319" s="98"/>
      <c r="E319" s="98"/>
      <c r="F319" s="98"/>
      <c r="G319" s="98"/>
      <c r="H319" s="98"/>
    </row>
    <row r="320">
      <c r="D320" s="98"/>
      <c r="E320" s="98"/>
      <c r="F320" s="98"/>
      <c r="G320" s="98"/>
      <c r="H320" s="98"/>
    </row>
    <row r="321">
      <c r="D321" s="98"/>
      <c r="E321" s="98"/>
      <c r="F321" s="98"/>
      <c r="G321" s="98"/>
      <c r="H321" s="98"/>
    </row>
    <row r="322">
      <c r="D322" s="98"/>
      <c r="E322" s="98"/>
      <c r="F322" s="98"/>
      <c r="G322" s="98"/>
      <c r="H322" s="98"/>
    </row>
    <row r="323">
      <c r="D323" s="98"/>
      <c r="E323" s="98"/>
      <c r="F323" s="98"/>
      <c r="G323" s="98"/>
      <c r="H323" s="98"/>
    </row>
    <row r="324">
      <c r="D324" s="98"/>
      <c r="E324" s="98"/>
      <c r="F324" s="98"/>
      <c r="G324" s="98"/>
      <c r="H324" s="98"/>
    </row>
    <row r="325">
      <c r="D325" s="98"/>
      <c r="E325" s="98"/>
      <c r="F325" s="98"/>
      <c r="G325" s="98"/>
      <c r="H325" s="98"/>
    </row>
    <row r="326">
      <c r="D326" s="98"/>
      <c r="E326" s="98"/>
      <c r="F326" s="98"/>
      <c r="G326" s="98"/>
      <c r="H326" s="98"/>
    </row>
    <row r="327">
      <c r="D327" s="98"/>
      <c r="E327" s="98"/>
      <c r="F327" s="98"/>
      <c r="G327" s="98"/>
      <c r="H327" s="98"/>
    </row>
    <row r="328">
      <c r="D328" s="98"/>
      <c r="E328" s="98"/>
      <c r="F328" s="98"/>
      <c r="G328" s="98"/>
      <c r="H328" s="98"/>
    </row>
    <row r="329">
      <c r="D329" s="98"/>
      <c r="E329" s="98"/>
      <c r="F329" s="98"/>
      <c r="G329" s="98"/>
      <c r="H329" s="98"/>
    </row>
    <row r="330">
      <c r="D330" s="98"/>
      <c r="E330" s="98"/>
      <c r="F330" s="98"/>
      <c r="G330" s="98"/>
      <c r="H330" s="98"/>
    </row>
    <row r="331">
      <c r="D331" s="98"/>
      <c r="E331" s="98"/>
      <c r="F331" s="98"/>
      <c r="G331" s="98"/>
      <c r="H331" s="98"/>
    </row>
    <row r="332">
      <c r="D332" s="98"/>
      <c r="E332" s="98"/>
      <c r="F332" s="98"/>
      <c r="G332" s="98"/>
      <c r="H332" s="98"/>
    </row>
    <row r="333">
      <c r="D333" s="98"/>
      <c r="E333" s="98"/>
      <c r="F333" s="98"/>
      <c r="G333" s="98"/>
      <c r="H333" s="98"/>
    </row>
    <row r="334">
      <c r="D334" s="98"/>
      <c r="E334" s="98"/>
      <c r="F334" s="98"/>
      <c r="G334" s="98"/>
      <c r="H334" s="98"/>
    </row>
    <row r="335">
      <c r="D335" s="98"/>
      <c r="E335" s="98"/>
      <c r="F335" s="98"/>
      <c r="G335" s="98"/>
      <c r="H335" s="98"/>
    </row>
    <row r="336">
      <c r="D336" s="98"/>
      <c r="E336" s="98"/>
      <c r="F336" s="98"/>
      <c r="G336" s="98"/>
      <c r="H336" s="98"/>
    </row>
    <row r="337">
      <c r="D337" s="98"/>
      <c r="E337" s="98"/>
      <c r="F337" s="98"/>
      <c r="G337" s="98"/>
      <c r="H337" s="98"/>
    </row>
    <row r="338">
      <c r="D338" s="98"/>
      <c r="E338" s="98"/>
      <c r="F338" s="98"/>
      <c r="G338" s="98"/>
      <c r="H338" s="98"/>
    </row>
    <row r="339">
      <c r="D339" s="98"/>
      <c r="E339" s="98"/>
      <c r="F339" s="98"/>
      <c r="G339" s="98"/>
      <c r="H339" s="98"/>
    </row>
    <row r="340">
      <c r="D340" s="98"/>
      <c r="E340" s="98"/>
      <c r="F340" s="98"/>
      <c r="G340" s="98"/>
      <c r="H340" s="98"/>
    </row>
    <row r="341">
      <c r="D341" s="98"/>
      <c r="E341" s="98"/>
      <c r="F341" s="98"/>
      <c r="G341" s="98"/>
      <c r="H341" s="98"/>
    </row>
    <row r="342">
      <c r="D342" s="98"/>
      <c r="E342" s="98"/>
      <c r="F342" s="98"/>
      <c r="G342" s="98"/>
      <c r="H342" s="98"/>
    </row>
    <row r="343">
      <c r="D343" s="98"/>
      <c r="E343" s="98"/>
      <c r="F343" s="98"/>
      <c r="G343" s="98"/>
      <c r="H343" s="98"/>
    </row>
    <row r="344">
      <c r="D344" s="98"/>
      <c r="E344" s="98"/>
      <c r="F344" s="98"/>
      <c r="G344" s="98"/>
      <c r="H344" s="98"/>
    </row>
    <row r="345">
      <c r="D345" s="98"/>
      <c r="E345" s="98"/>
      <c r="F345" s="98"/>
      <c r="G345" s="98"/>
      <c r="H345" s="98"/>
    </row>
    <row r="346">
      <c r="D346" s="98"/>
      <c r="E346" s="98"/>
      <c r="F346" s="98"/>
      <c r="G346" s="98"/>
      <c r="H346" s="98"/>
    </row>
    <row r="347">
      <c r="D347" s="98"/>
      <c r="E347" s="98"/>
      <c r="F347" s="98"/>
      <c r="G347" s="98"/>
      <c r="H347" s="98"/>
    </row>
    <row r="348">
      <c r="D348" s="98"/>
      <c r="E348" s="98"/>
      <c r="F348" s="98"/>
      <c r="G348" s="98"/>
      <c r="H348" s="98"/>
    </row>
    <row r="349">
      <c r="D349" s="98"/>
      <c r="E349" s="98"/>
      <c r="F349" s="98"/>
      <c r="G349" s="98"/>
      <c r="H349" s="98"/>
    </row>
    <row r="350">
      <c r="D350" s="98"/>
      <c r="E350" s="98"/>
      <c r="F350" s="98"/>
      <c r="G350" s="98"/>
      <c r="H350" s="98"/>
    </row>
    <row r="351">
      <c r="D351" s="98"/>
      <c r="E351" s="98"/>
      <c r="F351" s="98"/>
      <c r="G351" s="98"/>
      <c r="H351" s="98"/>
    </row>
    <row r="352">
      <c r="D352" s="98"/>
      <c r="E352" s="98"/>
      <c r="F352" s="98"/>
      <c r="G352" s="98"/>
      <c r="H352" s="98"/>
    </row>
    <row r="353">
      <c r="D353" s="98"/>
      <c r="E353" s="98"/>
      <c r="F353" s="98"/>
      <c r="G353" s="98"/>
      <c r="H353" s="98"/>
    </row>
    <row r="354">
      <c r="D354" s="98"/>
      <c r="E354" s="98"/>
      <c r="F354" s="98"/>
      <c r="G354" s="98"/>
      <c r="H354" s="98"/>
    </row>
    <row r="355">
      <c r="D355" s="98"/>
      <c r="E355" s="98"/>
      <c r="F355" s="98"/>
      <c r="G355" s="98"/>
      <c r="H355" s="98"/>
    </row>
    <row r="356">
      <c r="D356" s="98"/>
      <c r="E356" s="98"/>
      <c r="F356" s="98"/>
      <c r="G356" s="98"/>
      <c r="H356" s="98"/>
    </row>
    <row r="357">
      <c r="D357" s="98"/>
      <c r="E357" s="98"/>
      <c r="F357" s="98"/>
      <c r="G357" s="98"/>
      <c r="H357" s="98"/>
    </row>
    <row r="358">
      <c r="D358" s="98"/>
      <c r="E358" s="98"/>
      <c r="F358" s="98"/>
      <c r="G358" s="98"/>
      <c r="H358" s="98"/>
    </row>
    <row r="359">
      <c r="D359" s="98"/>
      <c r="E359" s="98"/>
      <c r="F359" s="98"/>
      <c r="G359" s="98"/>
      <c r="H359" s="98"/>
    </row>
    <row r="360">
      <c r="D360" s="98"/>
      <c r="E360" s="98"/>
      <c r="F360" s="98"/>
      <c r="G360" s="98"/>
      <c r="H360" s="98"/>
    </row>
    <row r="361">
      <c r="D361" s="98"/>
      <c r="E361" s="98"/>
      <c r="F361" s="98"/>
      <c r="G361" s="98"/>
      <c r="H361" s="98"/>
    </row>
    <row r="362">
      <c r="D362" s="98"/>
      <c r="E362" s="98"/>
      <c r="F362" s="98"/>
      <c r="G362" s="98"/>
      <c r="H362" s="98"/>
    </row>
    <row r="363">
      <c r="D363" s="98"/>
      <c r="E363" s="98"/>
      <c r="F363" s="98"/>
      <c r="G363" s="98"/>
      <c r="H363" s="98"/>
    </row>
    <row r="364">
      <c r="D364" s="98"/>
      <c r="E364" s="98"/>
      <c r="F364" s="98"/>
      <c r="G364" s="98"/>
      <c r="H364" s="98"/>
    </row>
    <row r="365">
      <c r="D365" s="98"/>
      <c r="E365" s="98"/>
      <c r="F365" s="98"/>
      <c r="G365" s="98"/>
      <c r="H365" s="98"/>
    </row>
    <row r="366">
      <c r="D366" s="98"/>
      <c r="E366" s="98"/>
      <c r="F366" s="98"/>
      <c r="G366" s="98"/>
      <c r="H366" s="98"/>
    </row>
    <row r="367">
      <c r="D367" s="98"/>
      <c r="E367" s="98"/>
      <c r="F367" s="98"/>
      <c r="G367" s="98"/>
      <c r="H367" s="98"/>
    </row>
    <row r="368">
      <c r="D368" s="98"/>
      <c r="E368" s="98"/>
      <c r="F368" s="98"/>
      <c r="G368" s="98"/>
      <c r="H368" s="98"/>
    </row>
    <row r="369">
      <c r="D369" s="98"/>
      <c r="E369" s="98"/>
      <c r="F369" s="98"/>
      <c r="G369" s="98"/>
      <c r="H369" s="98"/>
    </row>
    <row r="370">
      <c r="D370" s="98"/>
      <c r="E370" s="98"/>
      <c r="F370" s="98"/>
      <c r="G370" s="98"/>
      <c r="H370" s="98"/>
    </row>
    <row r="371">
      <c r="D371" s="98"/>
      <c r="E371" s="98"/>
      <c r="F371" s="98"/>
      <c r="G371" s="98"/>
      <c r="H371" s="98"/>
    </row>
    <row r="372">
      <c r="D372" s="98"/>
      <c r="E372" s="98"/>
      <c r="F372" s="98"/>
      <c r="G372" s="98"/>
      <c r="H372" s="98"/>
    </row>
    <row r="373">
      <c r="D373" s="98"/>
      <c r="E373" s="98"/>
      <c r="F373" s="98"/>
      <c r="G373" s="98"/>
      <c r="H373" s="98"/>
    </row>
    <row r="374">
      <c r="D374" s="98"/>
      <c r="E374" s="98"/>
      <c r="F374" s="98"/>
      <c r="G374" s="98"/>
      <c r="H374" s="98"/>
    </row>
    <row r="375">
      <c r="D375" s="98"/>
      <c r="E375" s="98"/>
      <c r="F375" s="98"/>
      <c r="G375" s="98"/>
      <c r="H375" s="98"/>
    </row>
    <row r="376">
      <c r="D376" s="98"/>
      <c r="E376" s="98"/>
      <c r="F376" s="98"/>
      <c r="G376" s="98"/>
      <c r="H376" s="98"/>
    </row>
    <row r="377">
      <c r="D377" s="98"/>
      <c r="E377" s="98"/>
      <c r="F377" s="98"/>
      <c r="G377" s="98"/>
      <c r="H377" s="98"/>
    </row>
    <row r="378">
      <c r="D378" s="98"/>
      <c r="E378" s="98"/>
      <c r="F378" s="98"/>
      <c r="G378" s="98"/>
      <c r="H378" s="98"/>
    </row>
    <row r="379">
      <c r="D379" s="98"/>
      <c r="E379" s="98"/>
      <c r="F379" s="98"/>
      <c r="G379" s="98"/>
      <c r="H379" s="98"/>
    </row>
    <row r="380">
      <c r="D380" s="98"/>
      <c r="E380" s="98"/>
      <c r="F380" s="98"/>
      <c r="G380" s="98"/>
      <c r="H380" s="98"/>
    </row>
    <row r="381">
      <c r="D381" s="98"/>
      <c r="E381" s="98"/>
      <c r="F381" s="98"/>
      <c r="G381" s="98"/>
      <c r="H381" s="98"/>
    </row>
    <row r="382">
      <c r="D382" s="98"/>
      <c r="E382" s="98"/>
      <c r="F382" s="98"/>
      <c r="G382" s="98"/>
      <c r="H382" s="98"/>
    </row>
    <row r="383">
      <c r="D383" s="98"/>
      <c r="E383" s="98"/>
      <c r="F383" s="98"/>
      <c r="G383" s="98"/>
      <c r="H383" s="98"/>
    </row>
    <row r="384">
      <c r="D384" s="98"/>
      <c r="E384" s="98"/>
      <c r="F384" s="98"/>
      <c r="G384" s="98"/>
      <c r="H384" s="98"/>
    </row>
    <row r="385">
      <c r="D385" s="98"/>
      <c r="E385" s="98"/>
      <c r="F385" s="98"/>
      <c r="G385" s="98"/>
      <c r="H385" s="98"/>
    </row>
    <row r="386">
      <c r="D386" s="98"/>
      <c r="E386" s="98"/>
      <c r="F386" s="98"/>
      <c r="G386" s="98"/>
      <c r="H386" s="98"/>
    </row>
    <row r="387">
      <c r="D387" s="98"/>
      <c r="E387" s="98"/>
      <c r="F387" s="98"/>
      <c r="G387" s="98"/>
      <c r="H387" s="98"/>
    </row>
    <row r="388">
      <c r="D388" s="98"/>
      <c r="E388" s="98"/>
      <c r="F388" s="98"/>
      <c r="G388" s="98"/>
      <c r="H388" s="98"/>
    </row>
    <row r="389">
      <c r="D389" s="98"/>
      <c r="E389" s="98"/>
      <c r="F389" s="98"/>
      <c r="G389" s="98"/>
      <c r="H389" s="98"/>
    </row>
    <row r="390">
      <c r="D390" s="98"/>
      <c r="E390" s="98"/>
      <c r="F390" s="98"/>
      <c r="G390" s="98"/>
      <c r="H390" s="98"/>
    </row>
    <row r="391">
      <c r="D391" s="98"/>
      <c r="E391" s="98"/>
      <c r="F391" s="98"/>
      <c r="G391" s="98"/>
      <c r="H391" s="98"/>
    </row>
    <row r="392">
      <c r="D392" s="98"/>
      <c r="E392" s="98"/>
      <c r="F392" s="98"/>
      <c r="G392" s="98"/>
      <c r="H392" s="98"/>
    </row>
    <row r="393">
      <c r="D393" s="98"/>
      <c r="E393" s="98"/>
      <c r="F393" s="98"/>
      <c r="G393" s="98"/>
      <c r="H393" s="98"/>
    </row>
    <row r="394">
      <c r="D394" s="98"/>
      <c r="E394" s="98"/>
      <c r="F394" s="98"/>
      <c r="G394" s="98"/>
      <c r="H394" s="98"/>
    </row>
    <row r="395">
      <c r="D395" s="98"/>
      <c r="E395" s="98"/>
      <c r="F395" s="98"/>
      <c r="G395" s="98"/>
      <c r="H395" s="98"/>
    </row>
    <row r="396">
      <c r="D396" s="98"/>
      <c r="E396" s="98"/>
      <c r="F396" s="98"/>
      <c r="G396" s="98"/>
      <c r="H396" s="98"/>
    </row>
    <row r="397">
      <c r="D397" s="98"/>
      <c r="E397" s="98"/>
      <c r="F397" s="98"/>
      <c r="G397" s="98"/>
      <c r="H397" s="98"/>
    </row>
    <row r="398">
      <c r="D398" s="98"/>
      <c r="E398" s="98"/>
      <c r="F398" s="98"/>
      <c r="G398" s="98"/>
      <c r="H398" s="98"/>
    </row>
    <row r="399">
      <c r="D399" s="98"/>
      <c r="E399" s="98"/>
      <c r="F399" s="98"/>
      <c r="G399" s="98"/>
      <c r="H399" s="98"/>
    </row>
    <row r="400">
      <c r="D400" s="98"/>
      <c r="E400" s="98"/>
      <c r="F400" s="98"/>
      <c r="G400" s="98"/>
      <c r="H400" s="98"/>
    </row>
    <row r="401">
      <c r="D401" s="98"/>
      <c r="E401" s="98"/>
      <c r="F401" s="98"/>
      <c r="G401" s="98"/>
      <c r="H401" s="98"/>
    </row>
    <row r="402">
      <c r="D402" s="98"/>
      <c r="E402" s="98"/>
      <c r="F402" s="98"/>
      <c r="G402" s="98"/>
      <c r="H402" s="98"/>
    </row>
    <row r="403">
      <c r="D403" s="98"/>
      <c r="E403" s="98"/>
      <c r="F403" s="98"/>
      <c r="G403" s="98"/>
      <c r="H403" s="98"/>
    </row>
    <row r="404">
      <c r="D404" s="98"/>
      <c r="E404" s="98"/>
      <c r="F404" s="98"/>
      <c r="G404" s="98"/>
      <c r="H404" s="98"/>
    </row>
    <row r="405">
      <c r="D405" s="98"/>
      <c r="E405" s="98"/>
      <c r="F405" s="98"/>
      <c r="G405" s="98"/>
      <c r="H405" s="98"/>
    </row>
    <row r="406">
      <c r="D406" s="98"/>
      <c r="E406" s="98"/>
      <c r="F406" s="98"/>
      <c r="G406" s="98"/>
      <c r="H406" s="98"/>
    </row>
    <row r="407">
      <c r="D407" s="98"/>
      <c r="E407" s="98"/>
      <c r="F407" s="98"/>
      <c r="G407" s="98"/>
      <c r="H407" s="98"/>
    </row>
    <row r="408">
      <c r="D408" s="98"/>
      <c r="E408" s="98"/>
      <c r="F408" s="98"/>
      <c r="G408" s="98"/>
      <c r="H408" s="98"/>
    </row>
    <row r="409">
      <c r="D409" s="98"/>
      <c r="E409" s="98"/>
      <c r="F409" s="98"/>
      <c r="G409" s="98"/>
      <c r="H409" s="98"/>
    </row>
    <row r="410">
      <c r="D410" s="98"/>
      <c r="E410" s="98"/>
      <c r="F410" s="98"/>
      <c r="G410" s="98"/>
      <c r="H410" s="98"/>
    </row>
    <row r="411">
      <c r="D411" s="98"/>
      <c r="E411" s="98"/>
      <c r="F411" s="98"/>
      <c r="G411" s="98"/>
      <c r="H411" s="98"/>
    </row>
    <row r="412">
      <c r="D412" s="98"/>
      <c r="E412" s="98"/>
      <c r="F412" s="98"/>
      <c r="G412" s="98"/>
      <c r="H412" s="98"/>
    </row>
    <row r="413">
      <c r="D413" s="98"/>
      <c r="E413" s="98"/>
      <c r="F413" s="98"/>
      <c r="G413" s="98"/>
      <c r="H413" s="98"/>
    </row>
    <row r="414">
      <c r="D414" s="98"/>
      <c r="E414" s="98"/>
      <c r="F414" s="98"/>
      <c r="G414" s="98"/>
      <c r="H414" s="98"/>
    </row>
    <row r="415">
      <c r="D415" s="98"/>
      <c r="E415" s="98"/>
      <c r="F415" s="98"/>
      <c r="G415" s="98"/>
      <c r="H415" s="98"/>
    </row>
    <row r="416">
      <c r="D416" s="98"/>
      <c r="E416" s="98"/>
      <c r="F416" s="98"/>
      <c r="G416" s="98"/>
      <c r="H416" s="98"/>
    </row>
    <row r="417">
      <c r="D417" s="98"/>
      <c r="E417" s="98"/>
      <c r="F417" s="98"/>
      <c r="G417" s="98"/>
      <c r="H417" s="98"/>
    </row>
    <row r="418">
      <c r="D418" s="98"/>
      <c r="E418" s="98"/>
      <c r="F418" s="98"/>
      <c r="G418" s="98"/>
      <c r="H418" s="98"/>
    </row>
    <row r="419">
      <c r="D419" s="98"/>
      <c r="E419" s="98"/>
      <c r="F419" s="98"/>
      <c r="G419" s="98"/>
      <c r="H419" s="98"/>
    </row>
    <row r="420">
      <c r="D420" s="98"/>
      <c r="E420" s="98"/>
      <c r="F420" s="98"/>
      <c r="G420" s="98"/>
      <c r="H420" s="98"/>
    </row>
    <row r="421">
      <c r="D421" s="98"/>
      <c r="E421" s="98"/>
      <c r="F421" s="98"/>
      <c r="G421" s="98"/>
      <c r="H421" s="98"/>
    </row>
    <row r="422">
      <c r="D422" s="98"/>
      <c r="E422" s="98"/>
      <c r="F422" s="98"/>
      <c r="G422" s="98"/>
      <c r="H422" s="98"/>
    </row>
    <row r="423">
      <c r="D423" s="98"/>
      <c r="E423" s="98"/>
      <c r="F423" s="98"/>
      <c r="G423" s="98"/>
      <c r="H423" s="98"/>
    </row>
    <row r="424">
      <c r="D424" s="98"/>
      <c r="E424" s="98"/>
      <c r="F424" s="98"/>
      <c r="G424" s="98"/>
      <c r="H424" s="98"/>
    </row>
    <row r="425">
      <c r="D425" s="98"/>
      <c r="E425" s="98"/>
      <c r="F425" s="98"/>
      <c r="G425" s="98"/>
      <c r="H425" s="98"/>
    </row>
    <row r="426">
      <c r="D426" s="98"/>
      <c r="E426" s="98"/>
      <c r="F426" s="98"/>
      <c r="G426" s="98"/>
      <c r="H426" s="98"/>
    </row>
    <row r="427">
      <c r="D427" s="98"/>
      <c r="E427" s="98"/>
      <c r="F427" s="98"/>
      <c r="G427" s="98"/>
      <c r="H427" s="98"/>
    </row>
    <row r="428">
      <c r="D428" s="98"/>
      <c r="E428" s="98"/>
      <c r="F428" s="98"/>
      <c r="G428" s="98"/>
      <c r="H428" s="98"/>
    </row>
    <row r="429">
      <c r="D429" s="98"/>
      <c r="E429" s="98"/>
      <c r="F429" s="98"/>
      <c r="G429" s="98"/>
      <c r="H429" s="98"/>
    </row>
    <row r="430">
      <c r="D430" s="98"/>
      <c r="E430" s="98"/>
      <c r="F430" s="98"/>
      <c r="G430" s="98"/>
      <c r="H430" s="98"/>
    </row>
    <row r="431">
      <c r="D431" s="98"/>
      <c r="E431" s="98"/>
      <c r="F431" s="98"/>
      <c r="G431" s="98"/>
      <c r="H431" s="98"/>
    </row>
    <row r="432">
      <c r="D432" s="98"/>
      <c r="E432" s="98"/>
      <c r="F432" s="98"/>
      <c r="G432" s="98"/>
      <c r="H432" s="98"/>
    </row>
    <row r="433">
      <c r="D433" s="98"/>
      <c r="E433" s="98"/>
      <c r="F433" s="98"/>
      <c r="G433" s="98"/>
      <c r="H433" s="98"/>
    </row>
    <row r="434">
      <c r="D434" s="98"/>
      <c r="E434" s="98"/>
      <c r="F434" s="98"/>
      <c r="G434" s="98"/>
      <c r="H434" s="98"/>
    </row>
    <row r="435">
      <c r="D435" s="98"/>
      <c r="E435" s="98"/>
      <c r="F435" s="98"/>
      <c r="G435" s="98"/>
      <c r="H435" s="98"/>
    </row>
    <row r="436">
      <c r="D436" s="98"/>
      <c r="E436" s="98"/>
      <c r="F436" s="98"/>
      <c r="G436" s="98"/>
      <c r="H436" s="98"/>
    </row>
    <row r="437">
      <c r="D437" s="98"/>
      <c r="E437" s="98"/>
      <c r="F437" s="98"/>
      <c r="G437" s="98"/>
      <c r="H437" s="98"/>
    </row>
    <row r="438">
      <c r="D438" s="98"/>
      <c r="E438" s="98"/>
      <c r="F438" s="98"/>
      <c r="G438" s="98"/>
      <c r="H438" s="98"/>
    </row>
    <row r="439">
      <c r="D439" s="98"/>
      <c r="E439" s="98"/>
      <c r="F439" s="98"/>
      <c r="G439" s="98"/>
      <c r="H439" s="98"/>
    </row>
    <row r="440">
      <c r="D440" s="98"/>
      <c r="E440" s="98"/>
      <c r="F440" s="98"/>
      <c r="G440" s="98"/>
      <c r="H440" s="98"/>
    </row>
    <row r="441">
      <c r="D441" s="98"/>
      <c r="E441" s="98"/>
      <c r="F441" s="98"/>
      <c r="G441" s="98"/>
      <c r="H441" s="98"/>
    </row>
    <row r="442">
      <c r="D442" s="98"/>
      <c r="E442" s="98"/>
      <c r="F442" s="98"/>
      <c r="G442" s="98"/>
      <c r="H442" s="98"/>
    </row>
    <row r="443">
      <c r="D443" s="98"/>
      <c r="E443" s="98"/>
      <c r="F443" s="98"/>
      <c r="G443" s="98"/>
      <c r="H443" s="98"/>
    </row>
    <row r="444">
      <c r="D444" s="98"/>
      <c r="E444" s="98"/>
      <c r="F444" s="98"/>
      <c r="G444" s="98"/>
      <c r="H444" s="98"/>
    </row>
    <row r="445">
      <c r="D445" s="98"/>
      <c r="E445" s="98"/>
      <c r="F445" s="98"/>
      <c r="G445" s="98"/>
      <c r="H445" s="98"/>
    </row>
    <row r="446">
      <c r="D446" s="98"/>
      <c r="E446" s="98"/>
      <c r="F446" s="98"/>
      <c r="G446" s="98"/>
      <c r="H446" s="98"/>
    </row>
    <row r="447">
      <c r="D447" s="98"/>
      <c r="E447" s="98"/>
      <c r="F447" s="98"/>
      <c r="G447" s="98"/>
      <c r="H447" s="98"/>
    </row>
    <row r="448">
      <c r="D448" s="98"/>
      <c r="E448" s="98"/>
      <c r="F448" s="98"/>
      <c r="G448" s="98"/>
      <c r="H448" s="98"/>
    </row>
    <row r="449">
      <c r="D449" s="98"/>
      <c r="E449" s="98"/>
      <c r="F449" s="98"/>
      <c r="G449" s="98"/>
      <c r="H449" s="98"/>
    </row>
    <row r="450">
      <c r="D450" s="98"/>
      <c r="E450" s="98"/>
      <c r="F450" s="98"/>
      <c r="G450" s="98"/>
      <c r="H450" s="98"/>
    </row>
    <row r="451">
      <c r="D451" s="98"/>
      <c r="E451" s="98"/>
      <c r="F451" s="98"/>
      <c r="G451" s="98"/>
      <c r="H451" s="98"/>
    </row>
    <row r="452">
      <c r="D452" s="98"/>
      <c r="E452" s="98"/>
      <c r="F452" s="98"/>
      <c r="G452" s="98"/>
      <c r="H452" s="98"/>
    </row>
    <row r="453">
      <c r="D453" s="98"/>
      <c r="E453" s="98"/>
      <c r="F453" s="98"/>
      <c r="G453" s="98"/>
      <c r="H453" s="98"/>
    </row>
    <row r="454">
      <c r="D454" s="98"/>
      <c r="E454" s="98"/>
      <c r="F454" s="98"/>
      <c r="G454" s="98"/>
      <c r="H454" s="98"/>
    </row>
    <row r="455">
      <c r="D455" s="98"/>
      <c r="E455" s="98"/>
      <c r="F455" s="98"/>
      <c r="G455" s="98"/>
      <c r="H455" s="98"/>
    </row>
    <row r="456">
      <c r="D456" s="98"/>
      <c r="E456" s="98"/>
      <c r="F456" s="98"/>
      <c r="G456" s="98"/>
      <c r="H456" s="98"/>
    </row>
    <row r="457">
      <c r="D457" s="98"/>
      <c r="E457" s="98"/>
      <c r="F457" s="98"/>
      <c r="G457" s="98"/>
      <c r="H457" s="98"/>
    </row>
    <row r="458">
      <c r="D458" s="98"/>
      <c r="E458" s="98"/>
      <c r="F458" s="98"/>
      <c r="G458" s="98"/>
      <c r="H458" s="98"/>
    </row>
    <row r="459">
      <c r="D459" s="98"/>
      <c r="E459" s="98"/>
      <c r="F459" s="98"/>
      <c r="G459" s="98"/>
      <c r="H459" s="98"/>
    </row>
    <row r="460">
      <c r="D460" s="98"/>
      <c r="E460" s="98"/>
      <c r="F460" s="98"/>
      <c r="G460" s="98"/>
      <c r="H460" s="98"/>
    </row>
    <row r="461">
      <c r="D461" s="98"/>
      <c r="E461" s="98"/>
      <c r="F461" s="98"/>
      <c r="G461" s="98"/>
      <c r="H461" s="98"/>
    </row>
    <row r="462">
      <c r="D462" s="98"/>
      <c r="E462" s="98"/>
      <c r="F462" s="98"/>
      <c r="G462" s="98"/>
      <c r="H462" s="98"/>
    </row>
    <row r="463">
      <c r="D463" s="98"/>
      <c r="E463" s="98"/>
      <c r="F463" s="98"/>
      <c r="G463" s="98"/>
      <c r="H463" s="98"/>
    </row>
    <row r="464">
      <c r="D464" s="98"/>
      <c r="E464" s="98"/>
      <c r="F464" s="98"/>
      <c r="G464" s="98"/>
      <c r="H464" s="98"/>
    </row>
    <row r="465">
      <c r="D465" s="98"/>
      <c r="E465" s="98"/>
      <c r="F465" s="98"/>
      <c r="G465" s="98"/>
      <c r="H465" s="98"/>
    </row>
    <row r="466">
      <c r="D466" s="98"/>
      <c r="E466" s="98"/>
      <c r="F466" s="98"/>
      <c r="G466" s="98"/>
      <c r="H466" s="98"/>
    </row>
    <row r="467">
      <c r="D467" s="98"/>
      <c r="E467" s="98"/>
      <c r="F467" s="98"/>
      <c r="G467" s="98"/>
      <c r="H467" s="98"/>
    </row>
    <row r="468">
      <c r="D468" s="98"/>
      <c r="E468" s="98"/>
      <c r="F468" s="98"/>
      <c r="G468" s="98"/>
      <c r="H468" s="98"/>
    </row>
    <row r="469">
      <c r="D469" s="98"/>
      <c r="E469" s="98"/>
      <c r="F469" s="98"/>
      <c r="G469" s="98"/>
      <c r="H469" s="98"/>
    </row>
    <row r="470">
      <c r="D470" s="98"/>
      <c r="E470" s="98"/>
      <c r="F470" s="98"/>
      <c r="G470" s="98"/>
      <c r="H470" s="98"/>
    </row>
    <row r="471">
      <c r="D471" s="98"/>
      <c r="E471" s="98"/>
      <c r="F471" s="98"/>
      <c r="G471" s="98"/>
      <c r="H471" s="98"/>
    </row>
    <row r="472">
      <c r="D472" s="98"/>
      <c r="E472" s="98"/>
      <c r="F472" s="98"/>
      <c r="G472" s="98"/>
      <c r="H472" s="98"/>
    </row>
    <row r="473">
      <c r="D473" s="98"/>
      <c r="E473" s="98"/>
      <c r="F473" s="98"/>
      <c r="G473" s="98"/>
      <c r="H473" s="98"/>
    </row>
    <row r="474">
      <c r="D474" s="98"/>
      <c r="E474" s="98"/>
      <c r="F474" s="98"/>
      <c r="G474" s="98"/>
      <c r="H474" s="98"/>
    </row>
    <row r="475">
      <c r="D475" s="98"/>
      <c r="E475" s="98"/>
      <c r="F475" s="98"/>
      <c r="G475" s="98"/>
      <c r="H475" s="98"/>
    </row>
    <row r="476">
      <c r="D476" s="98"/>
      <c r="E476" s="98"/>
      <c r="F476" s="98"/>
      <c r="G476" s="98"/>
      <c r="H476" s="98"/>
    </row>
    <row r="477">
      <c r="D477" s="98"/>
      <c r="E477" s="98"/>
      <c r="F477" s="98"/>
      <c r="G477" s="98"/>
      <c r="H477" s="98"/>
    </row>
    <row r="478">
      <c r="D478" s="98"/>
      <c r="E478" s="98"/>
      <c r="F478" s="98"/>
      <c r="G478" s="98"/>
      <c r="H478" s="98"/>
    </row>
    <row r="479">
      <c r="D479" s="98"/>
      <c r="E479" s="98"/>
      <c r="F479" s="98"/>
      <c r="G479" s="98"/>
      <c r="H479" s="98"/>
    </row>
    <row r="480">
      <c r="D480" s="98"/>
      <c r="E480" s="98"/>
      <c r="F480" s="98"/>
      <c r="G480" s="98"/>
      <c r="H480" s="98"/>
    </row>
    <row r="481">
      <c r="D481" s="98"/>
      <c r="E481" s="98"/>
      <c r="F481" s="98"/>
      <c r="G481" s="98"/>
      <c r="H481" s="98"/>
    </row>
    <row r="482">
      <c r="D482" s="98"/>
      <c r="E482" s="98"/>
      <c r="F482" s="98"/>
      <c r="G482" s="98"/>
      <c r="H482" s="98"/>
    </row>
    <row r="483">
      <c r="D483" s="98"/>
      <c r="E483" s="98"/>
      <c r="F483" s="98"/>
      <c r="G483" s="98"/>
      <c r="H483" s="98"/>
    </row>
    <row r="484">
      <c r="D484" s="98"/>
      <c r="E484" s="98"/>
      <c r="F484" s="98"/>
      <c r="G484" s="98"/>
      <c r="H484" s="98"/>
    </row>
    <row r="485">
      <c r="D485" s="98"/>
      <c r="E485" s="98"/>
      <c r="F485" s="98"/>
      <c r="G485" s="98"/>
      <c r="H485" s="98"/>
    </row>
    <row r="486">
      <c r="D486" s="98"/>
      <c r="E486" s="98"/>
      <c r="F486" s="98"/>
      <c r="G486" s="98"/>
      <c r="H486" s="98"/>
    </row>
    <row r="487">
      <c r="D487" s="98"/>
      <c r="E487" s="98"/>
      <c r="F487" s="98"/>
      <c r="G487" s="98"/>
      <c r="H487" s="98"/>
    </row>
    <row r="488">
      <c r="D488" s="98"/>
      <c r="E488" s="98"/>
      <c r="F488" s="98"/>
      <c r="G488" s="98"/>
      <c r="H488" s="98"/>
    </row>
    <row r="489">
      <c r="D489" s="98"/>
      <c r="E489" s="98"/>
      <c r="F489" s="98"/>
      <c r="G489" s="98"/>
      <c r="H489" s="98"/>
    </row>
    <row r="490">
      <c r="D490" s="98"/>
      <c r="E490" s="98"/>
      <c r="F490" s="98"/>
      <c r="G490" s="98"/>
      <c r="H490" s="98"/>
    </row>
    <row r="491">
      <c r="D491" s="98"/>
      <c r="E491" s="98"/>
      <c r="F491" s="98"/>
      <c r="G491" s="98"/>
      <c r="H491" s="98"/>
    </row>
    <row r="492">
      <c r="D492" s="98"/>
      <c r="E492" s="98"/>
      <c r="F492" s="98"/>
      <c r="G492" s="98"/>
      <c r="H492" s="98"/>
    </row>
    <row r="493">
      <c r="D493" s="98"/>
      <c r="E493" s="98"/>
      <c r="F493" s="98"/>
      <c r="G493" s="98"/>
      <c r="H493" s="98"/>
    </row>
    <row r="494">
      <c r="D494" s="98"/>
      <c r="E494" s="98"/>
      <c r="F494" s="98"/>
      <c r="G494" s="98"/>
      <c r="H494" s="98"/>
    </row>
    <row r="495">
      <c r="D495" s="98"/>
      <c r="E495" s="98"/>
      <c r="F495" s="98"/>
      <c r="G495" s="98"/>
      <c r="H495" s="98"/>
    </row>
    <row r="496">
      <c r="D496" s="98"/>
      <c r="E496" s="98"/>
      <c r="F496" s="98"/>
      <c r="G496" s="98"/>
      <c r="H496" s="98"/>
    </row>
    <row r="497">
      <c r="D497" s="98"/>
      <c r="E497" s="98"/>
      <c r="F497" s="98"/>
      <c r="G497" s="98"/>
      <c r="H497" s="98"/>
    </row>
    <row r="498">
      <c r="D498" s="98"/>
      <c r="E498" s="98"/>
      <c r="F498" s="98"/>
      <c r="G498" s="98"/>
      <c r="H498" s="98"/>
    </row>
    <row r="499">
      <c r="D499" s="98"/>
      <c r="E499" s="98"/>
      <c r="F499" s="98"/>
      <c r="G499" s="98"/>
      <c r="H499" s="98"/>
    </row>
    <row r="500">
      <c r="D500" s="98"/>
      <c r="E500" s="98"/>
      <c r="F500" s="98"/>
      <c r="G500" s="98"/>
      <c r="H500" s="98"/>
    </row>
    <row r="501">
      <c r="D501" s="98"/>
      <c r="E501" s="98"/>
      <c r="F501" s="98"/>
      <c r="G501" s="98"/>
      <c r="H501" s="98"/>
    </row>
    <row r="502">
      <c r="D502" s="98"/>
      <c r="E502" s="98"/>
      <c r="F502" s="98"/>
      <c r="G502" s="98"/>
      <c r="H502" s="98"/>
    </row>
    <row r="503">
      <c r="D503" s="98"/>
      <c r="E503" s="98"/>
      <c r="F503" s="98"/>
      <c r="G503" s="98"/>
      <c r="H503" s="98"/>
    </row>
    <row r="504">
      <c r="D504" s="98"/>
      <c r="E504" s="98"/>
      <c r="F504" s="98"/>
      <c r="G504" s="98"/>
      <c r="H504" s="98"/>
    </row>
    <row r="505">
      <c r="D505" s="98"/>
      <c r="E505" s="98"/>
      <c r="F505" s="98"/>
      <c r="G505" s="98"/>
      <c r="H505" s="98"/>
    </row>
    <row r="506">
      <c r="D506" s="98"/>
      <c r="E506" s="98"/>
      <c r="F506" s="98"/>
      <c r="G506" s="98"/>
      <c r="H506" s="98"/>
    </row>
    <row r="507">
      <c r="D507" s="98"/>
      <c r="E507" s="98"/>
      <c r="F507" s="98"/>
      <c r="G507" s="98"/>
      <c r="H507" s="98"/>
    </row>
    <row r="508">
      <c r="D508" s="98"/>
      <c r="E508" s="98"/>
      <c r="F508" s="98"/>
      <c r="G508" s="98"/>
      <c r="H508" s="98"/>
    </row>
    <row r="509">
      <c r="D509" s="98"/>
      <c r="E509" s="98"/>
      <c r="F509" s="98"/>
      <c r="G509" s="98"/>
      <c r="H509" s="98"/>
    </row>
    <row r="510">
      <c r="D510" s="98"/>
      <c r="E510" s="98"/>
      <c r="F510" s="98"/>
      <c r="G510" s="98"/>
      <c r="H510" s="98"/>
    </row>
    <row r="511">
      <c r="D511" s="98"/>
      <c r="E511" s="98"/>
      <c r="F511" s="98"/>
      <c r="G511" s="98"/>
      <c r="H511" s="98"/>
    </row>
    <row r="512">
      <c r="D512" s="98"/>
      <c r="E512" s="98"/>
      <c r="F512" s="98"/>
      <c r="G512" s="98"/>
      <c r="H512" s="98"/>
    </row>
    <row r="513">
      <c r="D513" s="98"/>
      <c r="E513" s="98"/>
      <c r="F513" s="98"/>
      <c r="G513" s="98"/>
      <c r="H513" s="98"/>
    </row>
    <row r="514">
      <c r="D514" s="98"/>
      <c r="E514" s="98"/>
      <c r="F514" s="98"/>
      <c r="G514" s="98"/>
      <c r="H514" s="98"/>
    </row>
    <row r="515">
      <c r="D515" s="98"/>
      <c r="E515" s="98"/>
      <c r="F515" s="98"/>
      <c r="G515" s="98"/>
      <c r="H515" s="98"/>
    </row>
    <row r="516">
      <c r="D516" s="98"/>
      <c r="E516" s="98"/>
      <c r="F516" s="98"/>
      <c r="G516" s="98"/>
      <c r="H516" s="98"/>
    </row>
    <row r="517">
      <c r="D517" s="98"/>
      <c r="E517" s="98"/>
      <c r="F517" s="98"/>
      <c r="G517" s="98"/>
      <c r="H517" s="98"/>
    </row>
    <row r="518">
      <c r="D518" s="98"/>
      <c r="E518" s="98"/>
      <c r="F518" s="98"/>
      <c r="G518" s="98"/>
      <c r="H518" s="98"/>
    </row>
    <row r="519">
      <c r="D519" s="98"/>
      <c r="E519" s="98"/>
      <c r="F519" s="98"/>
      <c r="G519" s="98"/>
      <c r="H519" s="98"/>
    </row>
    <row r="520">
      <c r="D520" s="98"/>
      <c r="E520" s="98"/>
      <c r="F520" s="98"/>
      <c r="G520" s="98"/>
      <c r="H520" s="98"/>
    </row>
    <row r="521">
      <c r="D521" s="98"/>
      <c r="E521" s="98"/>
      <c r="F521" s="98"/>
      <c r="G521" s="98"/>
      <c r="H521" s="98"/>
    </row>
    <row r="522">
      <c r="D522" s="98"/>
      <c r="E522" s="98"/>
      <c r="F522" s="98"/>
      <c r="G522" s="98"/>
      <c r="H522" s="98"/>
    </row>
    <row r="523">
      <c r="D523" s="98"/>
      <c r="E523" s="98"/>
      <c r="F523" s="98"/>
      <c r="G523" s="98"/>
      <c r="H523" s="98"/>
    </row>
    <row r="524">
      <c r="D524" s="98"/>
      <c r="E524" s="98"/>
      <c r="F524" s="98"/>
      <c r="G524" s="98"/>
      <c r="H524" s="98"/>
    </row>
    <row r="525">
      <c r="D525" s="98"/>
      <c r="E525" s="98"/>
      <c r="F525" s="98"/>
      <c r="G525" s="98"/>
      <c r="H525" s="98"/>
    </row>
    <row r="526">
      <c r="D526" s="98"/>
      <c r="E526" s="98"/>
      <c r="F526" s="98"/>
      <c r="G526" s="98"/>
      <c r="H526" s="98"/>
    </row>
    <row r="527">
      <c r="D527" s="98"/>
      <c r="E527" s="98"/>
      <c r="F527" s="98"/>
      <c r="G527" s="98"/>
      <c r="H527" s="98"/>
    </row>
    <row r="528">
      <c r="D528" s="98"/>
      <c r="E528" s="98"/>
      <c r="F528" s="98"/>
      <c r="G528" s="98"/>
      <c r="H528" s="98"/>
    </row>
    <row r="529">
      <c r="D529" s="98"/>
      <c r="E529" s="98"/>
      <c r="F529" s="98"/>
      <c r="G529" s="98"/>
      <c r="H529" s="98"/>
    </row>
    <row r="530">
      <c r="D530" s="98"/>
      <c r="E530" s="98"/>
      <c r="F530" s="98"/>
      <c r="G530" s="98"/>
      <c r="H530" s="98"/>
    </row>
    <row r="531">
      <c r="D531" s="98"/>
      <c r="E531" s="98"/>
      <c r="F531" s="98"/>
      <c r="G531" s="98"/>
      <c r="H531" s="98"/>
    </row>
    <row r="532">
      <c r="D532" s="98"/>
      <c r="E532" s="98"/>
      <c r="F532" s="98"/>
      <c r="G532" s="98"/>
      <c r="H532" s="98"/>
    </row>
    <row r="533">
      <c r="D533" s="98"/>
      <c r="E533" s="98"/>
      <c r="F533" s="98"/>
      <c r="G533" s="98"/>
      <c r="H533" s="98"/>
    </row>
    <row r="534">
      <c r="D534" s="98"/>
      <c r="E534" s="98"/>
      <c r="F534" s="98"/>
      <c r="G534" s="98"/>
      <c r="H534" s="98"/>
    </row>
    <row r="535">
      <c r="D535" s="98"/>
      <c r="E535" s="98"/>
      <c r="F535" s="98"/>
      <c r="G535" s="98"/>
      <c r="H535" s="98"/>
    </row>
    <row r="536">
      <c r="D536" s="98"/>
      <c r="E536" s="98"/>
      <c r="F536" s="98"/>
      <c r="G536" s="98"/>
      <c r="H536" s="98"/>
    </row>
    <row r="537">
      <c r="D537" s="98"/>
      <c r="E537" s="98"/>
      <c r="F537" s="98"/>
      <c r="G537" s="98"/>
      <c r="H537" s="98"/>
    </row>
    <row r="538">
      <c r="D538" s="98"/>
      <c r="E538" s="98"/>
      <c r="F538" s="98"/>
      <c r="G538" s="98"/>
      <c r="H538" s="98"/>
    </row>
    <row r="539">
      <c r="D539" s="98"/>
      <c r="E539" s="98"/>
      <c r="F539" s="98"/>
      <c r="G539" s="98"/>
      <c r="H539" s="98"/>
    </row>
    <row r="540">
      <c r="D540" s="98"/>
      <c r="E540" s="98"/>
      <c r="F540" s="98"/>
      <c r="G540" s="98"/>
      <c r="H540" s="98"/>
    </row>
    <row r="541">
      <c r="D541" s="98"/>
      <c r="E541" s="98"/>
      <c r="F541" s="98"/>
      <c r="G541" s="98"/>
      <c r="H541" s="98"/>
    </row>
    <row r="542">
      <c r="D542" s="98"/>
      <c r="E542" s="98"/>
      <c r="F542" s="98"/>
      <c r="G542" s="98"/>
      <c r="H542" s="98"/>
    </row>
    <row r="543">
      <c r="D543" s="98"/>
      <c r="E543" s="98"/>
      <c r="F543" s="98"/>
      <c r="G543" s="98"/>
      <c r="H543" s="98"/>
    </row>
    <row r="544">
      <c r="D544" s="98"/>
      <c r="E544" s="98"/>
      <c r="F544" s="98"/>
      <c r="G544" s="98"/>
      <c r="H544" s="98"/>
    </row>
    <row r="545">
      <c r="D545" s="98"/>
      <c r="E545" s="98"/>
      <c r="F545" s="98"/>
      <c r="G545" s="98"/>
      <c r="H545" s="98"/>
    </row>
    <row r="546">
      <c r="D546" s="98"/>
      <c r="E546" s="98"/>
      <c r="F546" s="98"/>
      <c r="G546" s="98"/>
      <c r="H546" s="98"/>
    </row>
    <row r="547">
      <c r="D547" s="98"/>
      <c r="E547" s="98"/>
      <c r="F547" s="98"/>
      <c r="G547" s="98"/>
      <c r="H547" s="98"/>
    </row>
    <row r="548">
      <c r="D548" s="98"/>
      <c r="E548" s="98"/>
      <c r="F548" s="98"/>
      <c r="G548" s="98"/>
      <c r="H548" s="98"/>
    </row>
    <row r="549">
      <c r="D549" s="98"/>
      <c r="E549" s="98"/>
      <c r="F549" s="98"/>
      <c r="G549" s="98"/>
      <c r="H549" s="98"/>
    </row>
    <row r="550">
      <c r="D550" s="98"/>
      <c r="E550" s="98"/>
      <c r="F550" s="98"/>
      <c r="G550" s="98"/>
      <c r="H550" s="98"/>
    </row>
    <row r="551">
      <c r="D551" s="98"/>
      <c r="E551" s="98"/>
      <c r="F551" s="98"/>
      <c r="G551" s="98"/>
      <c r="H551" s="98"/>
    </row>
    <row r="552">
      <c r="D552" s="98"/>
      <c r="E552" s="98"/>
      <c r="F552" s="98"/>
      <c r="G552" s="98"/>
      <c r="H552" s="98"/>
    </row>
    <row r="553">
      <c r="D553" s="98"/>
      <c r="E553" s="98"/>
      <c r="F553" s="98"/>
      <c r="G553" s="98"/>
      <c r="H553" s="98"/>
    </row>
    <row r="554">
      <c r="D554" s="98"/>
      <c r="E554" s="98"/>
      <c r="F554" s="98"/>
      <c r="G554" s="98"/>
      <c r="H554" s="98"/>
    </row>
    <row r="555">
      <c r="D555" s="98"/>
      <c r="E555" s="98"/>
      <c r="F555" s="98"/>
      <c r="G555" s="98"/>
      <c r="H555" s="98"/>
    </row>
    <row r="556">
      <c r="D556" s="98"/>
      <c r="E556" s="98"/>
      <c r="F556" s="98"/>
      <c r="G556" s="98"/>
      <c r="H556" s="98"/>
    </row>
    <row r="557">
      <c r="D557" s="98"/>
      <c r="E557" s="98"/>
      <c r="F557" s="98"/>
      <c r="G557" s="98"/>
      <c r="H557" s="98"/>
    </row>
    <row r="558">
      <c r="D558" s="98"/>
      <c r="E558" s="98"/>
      <c r="F558" s="98"/>
      <c r="G558" s="98"/>
      <c r="H558" s="98"/>
    </row>
    <row r="559">
      <c r="D559" s="98"/>
      <c r="E559" s="98"/>
      <c r="F559" s="98"/>
      <c r="G559" s="98"/>
      <c r="H559" s="98"/>
    </row>
    <row r="560">
      <c r="D560" s="98"/>
      <c r="E560" s="98"/>
      <c r="F560" s="98"/>
      <c r="G560" s="98"/>
      <c r="H560" s="98"/>
    </row>
    <row r="561">
      <c r="D561" s="98"/>
      <c r="E561" s="98"/>
      <c r="F561" s="98"/>
      <c r="G561" s="98"/>
      <c r="H561" s="98"/>
    </row>
    <row r="562">
      <c r="D562" s="98"/>
      <c r="E562" s="98"/>
      <c r="F562" s="98"/>
      <c r="G562" s="98"/>
      <c r="H562" s="98"/>
    </row>
    <row r="563">
      <c r="D563" s="98"/>
      <c r="E563" s="98"/>
      <c r="F563" s="98"/>
      <c r="G563" s="98"/>
      <c r="H563" s="98"/>
    </row>
    <row r="564">
      <c r="D564" s="98"/>
      <c r="E564" s="98"/>
      <c r="F564" s="98"/>
      <c r="G564" s="98"/>
      <c r="H564" s="98"/>
    </row>
    <row r="565">
      <c r="D565" s="98"/>
      <c r="E565" s="98"/>
      <c r="F565" s="98"/>
      <c r="G565" s="98"/>
      <c r="H565" s="98"/>
    </row>
    <row r="566">
      <c r="D566" s="98"/>
      <c r="E566" s="98"/>
      <c r="F566" s="98"/>
      <c r="G566" s="98"/>
      <c r="H566" s="98"/>
    </row>
    <row r="567">
      <c r="D567" s="98"/>
      <c r="E567" s="98"/>
      <c r="F567" s="98"/>
      <c r="G567" s="98"/>
      <c r="H567" s="98"/>
    </row>
    <row r="568">
      <c r="D568" s="98"/>
      <c r="E568" s="98"/>
      <c r="F568" s="98"/>
      <c r="G568" s="98"/>
      <c r="H568" s="98"/>
    </row>
    <row r="569">
      <c r="D569" s="98"/>
      <c r="E569" s="98"/>
      <c r="F569" s="98"/>
      <c r="G569" s="98"/>
      <c r="H569" s="98"/>
    </row>
    <row r="570">
      <c r="D570" s="98"/>
      <c r="E570" s="98"/>
      <c r="F570" s="98"/>
      <c r="G570" s="98"/>
      <c r="H570" s="98"/>
    </row>
    <row r="571">
      <c r="D571" s="98"/>
      <c r="E571" s="98"/>
      <c r="F571" s="98"/>
      <c r="G571" s="98"/>
      <c r="H571" s="98"/>
    </row>
    <row r="572">
      <c r="D572" s="98"/>
      <c r="E572" s="98"/>
      <c r="F572" s="98"/>
      <c r="G572" s="98"/>
      <c r="H572" s="98"/>
    </row>
    <row r="573">
      <c r="D573" s="98"/>
      <c r="E573" s="98"/>
      <c r="F573" s="98"/>
      <c r="G573" s="98"/>
      <c r="H573" s="98"/>
    </row>
    <row r="574">
      <c r="D574" s="98"/>
      <c r="E574" s="98"/>
      <c r="F574" s="98"/>
      <c r="G574" s="98"/>
      <c r="H574" s="98"/>
    </row>
    <row r="575">
      <c r="D575" s="98"/>
      <c r="E575" s="98"/>
      <c r="F575" s="98"/>
      <c r="G575" s="98"/>
      <c r="H575" s="98"/>
    </row>
    <row r="576">
      <c r="D576" s="98"/>
      <c r="E576" s="98"/>
      <c r="F576" s="98"/>
      <c r="G576" s="98"/>
      <c r="H576" s="98"/>
    </row>
    <row r="577">
      <c r="D577" s="98"/>
      <c r="E577" s="98"/>
      <c r="F577" s="98"/>
      <c r="G577" s="98"/>
      <c r="H577" s="98"/>
    </row>
    <row r="578">
      <c r="D578" s="98"/>
      <c r="E578" s="98"/>
      <c r="F578" s="98"/>
      <c r="G578" s="98"/>
      <c r="H578" s="98"/>
    </row>
    <row r="579">
      <c r="D579" s="98"/>
      <c r="E579" s="98"/>
      <c r="F579" s="98"/>
      <c r="G579" s="98"/>
      <c r="H579" s="98"/>
    </row>
    <row r="580">
      <c r="D580" s="98"/>
      <c r="E580" s="98"/>
      <c r="F580" s="98"/>
      <c r="G580" s="98"/>
      <c r="H580" s="98"/>
    </row>
    <row r="581">
      <c r="D581" s="98"/>
      <c r="E581" s="98"/>
      <c r="F581" s="98"/>
      <c r="G581" s="98"/>
      <c r="H581" s="98"/>
    </row>
    <row r="582">
      <c r="D582" s="98"/>
      <c r="E582" s="98"/>
      <c r="F582" s="98"/>
      <c r="G582" s="98"/>
      <c r="H582" s="98"/>
    </row>
    <row r="583">
      <c r="D583" s="98"/>
      <c r="E583" s="98"/>
      <c r="F583" s="98"/>
      <c r="G583" s="98"/>
      <c r="H583" s="98"/>
    </row>
    <row r="584">
      <c r="D584" s="98"/>
      <c r="E584" s="98"/>
      <c r="F584" s="98"/>
      <c r="G584" s="98"/>
      <c r="H584" s="98"/>
    </row>
    <row r="585">
      <c r="D585" s="98"/>
      <c r="E585" s="98"/>
      <c r="F585" s="98"/>
      <c r="G585" s="98"/>
      <c r="H585" s="98"/>
    </row>
    <row r="586">
      <c r="D586" s="98"/>
      <c r="E586" s="98"/>
      <c r="F586" s="98"/>
      <c r="G586" s="98"/>
      <c r="H586" s="98"/>
    </row>
    <row r="587">
      <c r="D587" s="98"/>
      <c r="E587" s="98"/>
      <c r="F587" s="98"/>
      <c r="G587" s="98"/>
      <c r="H587" s="98"/>
    </row>
    <row r="588">
      <c r="D588" s="98"/>
      <c r="E588" s="98"/>
      <c r="F588" s="98"/>
      <c r="G588" s="98"/>
      <c r="H588" s="98"/>
    </row>
    <row r="589">
      <c r="D589" s="98"/>
      <c r="E589" s="98"/>
      <c r="F589" s="98"/>
      <c r="G589" s="98"/>
      <c r="H589" s="98"/>
    </row>
    <row r="590">
      <c r="D590" s="98"/>
      <c r="E590" s="98"/>
      <c r="F590" s="98"/>
      <c r="G590" s="98"/>
      <c r="H590" s="98"/>
    </row>
    <row r="591">
      <c r="D591" s="98"/>
      <c r="E591" s="98"/>
      <c r="F591" s="98"/>
      <c r="G591" s="98"/>
      <c r="H591" s="98"/>
    </row>
    <row r="592">
      <c r="D592" s="98"/>
      <c r="E592" s="98"/>
      <c r="F592" s="98"/>
      <c r="G592" s="98"/>
      <c r="H592" s="98"/>
    </row>
    <row r="593">
      <c r="D593" s="98"/>
      <c r="E593" s="98"/>
      <c r="F593" s="98"/>
      <c r="G593" s="98"/>
      <c r="H593" s="98"/>
    </row>
    <row r="594">
      <c r="D594" s="98"/>
      <c r="E594" s="98"/>
      <c r="F594" s="98"/>
      <c r="G594" s="98"/>
      <c r="H594" s="98"/>
    </row>
    <row r="595">
      <c r="D595" s="98"/>
      <c r="E595" s="98"/>
      <c r="F595" s="98"/>
      <c r="G595" s="98"/>
      <c r="H595" s="98"/>
    </row>
    <row r="596">
      <c r="D596" s="98"/>
      <c r="E596" s="98"/>
      <c r="F596" s="98"/>
      <c r="G596" s="98"/>
      <c r="H596" s="98"/>
    </row>
    <row r="597">
      <c r="D597" s="98"/>
      <c r="E597" s="98"/>
      <c r="F597" s="98"/>
      <c r="G597" s="98"/>
      <c r="H597" s="98"/>
    </row>
    <row r="598">
      <c r="D598" s="98"/>
      <c r="E598" s="98"/>
      <c r="F598" s="98"/>
      <c r="G598" s="98"/>
      <c r="H598" s="98"/>
    </row>
    <row r="599">
      <c r="D599" s="98"/>
      <c r="E599" s="98"/>
      <c r="F599" s="98"/>
      <c r="G599" s="98"/>
      <c r="H599" s="98"/>
    </row>
    <row r="600">
      <c r="D600" s="98"/>
      <c r="E600" s="98"/>
      <c r="F600" s="98"/>
      <c r="G600" s="98"/>
      <c r="H600" s="98"/>
    </row>
    <row r="601">
      <c r="D601" s="98"/>
      <c r="E601" s="98"/>
      <c r="F601" s="98"/>
      <c r="G601" s="98"/>
      <c r="H601" s="98"/>
    </row>
    <row r="602">
      <c r="D602" s="98"/>
      <c r="E602" s="98"/>
      <c r="F602" s="98"/>
      <c r="G602" s="98"/>
      <c r="H602" s="98"/>
    </row>
    <row r="603">
      <c r="D603" s="98"/>
      <c r="E603" s="98"/>
      <c r="F603" s="98"/>
      <c r="G603" s="98"/>
      <c r="H603" s="98"/>
    </row>
    <row r="604">
      <c r="D604" s="98"/>
      <c r="E604" s="98"/>
      <c r="F604" s="98"/>
      <c r="G604" s="98"/>
      <c r="H604" s="98"/>
    </row>
    <row r="605">
      <c r="D605" s="98"/>
      <c r="E605" s="98"/>
      <c r="F605" s="98"/>
      <c r="G605" s="98"/>
      <c r="H605" s="98"/>
    </row>
    <row r="606">
      <c r="D606" s="98"/>
      <c r="E606" s="98"/>
      <c r="F606" s="98"/>
      <c r="G606" s="98"/>
      <c r="H606" s="98"/>
    </row>
    <row r="607">
      <c r="D607" s="98"/>
      <c r="E607" s="98"/>
      <c r="F607" s="98"/>
      <c r="G607" s="98"/>
      <c r="H607" s="98"/>
    </row>
    <row r="608">
      <c r="D608" s="98"/>
      <c r="E608" s="98"/>
      <c r="F608" s="98"/>
      <c r="G608" s="98"/>
      <c r="H608" s="98"/>
    </row>
    <row r="609">
      <c r="D609" s="98"/>
      <c r="E609" s="98"/>
      <c r="F609" s="98"/>
      <c r="G609" s="98"/>
      <c r="H609" s="98"/>
    </row>
    <row r="610">
      <c r="D610" s="98"/>
      <c r="E610" s="98"/>
      <c r="F610" s="98"/>
      <c r="G610" s="98"/>
      <c r="H610" s="98"/>
    </row>
    <row r="611">
      <c r="D611" s="98"/>
      <c r="E611" s="98"/>
      <c r="F611" s="98"/>
      <c r="G611" s="98"/>
      <c r="H611" s="98"/>
    </row>
    <row r="612">
      <c r="D612" s="98"/>
      <c r="E612" s="98"/>
      <c r="F612" s="98"/>
      <c r="G612" s="98"/>
      <c r="H612" s="98"/>
    </row>
    <row r="613">
      <c r="D613" s="98"/>
      <c r="E613" s="98"/>
      <c r="F613" s="98"/>
      <c r="G613" s="98"/>
      <c r="H613" s="98"/>
    </row>
    <row r="614">
      <c r="D614" s="98"/>
      <c r="E614" s="98"/>
      <c r="F614" s="98"/>
      <c r="G614" s="98"/>
      <c r="H614" s="98"/>
    </row>
    <row r="615">
      <c r="D615" s="98"/>
      <c r="E615" s="98"/>
      <c r="F615" s="98"/>
      <c r="G615" s="98"/>
      <c r="H615" s="98"/>
    </row>
    <row r="616">
      <c r="D616" s="98"/>
      <c r="E616" s="98"/>
      <c r="F616" s="98"/>
      <c r="G616" s="98"/>
      <c r="H616" s="98"/>
    </row>
    <row r="617">
      <c r="D617" s="98"/>
      <c r="E617" s="98"/>
      <c r="F617" s="98"/>
      <c r="G617" s="98"/>
      <c r="H617" s="98"/>
    </row>
    <row r="618">
      <c r="D618" s="98"/>
      <c r="E618" s="98"/>
      <c r="F618" s="98"/>
      <c r="G618" s="98"/>
      <c r="H618" s="98"/>
    </row>
    <row r="619">
      <c r="D619" s="98"/>
      <c r="E619" s="98"/>
      <c r="F619" s="98"/>
      <c r="G619" s="98"/>
      <c r="H619" s="98"/>
    </row>
    <row r="620">
      <c r="D620" s="98"/>
      <c r="E620" s="98"/>
      <c r="F620" s="98"/>
      <c r="G620" s="98"/>
      <c r="H620" s="98"/>
    </row>
    <row r="621">
      <c r="D621" s="98"/>
      <c r="E621" s="98"/>
      <c r="F621" s="98"/>
      <c r="G621" s="98"/>
      <c r="H621" s="98"/>
    </row>
    <row r="622">
      <c r="D622" s="98"/>
      <c r="E622" s="98"/>
      <c r="F622" s="98"/>
      <c r="G622" s="98"/>
      <c r="H622" s="98"/>
    </row>
    <row r="623">
      <c r="D623" s="98"/>
      <c r="E623" s="98"/>
      <c r="F623" s="98"/>
      <c r="G623" s="98"/>
      <c r="H623" s="98"/>
    </row>
    <row r="624">
      <c r="D624" s="98"/>
      <c r="E624" s="98"/>
      <c r="F624" s="98"/>
      <c r="G624" s="98"/>
      <c r="H624" s="98"/>
    </row>
    <row r="625">
      <c r="D625" s="98"/>
      <c r="E625" s="98"/>
      <c r="F625" s="98"/>
      <c r="G625" s="98"/>
      <c r="H625" s="98"/>
    </row>
    <row r="626">
      <c r="D626" s="98"/>
      <c r="E626" s="98"/>
      <c r="F626" s="98"/>
      <c r="G626" s="98"/>
      <c r="H626" s="98"/>
    </row>
    <row r="627">
      <c r="D627" s="98"/>
      <c r="E627" s="98"/>
      <c r="F627" s="98"/>
      <c r="G627" s="98"/>
      <c r="H627" s="98"/>
    </row>
    <row r="628">
      <c r="D628" s="98"/>
      <c r="E628" s="98"/>
      <c r="F628" s="98"/>
      <c r="G628" s="98"/>
      <c r="H628" s="98"/>
    </row>
    <row r="629">
      <c r="D629" s="98"/>
      <c r="E629" s="98"/>
      <c r="F629" s="98"/>
      <c r="G629" s="98"/>
      <c r="H629" s="98"/>
    </row>
    <row r="630">
      <c r="D630" s="98"/>
      <c r="E630" s="98"/>
      <c r="F630" s="98"/>
      <c r="G630" s="98"/>
      <c r="H630" s="98"/>
    </row>
    <row r="631">
      <c r="D631" s="98"/>
      <c r="E631" s="98"/>
      <c r="F631" s="98"/>
      <c r="G631" s="98"/>
      <c r="H631" s="98"/>
    </row>
    <row r="632">
      <c r="D632" s="98"/>
      <c r="E632" s="98"/>
      <c r="F632" s="98"/>
      <c r="G632" s="98"/>
      <c r="H632" s="98"/>
    </row>
    <row r="633">
      <c r="D633" s="98"/>
      <c r="E633" s="98"/>
      <c r="F633" s="98"/>
      <c r="G633" s="98"/>
      <c r="H633" s="98"/>
    </row>
    <row r="634">
      <c r="D634" s="98"/>
      <c r="E634" s="98"/>
      <c r="F634" s="98"/>
      <c r="G634" s="98"/>
      <c r="H634" s="98"/>
    </row>
    <row r="635">
      <c r="D635" s="98"/>
      <c r="E635" s="98"/>
      <c r="F635" s="98"/>
      <c r="G635" s="98"/>
      <c r="H635" s="98"/>
    </row>
    <row r="636">
      <c r="D636" s="98"/>
      <c r="E636" s="98"/>
      <c r="F636" s="98"/>
      <c r="G636" s="98"/>
      <c r="H636" s="98"/>
    </row>
    <row r="637">
      <c r="D637" s="98"/>
      <c r="E637" s="98"/>
      <c r="F637" s="98"/>
      <c r="G637" s="98"/>
      <c r="H637" s="98"/>
    </row>
    <row r="638">
      <c r="D638" s="98"/>
      <c r="E638" s="98"/>
      <c r="F638" s="98"/>
      <c r="G638" s="98"/>
      <c r="H638" s="98"/>
    </row>
    <row r="639">
      <c r="D639" s="98"/>
      <c r="E639" s="98"/>
      <c r="F639" s="98"/>
      <c r="G639" s="98"/>
      <c r="H639" s="98"/>
    </row>
    <row r="640">
      <c r="D640" s="98"/>
      <c r="E640" s="98"/>
      <c r="F640" s="98"/>
      <c r="G640" s="98"/>
      <c r="H640" s="98"/>
    </row>
    <row r="641">
      <c r="D641" s="98"/>
      <c r="E641" s="98"/>
      <c r="F641" s="98"/>
      <c r="G641" s="98"/>
      <c r="H641" s="98"/>
    </row>
    <row r="642">
      <c r="D642" s="98"/>
      <c r="E642" s="98"/>
      <c r="F642" s="98"/>
      <c r="G642" s="98"/>
      <c r="H642" s="98"/>
    </row>
    <row r="643">
      <c r="D643" s="98"/>
      <c r="E643" s="98"/>
      <c r="F643" s="98"/>
      <c r="G643" s="98"/>
      <c r="H643" s="98"/>
    </row>
    <row r="644">
      <c r="D644" s="98"/>
      <c r="E644" s="98"/>
      <c r="F644" s="98"/>
      <c r="G644" s="98"/>
      <c r="H644" s="98"/>
    </row>
    <row r="645">
      <c r="D645" s="98"/>
      <c r="E645" s="98"/>
      <c r="F645" s="98"/>
      <c r="G645" s="98"/>
      <c r="H645" s="98"/>
    </row>
    <row r="646">
      <c r="D646" s="98"/>
      <c r="E646" s="98"/>
      <c r="F646" s="98"/>
      <c r="G646" s="98"/>
      <c r="H646" s="98"/>
    </row>
    <row r="647">
      <c r="D647" s="98"/>
      <c r="E647" s="98"/>
      <c r="F647" s="98"/>
      <c r="G647" s="98"/>
      <c r="H647" s="98"/>
    </row>
    <row r="648">
      <c r="D648" s="98"/>
      <c r="E648" s="98"/>
      <c r="F648" s="98"/>
      <c r="G648" s="98"/>
      <c r="H648" s="98"/>
    </row>
    <row r="649">
      <c r="D649" s="98"/>
      <c r="E649" s="98"/>
      <c r="F649" s="98"/>
      <c r="G649" s="98"/>
      <c r="H649" s="98"/>
    </row>
    <row r="650">
      <c r="D650" s="98"/>
      <c r="E650" s="98"/>
      <c r="F650" s="98"/>
      <c r="G650" s="98"/>
      <c r="H650" s="98"/>
    </row>
    <row r="651">
      <c r="D651" s="98"/>
      <c r="E651" s="98"/>
      <c r="F651" s="98"/>
      <c r="G651" s="98"/>
      <c r="H651" s="98"/>
    </row>
    <row r="652">
      <c r="D652" s="98"/>
      <c r="E652" s="98"/>
      <c r="F652" s="98"/>
      <c r="G652" s="98"/>
      <c r="H652" s="98"/>
    </row>
    <row r="653">
      <c r="D653" s="98"/>
      <c r="E653" s="98"/>
      <c r="F653" s="98"/>
      <c r="G653" s="98"/>
      <c r="H653" s="98"/>
    </row>
    <row r="654">
      <c r="D654" s="98"/>
      <c r="E654" s="98"/>
      <c r="F654" s="98"/>
      <c r="G654" s="98"/>
      <c r="H654" s="98"/>
    </row>
    <row r="655">
      <c r="D655" s="98"/>
      <c r="E655" s="98"/>
      <c r="F655" s="98"/>
      <c r="G655" s="98"/>
      <c r="H655" s="98"/>
    </row>
    <row r="656">
      <c r="D656" s="98"/>
      <c r="E656" s="98"/>
      <c r="F656" s="98"/>
      <c r="G656" s="98"/>
      <c r="H656" s="98"/>
    </row>
    <row r="657">
      <c r="D657" s="98"/>
      <c r="E657" s="98"/>
      <c r="F657" s="98"/>
      <c r="G657" s="98"/>
      <c r="H657" s="98"/>
    </row>
    <row r="658">
      <c r="D658" s="98"/>
      <c r="E658" s="98"/>
      <c r="F658" s="98"/>
      <c r="G658" s="98"/>
      <c r="H658" s="98"/>
    </row>
    <row r="659">
      <c r="D659" s="98"/>
      <c r="E659" s="98"/>
      <c r="F659" s="98"/>
      <c r="G659" s="98"/>
      <c r="H659" s="98"/>
    </row>
    <row r="660">
      <c r="D660" s="98"/>
      <c r="E660" s="98"/>
      <c r="F660" s="98"/>
      <c r="G660" s="98"/>
      <c r="H660" s="98"/>
    </row>
    <row r="661">
      <c r="D661" s="98"/>
      <c r="E661" s="98"/>
      <c r="F661" s="98"/>
      <c r="G661" s="98"/>
      <c r="H661" s="98"/>
    </row>
    <row r="662">
      <c r="D662" s="98"/>
      <c r="E662" s="98"/>
      <c r="F662" s="98"/>
      <c r="G662" s="98"/>
      <c r="H662" s="98"/>
    </row>
    <row r="663">
      <c r="D663" s="98"/>
      <c r="E663" s="98"/>
      <c r="F663" s="98"/>
      <c r="G663" s="98"/>
      <c r="H663" s="98"/>
    </row>
    <row r="664">
      <c r="D664" s="98"/>
      <c r="E664" s="98"/>
      <c r="F664" s="98"/>
      <c r="G664" s="98"/>
      <c r="H664" s="98"/>
    </row>
    <row r="665">
      <c r="D665" s="98"/>
      <c r="E665" s="98"/>
      <c r="F665" s="98"/>
      <c r="G665" s="98"/>
      <c r="H665" s="98"/>
    </row>
    <row r="666">
      <c r="D666" s="98"/>
      <c r="E666" s="98"/>
      <c r="F666" s="98"/>
      <c r="G666" s="98"/>
      <c r="H666" s="98"/>
    </row>
    <row r="667">
      <c r="D667" s="98"/>
      <c r="E667" s="98"/>
      <c r="F667" s="98"/>
      <c r="G667" s="98"/>
      <c r="H667" s="98"/>
    </row>
    <row r="668">
      <c r="D668" s="98"/>
      <c r="E668" s="98"/>
      <c r="F668" s="98"/>
      <c r="G668" s="98"/>
      <c r="H668" s="98"/>
    </row>
    <row r="669">
      <c r="D669" s="98"/>
      <c r="E669" s="98"/>
      <c r="F669" s="98"/>
      <c r="G669" s="98"/>
      <c r="H669" s="98"/>
    </row>
    <row r="670">
      <c r="D670" s="98"/>
      <c r="E670" s="98"/>
      <c r="F670" s="98"/>
      <c r="G670" s="98"/>
      <c r="H670" s="98"/>
    </row>
    <row r="671">
      <c r="D671" s="98"/>
      <c r="E671" s="98"/>
      <c r="F671" s="98"/>
      <c r="G671" s="98"/>
      <c r="H671" s="98"/>
    </row>
    <row r="672">
      <c r="D672" s="98"/>
      <c r="E672" s="98"/>
      <c r="F672" s="98"/>
      <c r="G672" s="98"/>
      <c r="H672" s="98"/>
    </row>
    <row r="673">
      <c r="D673" s="98"/>
      <c r="E673" s="98"/>
      <c r="F673" s="98"/>
      <c r="G673" s="98"/>
      <c r="H673" s="98"/>
    </row>
    <row r="674">
      <c r="D674" s="98"/>
      <c r="E674" s="98"/>
      <c r="F674" s="98"/>
      <c r="G674" s="98"/>
      <c r="H674" s="98"/>
    </row>
    <row r="675">
      <c r="D675" s="98"/>
      <c r="E675" s="98"/>
      <c r="F675" s="98"/>
      <c r="G675" s="98"/>
      <c r="H675" s="98"/>
    </row>
    <row r="676">
      <c r="D676" s="98"/>
      <c r="E676" s="98"/>
      <c r="F676" s="98"/>
      <c r="G676" s="98"/>
      <c r="H676" s="98"/>
    </row>
    <row r="677">
      <c r="D677" s="98"/>
      <c r="E677" s="98"/>
      <c r="F677" s="98"/>
      <c r="G677" s="98"/>
      <c r="H677" s="98"/>
    </row>
    <row r="678">
      <c r="D678" s="98"/>
      <c r="E678" s="98"/>
      <c r="F678" s="98"/>
      <c r="G678" s="98"/>
      <c r="H678" s="98"/>
    </row>
    <row r="679">
      <c r="D679" s="98"/>
      <c r="E679" s="98"/>
      <c r="F679" s="98"/>
      <c r="G679" s="98"/>
      <c r="H679" s="98"/>
    </row>
    <row r="680">
      <c r="D680" s="98"/>
      <c r="E680" s="98"/>
      <c r="F680" s="98"/>
      <c r="G680" s="98"/>
      <c r="H680" s="98"/>
    </row>
    <row r="681">
      <c r="D681" s="98"/>
      <c r="E681" s="98"/>
      <c r="F681" s="98"/>
      <c r="G681" s="98"/>
      <c r="H681" s="98"/>
    </row>
    <row r="682">
      <c r="D682" s="98"/>
      <c r="E682" s="98"/>
      <c r="F682" s="98"/>
      <c r="G682" s="98"/>
      <c r="H682" s="98"/>
    </row>
    <row r="683">
      <c r="D683" s="98"/>
      <c r="E683" s="98"/>
      <c r="F683" s="98"/>
      <c r="G683" s="98"/>
      <c r="H683" s="98"/>
    </row>
    <row r="684">
      <c r="D684" s="98"/>
      <c r="E684" s="98"/>
      <c r="F684" s="98"/>
      <c r="G684" s="98"/>
      <c r="H684" s="98"/>
    </row>
    <row r="685">
      <c r="D685" s="98"/>
      <c r="E685" s="98"/>
      <c r="F685" s="98"/>
      <c r="G685" s="98"/>
      <c r="H685" s="98"/>
    </row>
    <row r="686">
      <c r="D686" s="98"/>
      <c r="E686" s="98"/>
      <c r="F686" s="98"/>
      <c r="G686" s="98"/>
      <c r="H686" s="98"/>
    </row>
    <row r="687">
      <c r="D687" s="98"/>
      <c r="E687" s="98"/>
      <c r="F687" s="98"/>
      <c r="G687" s="98"/>
      <c r="H687" s="98"/>
    </row>
    <row r="688">
      <c r="D688" s="98"/>
      <c r="E688" s="98"/>
      <c r="F688" s="98"/>
      <c r="G688" s="98"/>
      <c r="H688" s="98"/>
    </row>
    <row r="689">
      <c r="D689" s="98"/>
      <c r="E689" s="98"/>
      <c r="F689" s="98"/>
      <c r="G689" s="98"/>
      <c r="H689" s="98"/>
    </row>
    <row r="690">
      <c r="D690" s="98"/>
      <c r="E690" s="98"/>
      <c r="F690" s="98"/>
      <c r="G690" s="98"/>
      <c r="H690" s="98"/>
    </row>
    <row r="691">
      <c r="D691" s="98"/>
      <c r="E691" s="98"/>
      <c r="F691" s="98"/>
      <c r="G691" s="98"/>
      <c r="H691" s="98"/>
    </row>
    <row r="692">
      <c r="D692" s="98"/>
      <c r="E692" s="98"/>
      <c r="F692" s="98"/>
      <c r="G692" s="98"/>
      <c r="H692" s="98"/>
    </row>
    <row r="693">
      <c r="D693" s="98"/>
      <c r="E693" s="98"/>
      <c r="F693" s="98"/>
      <c r="G693" s="98"/>
      <c r="H693" s="98"/>
    </row>
    <row r="694">
      <c r="D694" s="98"/>
      <c r="E694" s="98"/>
      <c r="F694" s="98"/>
      <c r="G694" s="98"/>
      <c r="H694" s="98"/>
    </row>
    <row r="695">
      <c r="D695" s="98"/>
      <c r="E695" s="98"/>
      <c r="F695" s="98"/>
      <c r="G695" s="98"/>
      <c r="H695" s="98"/>
    </row>
    <row r="696">
      <c r="D696" s="98"/>
      <c r="E696" s="98"/>
      <c r="F696" s="98"/>
      <c r="G696" s="98"/>
      <c r="H696" s="98"/>
    </row>
    <row r="697">
      <c r="D697" s="98"/>
      <c r="E697" s="98"/>
      <c r="F697" s="98"/>
      <c r="G697" s="98"/>
      <c r="H697" s="98"/>
    </row>
    <row r="698">
      <c r="D698" s="98"/>
      <c r="E698" s="98"/>
      <c r="F698" s="98"/>
      <c r="G698" s="98"/>
      <c r="H698" s="98"/>
    </row>
    <row r="699">
      <c r="D699" s="98"/>
      <c r="E699" s="98"/>
      <c r="F699" s="98"/>
      <c r="G699" s="98"/>
      <c r="H699" s="98"/>
    </row>
    <row r="700">
      <c r="D700" s="98"/>
      <c r="E700" s="98"/>
      <c r="F700" s="98"/>
      <c r="G700" s="98"/>
      <c r="H700" s="98"/>
    </row>
    <row r="701">
      <c r="D701" s="98"/>
      <c r="E701" s="98"/>
      <c r="F701" s="98"/>
      <c r="G701" s="98"/>
      <c r="H701" s="98"/>
    </row>
    <row r="702">
      <c r="D702" s="98"/>
      <c r="E702" s="98"/>
      <c r="F702" s="98"/>
      <c r="G702" s="98"/>
      <c r="H702" s="98"/>
    </row>
    <row r="703">
      <c r="D703" s="98"/>
      <c r="E703" s="98"/>
      <c r="F703" s="98"/>
      <c r="G703" s="98"/>
      <c r="H703" s="98"/>
    </row>
    <row r="704">
      <c r="D704" s="98"/>
      <c r="E704" s="98"/>
      <c r="F704" s="98"/>
      <c r="G704" s="98"/>
      <c r="H704" s="98"/>
    </row>
    <row r="705">
      <c r="D705" s="98"/>
      <c r="E705" s="98"/>
      <c r="F705" s="98"/>
      <c r="G705" s="98"/>
      <c r="H705" s="98"/>
    </row>
    <row r="706">
      <c r="D706" s="98"/>
      <c r="E706" s="98"/>
      <c r="F706" s="98"/>
      <c r="G706" s="98"/>
      <c r="H706" s="98"/>
    </row>
    <row r="707">
      <c r="D707" s="98"/>
      <c r="E707" s="98"/>
      <c r="F707" s="98"/>
      <c r="G707" s="98"/>
      <c r="H707" s="98"/>
    </row>
    <row r="708">
      <c r="D708" s="98"/>
      <c r="E708" s="98"/>
      <c r="F708" s="98"/>
      <c r="G708" s="98"/>
      <c r="H708" s="98"/>
    </row>
    <row r="709">
      <c r="D709" s="98"/>
      <c r="E709" s="98"/>
      <c r="F709" s="98"/>
      <c r="G709" s="98"/>
      <c r="H709" s="98"/>
    </row>
    <row r="710">
      <c r="D710" s="98"/>
      <c r="E710" s="98"/>
      <c r="F710" s="98"/>
      <c r="G710" s="98"/>
      <c r="H710" s="98"/>
    </row>
    <row r="711">
      <c r="D711" s="98"/>
      <c r="E711" s="98"/>
      <c r="F711" s="98"/>
      <c r="G711" s="98"/>
      <c r="H711" s="98"/>
    </row>
    <row r="712">
      <c r="D712" s="98"/>
      <c r="E712" s="98"/>
      <c r="F712" s="98"/>
      <c r="G712" s="98"/>
      <c r="H712" s="98"/>
    </row>
    <row r="713">
      <c r="D713" s="98"/>
      <c r="E713" s="98"/>
      <c r="F713" s="98"/>
      <c r="G713" s="98"/>
      <c r="H713" s="98"/>
    </row>
    <row r="714">
      <c r="D714" s="98"/>
      <c r="E714" s="98"/>
      <c r="F714" s="98"/>
      <c r="G714" s="98"/>
      <c r="H714" s="98"/>
    </row>
    <row r="715">
      <c r="D715" s="98"/>
      <c r="E715" s="98"/>
      <c r="F715" s="98"/>
      <c r="G715" s="98"/>
      <c r="H715" s="98"/>
    </row>
    <row r="716">
      <c r="D716" s="98"/>
      <c r="E716" s="98"/>
      <c r="F716" s="98"/>
      <c r="G716" s="98"/>
      <c r="H716" s="98"/>
    </row>
    <row r="717">
      <c r="D717" s="98"/>
      <c r="E717" s="98"/>
      <c r="F717" s="98"/>
      <c r="G717" s="98"/>
      <c r="H717" s="98"/>
    </row>
    <row r="718">
      <c r="D718" s="98"/>
      <c r="E718" s="98"/>
      <c r="F718" s="98"/>
      <c r="G718" s="98"/>
      <c r="H718" s="98"/>
    </row>
    <row r="719">
      <c r="D719" s="98"/>
      <c r="E719" s="98"/>
      <c r="F719" s="98"/>
      <c r="G719" s="98"/>
      <c r="H719" s="98"/>
    </row>
    <row r="720">
      <c r="D720" s="98"/>
      <c r="E720" s="98"/>
      <c r="F720" s="98"/>
      <c r="G720" s="98"/>
      <c r="H720" s="98"/>
    </row>
    <row r="721">
      <c r="D721" s="98"/>
      <c r="E721" s="98"/>
      <c r="F721" s="98"/>
      <c r="G721" s="98"/>
      <c r="H721" s="98"/>
    </row>
    <row r="722">
      <c r="D722" s="98"/>
      <c r="E722" s="98"/>
      <c r="F722" s="98"/>
      <c r="G722" s="98"/>
      <c r="H722" s="98"/>
    </row>
    <row r="723">
      <c r="D723" s="98"/>
      <c r="E723" s="98"/>
      <c r="F723" s="98"/>
      <c r="G723" s="98"/>
      <c r="H723" s="98"/>
    </row>
    <row r="724">
      <c r="D724" s="98"/>
      <c r="E724" s="98"/>
      <c r="F724" s="98"/>
      <c r="G724" s="98"/>
      <c r="H724" s="98"/>
    </row>
    <row r="725">
      <c r="D725" s="98"/>
      <c r="E725" s="98"/>
      <c r="F725" s="98"/>
      <c r="G725" s="98"/>
      <c r="H725" s="98"/>
    </row>
    <row r="726">
      <c r="D726" s="98"/>
      <c r="E726" s="98"/>
      <c r="F726" s="98"/>
      <c r="G726" s="98"/>
      <c r="H726" s="98"/>
    </row>
    <row r="727">
      <c r="D727" s="98"/>
      <c r="E727" s="98"/>
      <c r="F727" s="98"/>
      <c r="G727" s="98"/>
      <c r="H727" s="98"/>
    </row>
    <row r="728">
      <c r="D728" s="98"/>
      <c r="E728" s="98"/>
      <c r="F728" s="98"/>
      <c r="G728" s="98"/>
      <c r="H728" s="98"/>
    </row>
    <row r="729">
      <c r="D729" s="98"/>
      <c r="E729" s="98"/>
      <c r="F729" s="98"/>
      <c r="G729" s="98"/>
      <c r="H729" s="98"/>
    </row>
    <row r="730">
      <c r="D730" s="98"/>
      <c r="E730" s="98"/>
      <c r="F730" s="98"/>
      <c r="G730" s="98"/>
      <c r="H730" s="98"/>
    </row>
    <row r="731">
      <c r="D731" s="98"/>
      <c r="E731" s="98"/>
      <c r="F731" s="98"/>
      <c r="G731" s="98"/>
      <c r="H731" s="98"/>
    </row>
    <row r="732">
      <c r="D732" s="98"/>
      <c r="E732" s="98"/>
      <c r="F732" s="98"/>
      <c r="G732" s="98"/>
      <c r="H732" s="98"/>
    </row>
    <row r="733">
      <c r="D733" s="98"/>
      <c r="E733" s="98"/>
      <c r="F733" s="98"/>
      <c r="G733" s="98"/>
      <c r="H733" s="98"/>
    </row>
    <row r="734">
      <c r="D734" s="98"/>
      <c r="E734" s="98"/>
      <c r="F734" s="98"/>
      <c r="G734" s="98"/>
      <c r="H734" s="98"/>
    </row>
    <row r="735">
      <c r="D735" s="98"/>
      <c r="E735" s="98"/>
      <c r="F735" s="98"/>
      <c r="G735" s="98"/>
      <c r="H735" s="98"/>
    </row>
    <row r="736">
      <c r="D736" s="98"/>
      <c r="E736" s="98"/>
      <c r="F736" s="98"/>
      <c r="G736" s="98"/>
      <c r="H736" s="98"/>
    </row>
    <row r="737">
      <c r="D737" s="98"/>
      <c r="E737" s="98"/>
      <c r="F737" s="98"/>
      <c r="G737" s="98"/>
      <c r="H737" s="98"/>
    </row>
    <row r="738">
      <c r="D738" s="98"/>
      <c r="E738" s="98"/>
      <c r="F738" s="98"/>
      <c r="G738" s="98"/>
      <c r="H738" s="98"/>
    </row>
    <row r="739">
      <c r="D739" s="98"/>
      <c r="E739" s="98"/>
      <c r="F739" s="98"/>
      <c r="G739" s="98"/>
      <c r="H739" s="98"/>
    </row>
    <row r="740">
      <c r="D740" s="98"/>
      <c r="E740" s="98"/>
      <c r="F740" s="98"/>
      <c r="G740" s="98"/>
      <c r="H740" s="98"/>
    </row>
    <row r="741">
      <c r="D741" s="98"/>
      <c r="E741" s="98"/>
      <c r="F741" s="98"/>
      <c r="G741" s="98"/>
      <c r="H741" s="98"/>
    </row>
    <row r="742">
      <c r="D742" s="98"/>
      <c r="E742" s="98"/>
      <c r="F742" s="98"/>
      <c r="G742" s="98"/>
      <c r="H742" s="98"/>
    </row>
    <row r="743">
      <c r="D743" s="98"/>
      <c r="E743" s="98"/>
      <c r="F743" s="98"/>
      <c r="G743" s="98"/>
      <c r="H743" s="98"/>
    </row>
    <row r="744">
      <c r="D744" s="98"/>
      <c r="E744" s="98"/>
      <c r="F744" s="98"/>
      <c r="G744" s="98"/>
      <c r="H744" s="98"/>
    </row>
    <row r="745">
      <c r="D745" s="98"/>
      <c r="E745" s="98"/>
      <c r="F745" s="98"/>
      <c r="G745" s="98"/>
      <c r="H745" s="98"/>
    </row>
    <row r="746">
      <c r="D746" s="98"/>
      <c r="E746" s="98"/>
      <c r="F746" s="98"/>
      <c r="G746" s="98"/>
      <c r="H746" s="98"/>
    </row>
    <row r="747">
      <c r="D747" s="98"/>
      <c r="E747" s="98"/>
      <c r="F747" s="98"/>
      <c r="G747" s="98"/>
      <c r="H747" s="98"/>
    </row>
    <row r="748">
      <c r="D748" s="98"/>
      <c r="E748" s="98"/>
      <c r="F748" s="98"/>
      <c r="G748" s="98"/>
      <c r="H748" s="98"/>
    </row>
    <row r="749">
      <c r="D749" s="98"/>
      <c r="E749" s="98"/>
      <c r="F749" s="98"/>
      <c r="G749" s="98"/>
      <c r="H749" s="98"/>
    </row>
    <row r="750">
      <c r="D750" s="98"/>
      <c r="E750" s="98"/>
      <c r="F750" s="98"/>
      <c r="G750" s="98"/>
      <c r="H750" s="98"/>
    </row>
    <row r="751">
      <c r="D751" s="98"/>
      <c r="E751" s="98"/>
      <c r="F751" s="98"/>
      <c r="G751" s="98"/>
      <c r="H751" s="98"/>
    </row>
    <row r="752">
      <c r="D752" s="98"/>
      <c r="E752" s="98"/>
      <c r="F752" s="98"/>
      <c r="G752" s="98"/>
      <c r="H752" s="98"/>
    </row>
    <row r="753">
      <c r="D753" s="98"/>
      <c r="E753" s="98"/>
      <c r="F753" s="98"/>
      <c r="G753" s="98"/>
      <c r="H753" s="98"/>
    </row>
    <row r="754">
      <c r="D754" s="98"/>
      <c r="E754" s="98"/>
      <c r="F754" s="98"/>
      <c r="G754" s="98"/>
      <c r="H754" s="98"/>
    </row>
    <row r="755">
      <c r="D755" s="98"/>
      <c r="E755" s="98"/>
      <c r="F755" s="98"/>
      <c r="G755" s="98"/>
      <c r="H755" s="98"/>
    </row>
    <row r="756">
      <c r="D756" s="98"/>
      <c r="E756" s="98"/>
      <c r="F756" s="98"/>
      <c r="G756" s="98"/>
      <c r="H756" s="98"/>
    </row>
    <row r="757">
      <c r="D757" s="98"/>
      <c r="E757" s="98"/>
      <c r="F757" s="98"/>
      <c r="G757" s="98"/>
      <c r="H757" s="98"/>
    </row>
    <row r="758">
      <c r="D758" s="98"/>
      <c r="E758" s="98"/>
      <c r="F758" s="98"/>
      <c r="G758" s="98"/>
      <c r="H758" s="98"/>
    </row>
    <row r="759">
      <c r="D759" s="98"/>
      <c r="E759" s="98"/>
      <c r="F759" s="98"/>
      <c r="G759" s="98"/>
      <c r="H759" s="98"/>
    </row>
    <row r="760">
      <c r="D760" s="98"/>
      <c r="E760" s="98"/>
      <c r="F760" s="98"/>
      <c r="G760" s="98"/>
      <c r="H760" s="98"/>
    </row>
    <row r="761">
      <c r="D761" s="98"/>
      <c r="E761" s="98"/>
      <c r="F761" s="98"/>
      <c r="G761" s="98"/>
      <c r="H761" s="98"/>
    </row>
    <row r="762">
      <c r="D762" s="98"/>
      <c r="E762" s="98"/>
      <c r="F762" s="98"/>
      <c r="G762" s="98"/>
      <c r="H762" s="98"/>
    </row>
    <row r="763">
      <c r="D763" s="98"/>
      <c r="E763" s="98"/>
      <c r="F763" s="98"/>
      <c r="G763" s="98"/>
      <c r="H763" s="98"/>
    </row>
    <row r="764">
      <c r="D764" s="98"/>
      <c r="E764" s="98"/>
      <c r="F764" s="98"/>
      <c r="G764" s="98"/>
      <c r="H764" s="98"/>
    </row>
    <row r="765">
      <c r="D765" s="98"/>
      <c r="E765" s="98"/>
      <c r="F765" s="98"/>
      <c r="G765" s="98"/>
      <c r="H765" s="98"/>
    </row>
    <row r="766">
      <c r="D766" s="98"/>
      <c r="E766" s="98"/>
      <c r="F766" s="98"/>
      <c r="G766" s="98"/>
      <c r="H766" s="98"/>
    </row>
    <row r="767">
      <c r="D767" s="98"/>
      <c r="E767" s="98"/>
      <c r="F767" s="98"/>
      <c r="G767" s="98"/>
      <c r="H767" s="98"/>
    </row>
    <row r="768">
      <c r="D768" s="98"/>
      <c r="E768" s="98"/>
      <c r="F768" s="98"/>
      <c r="G768" s="98"/>
      <c r="H768" s="98"/>
    </row>
    <row r="769">
      <c r="D769" s="98"/>
      <c r="E769" s="98"/>
      <c r="F769" s="98"/>
      <c r="G769" s="98"/>
      <c r="H769" s="98"/>
    </row>
    <row r="770">
      <c r="D770" s="98"/>
      <c r="E770" s="98"/>
      <c r="F770" s="98"/>
      <c r="G770" s="98"/>
      <c r="H770" s="98"/>
    </row>
    <row r="771">
      <c r="D771" s="98"/>
      <c r="E771" s="98"/>
      <c r="F771" s="98"/>
      <c r="G771" s="98"/>
      <c r="H771" s="98"/>
    </row>
    <row r="772">
      <c r="D772" s="98"/>
      <c r="E772" s="98"/>
      <c r="F772" s="98"/>
      <c r="G772" s="98"/>
      <c r="H772" s="98"/>
    </row>
    <row r="773">
      <c r="D773" s="98"/>
      <c r="E773" s="98"/>
      <c r="F773" s="98"/>
      <c r="G773" s="98"/>
      <c r="H773" s="98"/>
    </row>
    <row r="774">
      <c r="D774" s="98"/>
      <c r="E774" s="98"/>
      <c r="F774" s="98"/>
      <c r="G774" s="98"/>
      <c r="H774" s="98"/>
    </row>
    <row r="775">
      <c r="D775" s="98"/>
      <c r="E775" s="98"/>
      <c r="F775" s="98"/>
      <c r="G775" s="98"/>
      <c r="H775" s="98"/>
    </row>
    <row r="776">
      <c r="D776" s="98"/>
      <c r="E776" s="98"/>
      <c r="F776" s="98"/>
      <c r="G776" s="98"/>
      <c r="H776" s="98"/>
    </row>
    <row r="777">
      <c r="D777" s="98"/>
      <c r="E777" s="98"/>
      <c r="F777" s="98"/>
      <c r="G777" s="98"/>
      <c r="H777" s="98"/>
    </row>
    <row r="778">
      <c r="D778" s="98"/>
      <c r="E778" s="98"/>
      <c r="F778" s="98"/>
      <c r="G778" s="98"/>
      <c r="H778" s="98"/>
    </row>
    <row r="779">
      <c r="D779" s="98"/>
      <c r="E779" s="98"/>
      <c r="F779" s="98"/>
      <c r="G779" s="98"/>
      <c r="H779" s="98"/>
    </row>
    <row r="780">
      <c r="D780" s="98"/>
      <c r="E780" s="98"/>
      <c r="F780" s="98"/>
      <c r="G780" s="98"/>
      <c r="H780" s="98"/>
    </row>
    <row r="781">
      <c r="D781" s="98"/>
      <c r="E781" s="98"/>
      <c r="F781" s="98"/>
      <c r="G781" s="98"/>
      <c r="H781" s="98"/>
    </row>
    <row r="782">
      <c r="D782" s="98"/>
      <c r="E782" s="98"/>
      <c r="F782" s="98"/>
      <c r="G782" s="98"/>
      <c r="H782" s="98"/>
    </row>
    <row r="783">
      <c r="D783" s="98"/>
      <c r="E783" s="98"/>
      <c r="F783" s="98"/>
      <c r="G783" s="98"/>
      <c r="H783" s="98"/>
    </row>
    <row r="784">
      <c r="D784" s="98"/>
      <c r="E784" s="98"/>
      <c r="F784" s="98"/>
      <c r="G784" s="98"/>
      <c r="H784" s="98"/>
    </row>
    <row r="785">
      <c r="D785" s="98"/>
      <c r="E785" s="98"/>
      <c r="F785" s="98"/>
      <c r="G785" s="98"/>
      <c r="H785" s="98"/>
    </row>
    <row r="786">
      <c r="D786" s="98"/>
      <c r="E786" s="98"/>
      <c r="F786" s="98"/>
      <c r="G786" s="98"/>
      <c r="H786" s="98"/>
    </row>
    <row r="787">
      <c r="D787" s="98"/>
      <c r="E787" s="98"/>
      <c r="F787" s="98"/>
      <c r="G787" s="98"/>
      <c r="H787" s="98"/>
    </row>
    <row r="788">
      <c r="D788" s="98"/>
      <c r="E788" s="98"/>
      <c r="F788" s="98"/>
      <c r="G788" s="98"/>
      <c r="H788" s="98"/>
    </row>
    <row r="789">
      <c r="D789" s="98"/>
      <c r="E789" s="98"/>
      <c r="F789" s="98"/>
      <c r="G789" s="98"/>
      <c r="H789" s="98"/>
    </row>
    <row r="790">
      <c r="D790" s="98"/>
      <c r="E790" s="98"/>
      <c r="F790" s="98"/>
      <c r="G790" s="98"/>
      <c r="H790" s="98"/>
    </row>
    <row r="791">
      <c r="D791" s="98"/>
      <c r="E791" s="98"/>
      <c r="F791" s="98"/>
      <c r="G791" s="98"/>
      <c r="H791" s="98"/>
    </row>
    <row r="792">
      <c r="D792" s="98"/>
      <c r="E792" s="98"/>
      <c r="F792" s="98"/>
      <c r="G792" s="98"/>
      <c r="H792" s="98"/>
    </row>
    <row r="793">
      <c r="D793" s="98"/>
      <c r="E793" s="98"/>
      <c r="F793" s="98"/>
      <c r="G793" s="98"/>
      <c r="H793" s="98"/>
    </row>
    <row r="794">
      <c r="D794" s="98"/>
      <c r="E794" s="98"/>
      <c r="F794" s="98"/>
      <c r="G794" s="98"/>
      <c r="H794" s="98"/>
    </row>
    <row r="795">
      <c r="D795" s="98"/>
      <c r="E795" s="98"/>
      <c r="F795" s="98"/>
      <c r="G795" s="98"/>
      <c r="H795" s="98"/>
    </row>
    <row r="796">
      <c r="D796" s="98"/>
      <c r="E796" s="98"/>
      <c r="F796" s="98"/>
      <c r="G796" s="98"/>
      <c r="H796" s="98"/>
    </row>
    <row r="797">
      <c r="D797" s="98"/>
      <c r="E797" s="98"/>
      <c r="F797" s="98"/>
      <c r="G797" s="98"/>
      <c r="H797" s="98"/>
    </row>
    <row r="798">
      <c r="D798" s="98"/>
      <c r="E798" s="98"/>
      <c r="F798" s="98"/>
      <c r="G798" s="98"/>
      <c r="H798" s="98"/>
    </row>
    <row r="799">
      <c r="D799" s="98"/>
      <c r="E799" s="98"/>
      <c r="F799" s="98"/>
      <c r="G799" s="98"/>
      <c r="H799" s="98"/>
    </row>
    <row r="800">
      <c r="D800" s="98"/>
      <c r="E800" s="98"/>
      <c r="F800" s="98"/>
      <c r="G800" s="98"/>
      <c r="H800" s="98"/>
    </row>
    <row r="801">
      <c r="D801" s="98"/>
      <c r="E801" s="98"/>
      <c r="F801" s="98"/>
      <c r="G801" s="98"/>
      <c r="H801" s="98"/>
    </row>
    <row r="802">
      <c r="D802" s="98"/>
      <c r="E802" s="98"/>
      <c r="F802" s="98"/>
      <c r="G802" s="98"/>
      <c r="H802" s="98"/>
    </row>
    <row r="803">
      <c r="D803" s="98"/>
      <c r="E803" s="98"/>
      <c r="F803" s="98"/>
      <c r="G803" s="98"/>
      <c r="H803" s="98"/>
    </row>
    <row r="804">
      <c r="D804" s="98"/>
      <c r="E804" s="98"/>
      <c r="F804" s="98"/>
      <c r="G804" s="98"/>
      <c r="H804" s="98"/>
    </row>
    <row r="805">
      <c r="D805" s="98"/>
      <c r="E805" s="98"/>
      <c r="F805" s="98"/>
      <c r="G805" s="98"/>
      <c r="H805" s="98"/>
    </row>
    <row r="806">
      <c r="D806" s="98"/>
      <c r="E806" s="98"/>
      <c r="F806" s="98"/>
      <c r="G806" s="98"/>
      <c r="H806" s="98"/>
    </row>
    <row r="807">
      <c r="D807" s="98"/>
      <c r="E807" s="98"/>
      <c r="F807" s="98"/>
      <c r="G807" s="98"/>
      <c r="H807" s="98"/>
    </row>
    <row r="808">
      <c r="D808" s="98"/>
      <c r="E808" s="98"/>
      <c r="F808" s="98"/>
      <c r="G808" s="98"/>
      <c r="H808" s="98"/>
    </row>
    <row r="809">
      <c r="D809" s="98"/>
      <c r="E809" s="98"/>
      <c r="F809" s="98"/>
      <c r="G809" s="98"/>
      <c r="H809" s="98"/>
    </row>
    <row r="810">
      <c r="D810" s="98"/>
      <c r="E810" s="98"/>
      <c r="F810" s="98"/>
      <c r="G810" s="98"/>
      <c r="H810" s="98"/>
    </row>
    <row r="811">
      <c r="D811" s="98"/>
      <c r="E811" s="98"/>
      <c r="F811" s="98"/>
      <c r="G811" s="98"/>
      <c r="H811" s="98"/>
    </row>
    <row r="812">
      <c r="D812" s="98"/>
      <c r="E812" s="98"/>
      <c r="F812" s="98"/>
      <c r="G812" s="98"/>
      <c r="H812" s="98"/>
    </row>
    <row r="813">
      <c r="D813" s="98"/>
      <c r="E813" s="98"/>
      <c r="F813" s="98"/>
      <c r="G813" s="98"/>
      <c r="H813" s="98"/>
    </row>
    <row r="814">
      <c r="D814" s="98"/>
      <c r="E814" s="98"/>
      <c r="F814" s="98"/>
      <c r="G814" s="98"/>
      <c r="H814" s="98"/>
    </row>
    <row r="815">
      <c r="D815" s="98"/>
      <c r="E815" s="98"/>
      <c r="F815" s="98"/>
      <c r="G815" s="98"/>
      <c r="H815" s="98"/>
    </row>
    <row r="816">
      <c r="D816" s="98"/>
      <c r="E816" s="98"/>
      <c r="F816" s="98"/>
      <c r="G816" s="98"/>
      <c r="H816" s="98"/>
    </row>
    <row r="817">
      <c r="D817" s="98"/>
      <c r="E817" s="98"/>
      <c r="F817" s="98"/>
      <c r="G817" s="98"/>
      <c r="H817" s="98"/>
    </row>
    <row r="818">
      <c r="D818" s="98"/>
      <c r="E818" s="98"/>
      <c r="F818" s="98"/>
      <c r="G818" s="98"/>
      <c r="H818" s="98"/>
    </row>
    <row r="819">
      <c r="D819" s="98"/>
      <c r="E819" s="98"/>
      <c r="F819" s="98"/>
      <c r="G819" s="98"/>
      <c r="H819" s="98"/>
    </row>
    <row r="820">
      <c r="D820" s="98"/>
      <c r="E820" s="98"/>
      <c r="F820" s="98"/>
      <c r="G820" s="98"/>
      <c r="H820" s="98"/>
    </row>
    <row r="821">
      <c r="D821" s="98"/>
      <c r="E821" s="98"/>
      <c r="F821" s="98"/>
      <c r="G821" s="98"/>
      <c r="H821" s="98"/>
    </row>
    <row r="822">
      <c r="D822" s="98"/>
      <c r="E822" s="98"/>
      <c r="F822" s="98"/>
      <c r="G822" s="98"/>
      <c r="H822" s="98"/>
    </row>
    <row r="823">
      <c r="D823" s="98"/>
      <c r="E823" s="98"/>
      <c r="F823" s="98"/>
      <c r="G823" s="98"/>
      <c r="H823" s="98"/>
    </row>
    <row r="824">
      <c r="D824" s="98"/>
      <c r="E824" s="98"/>
      <c r="F824" s="98"/>
      <c r="G824" s="98"/>
      <c r="H824" s="98"/>
    </row>
    <row r="825">
      <c r="D825" s="98"/>
      <c r="E825" s="98"/>
      <c r="F825" s="98"/>
      <c r="G825" s="98"/>
      <c r="H825" s="98"/>
    </row>
    <row r="826">
      <c r="D826" s="98"/>
      <c r="E826" s="98"/>
      <c r="F826" s="98"/>
      <c r="G826" s="98"/>
      <c r="H826" s="98"/>
    </row>
    <row r="827">
      <c r="D827" s="98"/>
      <c r="E827" s="98"/>
      <c r="F827" s="98"/>
      <c r="G827" s="98"/>
      <c r="H827" s="98"/>
    </row>
    <row r="828">
      <c r="D828" s="98"/>
      <c r="E828" s="98"/>
      <c r="F828" s="98"/>
      <c r="G828" s="98"/>
      <c r="H828" s="98"/>
    </row>
    <row r="829">
      <c r="D829" s="98"/>
      <c r="E829" s="98"/>
      <c r="F829" s="98"/>
      <c r="G829" s="98"/>
      <c r="H829" s="98"/>
    </row>
    <row r="830">
      <c r="D830" s="98"/>
      <c r="E830" s="98"/>
      <c r="F830" s="98"/>
      <c r="G830" s="98"/>
      <c r="H830" s="98"/>
    </row>
    <row r="831">
      <c r="D831" s="98"/>
      <c r="E831" s="98"/>
      <c r="F831" s="98"/>
      <c r="G831" s="98"/>
      <c r="H831" s="98"/>
    </row>
    <row r="832">
      <c r="D832" s="98"/>
      <c r="E832" s="98"/>
      <c r="F832" s="98"/>
      <c r="G832" s="98"/>
      <c r="H832" s="98"/>
    </row>
    <row r="833">
      <c r="D833" s="98"/>
      <c r="E833" s="98"/>
      <c r="F833" s="98"/>
      <c r="G833" s="98"/>
      <c r="H833" s="98"/>
    </row>
    <row r="834">
      <c r="D834" s="98"/>
      <c r="E834" s="98"/>
      <c r="F834" s="98"/>
      <c r="G834" s="98"/>
      <c r="H834" s="98"/>
    </row>
    <row r="835">
      <c r="D835" s="98"/>
      <c r="E835" s="98"/>
      <c r="F835" s="98"/>
      <c r="G835" s="98"/>
      <c r="H835" s="98"/>
    </row>
    <row r="836">
      <c r="D836" s="98"/>
      <c r="E836" s="98"/>
      <c r="F836" s="98"/>
      <c r="G836" s="98"/>
      <c r="H836" s="98"/>
    </row>
    <row r="837">
      <c r="D837" s="98"/>
      <c r="E837" s="98"/>
      <c r="F837" s="98"/>
      <c r="G837" s="98"/>
      <c r="H837" s="98"/>
    </row>
    <row r="838">
      <c r="D838" s="98"/>
      <c r="E838" s="98"/>
      <c r="F838" s="98"/>
      <c r="G838" s="98"/>
      <c r="H838" s="98"/>
    </row>
    <row r="839">
      <c r="D839" s="98"/>
      <c r="E839" s="98"/>
      <c r="F839" s="98"/>
      <c r="G839" s="98"/>
      <c r="H839" s="98"/>
    </row>
    <row r="840">
      <c r="D840" s="98"/>
      <c r="E840" s="98"/>
      <c r="F840" s="98"/>
      <c r="G840" s="98"/>
      <c r="H840" s="98"/>
    </row>
    <row r="841">
      <c r="D841" s="98"/>
      <c r="E841" s="98"/>
      <c r="F841" s="98"/>
      <c r="G841" s="98"/>
      <c r="H841" s="98"/>
    </row>
    <row r="842">
      <c r="D842" s="98"/>
      <c r="E842" s="98"/>
      <c r="F842" s="98"/>
      <c r="G842" s="98"/>
      <c r="H842" s="98"/>
    </row>
    <row r="843">
      <c r="D843" s="98"/>
      <c r="E843" s="98"/>
      <c r="F843" s="98"/>
      <c r="G843" s="98"/>
      <c r="H843" s="98"/>
    </row>
    <row r="844">
      <c r="D844" s="98"/>
      <c r="E844" s="98"/>
      <c r="F844" s="98"/>
      <c r="G844" s="98"/>
      <c r="H844" s="98"/>
    </row>
    <row r="845">
      <c r="D845" s="98"/>
      <c r="E845" s="98"/>
      <c r="F845" s="98"/>
      <c r="G845" s="98"/>
      <c r="H845" s="98"/>
    </row>
    <row r="846">
      <c r="D846" s="98"/>
      <c r="E846" s="98"/>
      <c r="F846" s="98"/>
      <c r="G846" s="98"/>
      <c r="H846" s="98"/>
    </row>
    <row r="847">
      <c r="D847" s="98"/>
      <c r="E847" s="98"/>
      <c r="F847" s="98"/>
      <c r="G847" s="98"/>
      <c r="H847" s="98"/>
    </row>
    <row r="848">
      <c r="D848" s="98"/>
      <c r="E848" s="98"/>
      <c r="F848" s="98"/>
      <c r="G848" s="98"/>
      <c r="H848" s="98"/>
    </row>
    <row r="849">
      <c r="D849" s="98"/>
      <c r="E849" s="98"/>
      <c r="F849" s="98"/>
      <c r="G849" s="98"/>
      <c r="H849" s="98"/>
    </row>
    <row r="850">
      <c r="D850" s="98"/>
      <c r="E850" s="98"/>
      <c r="F850" s="98"/>
      <c r="G850" s="98"/>
      <c r="H850" s="98"/>
    </row>
    <row r="851">
      <c r="D851" s="98"/>
      <c r="E851" s="98"/>
      <c r="F851" s="98"/>
      <c r="G851" s="98"/>
      <c r="H851" s="98"/>
    </row>
    <row r="852">
      <c r="D852" s="98"/>
      <c r="E852" s="98"/>
      <c r="F852" s="98"/>
      <c r="G852" s="98"/>
      <c r="H852" s="98"/>
    </row>
    <row r="853">
      <c r="D853" s="98"/>
      <c r="E853" s="98"/>
      <c r="F853" s="98"/>
      <c r="G853" s="98"/>
      <c r="H853" s="98"/>
    </row>
    <row r="854">
      <c r="D854" s="98"/>
      <c r="E854" s="98"/>
      <c r="F854" s="98"/>
      <c r="G854" s="98"/>
      <c r="H854" s="98"/>
    </row>
    <row r="855">
      <c r="D855" s="98"/>
      <c r="E855" s="98"/>
      <c r="F855" s="98"/>
      <c r="G855" s="98"/>
      <c r="H855" s="98"/>
    </row>
    <row r="856">
      <c r="D856" s="98"/>
      <c r="E856" s="98"/>
      <c r="F856" s="98"/>
      <c r="G856" s="98"/>
      <c r="H856" s="98"/>
    </row>
    <row r="857">
      <c r="D857" s="98"/>
      <c r="E857" s="98"/>
      <c r="F857" s="98"/>
      <c r="G857" s="98"/>
      <c r="H857" s="98"/>
    </row>
    <row r="858">
      <c r="D858" s="98"/>
      <c r="E858" s="98"/>
      <c r="F858" s="98"/>
      <c r="G858" s="98"/>
      <c r="H858" s="98"/>
    </row>
    <row r="859">
      <c r="D859" s="98"/>
      <c r="E859" s="98"/>
      <c r="F859" s="98"/>
      <c r="G859" s="98"/>
      <c r="H859" s="98"/>
    </row>
    <row r="860">
      <c r="D860" s="98"/>
      <c r="E860" s="98"/>
      <c r="F860" s="98"/>
      <c r="G860" s="98"/>
      <c r="H860" s="98"/>
    </row>
    <row r="861">
      <c r="D861" s="98"/>
      <c r="E861" s="98"/>
      <c r="F861" s="98"/>
      <c r="G861" s="98"/>
      <c r="H861" s="98"/>
    </row>
    <row r="862">
      <c r="D862" s="98"/>
      <c r="E862" s="98"/>
      <c r="F862" s="98"/>
      <c r="G862" s="98"/>
      <c r="H862" s="98"/>
    </row>
    <row r="863">
      <c r="D863" s="98"/>
      <c r="E863" s="98"/>
      <c r="F863" s="98"/>
      <c r="G863" s="98"/>
      <c r="H863" s="98"/>
    </row>
    <row r="864">
      <c r="D864" s="98"/>
      <c r="E864" s="98"/>
      <c r="F864" s="98"/>
      <c r="G864" s="98"/>
      <c r="H864" s="98"/>
    </row>
    <row r="865">
      <c r="D865" s="98"/>
      <c r="E865" s="98"/>
      <c r="F865" s="98"/>
      <c r="G865" s="98"/>
      <c r="H865" s="98"/>
    </row>
    <row r="866">
      <c r="D866" s="98"/>
      <c r="E866" s="98"/>
      <c r="F866" s="98"/>
      <c r="G866" s="98"/>
      <c r="H866" s="98"/>
    </row>
    <row r="867">
      <c r="D867" s="98"/>
      <c r="E867" s="98"/>
      <c r="F867" s="98"/>
      <c r="G867" s="98"/>
      <c r="H867" s="98"/>
    </row>
    <row r="868">
      <c r="D868" s="98"/>
      <c r="E868" s="98"/>
      <c r="F868" s="98"/>
      <c r="G868" s="98"/>
      <c r="H868" s="98"/>
    </row>
    <row r="869">
      <c r="D869" s="98"/>
      <c r="E869" s="98"/>
      <c r="F869" s="98"/>
      <c r="G869" s="98"/>
      <c r="H869" s="98"/>
    </row>
    <row r="870">
      <c r="D870" s="98"/>
      <c r="E870" s="98"/>
      <c r="F870" s="98"/>
      <c r="G870" s="98"/>
      <c r="H870" s="98"/>
    </row>
    <row r="871">
      <c r="D871" s="98"/>
      <c r="E871" s="98"/>
      <c r="F871" s="98"/>
      <c r="G871" s="98"/>
      <c r="H871" s="98"/>
    </row>
    <row r="872">
      <c r="D872" s="98"/>
      <c r="E872" s="98"/>
      <c r="F872" s="98"/>
      <c r="G872" s="98"/>
      <c r="H872" s="98"/>
    </row>
    <row r="873">
      <c r="D873" s="98"/>
      <c r="E873" s="98"/>
      <c r="F873" s="98"/>
      <c r="G873" s="98"/>
      <c r="H873" s="98"/>
    </row>
    <row r="874">
      <c r="D874" s="98"/>
      <c r="E874" s="98"/>
      <c r="F874" s="98"/>
      <c r="G874" s="98"/>
      <c r="H874" s="98"/>
    </row>
    <row r="875">
      <c r="D875" s="98"/>
      <c r="E875" s="98"/>
      <c r="F875" s="98"/>
      <c r="G875" s="98"/>
      <c r="H875" s="98"/>
    </row>
    <row r="876">
      <c r="D876" s="98"/>
      <c r="E876" s="98"/>
      <c r="F876" s="98"/>
      <c r="G876" s="98"/>
      <c r="H876" s="98"/>
    </row>
    <row r="877">
      <c r="D877" s="98"/>
      <c r="E877" s="98"/>
      <c r="F877" s="98"/>
      <c r="G877" s="98"/>
      <c r="H877" s="98"/>
    </row>
    <row r="878">
      <c r="D878" s="98"/>
      <c r="E878" s="98"/>
      <c r="F878" s="98"/>
      <c r="G878" s="98"/>
      <c r="H878" s="98"/>
    </row>
    <row r="879">
      <c r="D879" s="98"/>
      <c r="E879" s="98"/>
      <c r="F879" s="98"/>
      <c r="G879" s="98"/>
      <c r="H879" s="98"/>
    </row>
    <row r="880">
      <c r="D880" s="98"/>
      <c r="E880" s="98"/>
      <c r="F880" s="98"/>
      <c r="G880" s="98"/>
      <c r="H880" s="98"/>
    </row>
    <row r="881">
      <c r="D881" s="98"/>
      <c r="E881" s="98"/>
      <c r="F881" s="98"/>
      <c r="G881" s="98"/>
      <c r="H881" s="98"/>
    </row>
    <row r="882">
      <c r="D882" s="98"/>
      <c r="E882" s="98"/>
      <c r="F882" s="98"/>
      <c r="G882" s="98"/>
      <c r="H882" s="98"/>
    </row>
    <row r="883">
      <c r="D883" s="98"/>
      <c r="E883" s="98"/>
      <c r="F883" s="98"/>
      <c r="G883" s="98"/>
      <c r="H883" s="98"/>
    </row>
    <row r="884">
      <c r="D884" s="98"/>
      <c r="E884" s="98"/>
      <c r="F884" s="98"/>
      <c r="G884" s="98"/>
      <c r="H884" s="98"/>
    </row>
    <row r="885">
      <c r="D885" s="98"/>
      <c r="E885" s="98"/>
      <c r="F885" s="98"/>
      <c r="G885" s="98"/>
      <c r="H885" s="98"/>
    </row>
    <row r="886">
      <c r="D886" s="98"/>
      <c r="E886" s="98"/>
      <c r="F886" s="98"/>
      <c r="G886" s="98"/>
      <c r="H886" s="98"/>
    </row>
    <row r="887">
      <c r="D887" s="98"/>
      <c r="E887" s="98"/>
      <c r="F887" s="98"/>
      <c r="G887" s="98"/>
      <c r="H887" s="98"/>
    </row>
    <row r="888">
      <c r="D888" s="98"/>
      <c r="E888" s="98"/>
      <c r="F888" s="98"/>
      <c r="G888" s="98"/>
      <c r="H888" s="98"/>
    </row>
    <row r="889">
      <c r="D889" s="98"/>
      <c r="E889" s="98"/>
      <c r="F889" s="98"/>
      <c r="G889" s="98"/>
      <c r="H889" s="98"/>
    </row>
    <row r="890">
      <c r="D890" s="98"/>
      <c r="E890" s="98"/>
      <c r="F890" s="98"/>
      <c r="G890" s="98"/>
      <c r="H890" s="98"/>
    </row>
    <row r="891">
      <c r="D891" s="98"/>
      <c r="E891" s="98"/>
      <c r="F891" s="98"/>
      <c r="G891" s="98"/>
      <c r="H891" s="98"/>
    </row>
    <row r="892">
      <c r="D892" s="98"/>
      <c r="E892" s="98"/>
      <c r="F892" s="98"/>
      <c r="G892" s="98"/>
      <c r="H892" s="98"/>
    </row>
    <row r="893">
      <c r="D893" s="98"/>
      <c r="E893" s="98"/>
      <c r="F893" s="98"/>
      <c r="G893" s="98"/>
      <c r="H893" s="98"/>
    </row>
    <row r="894">
      <c r="D894" s="98"/>
      <c r="E894" s="98"/>
      <c r="F894" s="98"/>
      <c r="G894" s="98"/>
      <c r="H894" s="98"/>
    </row>
    <row r="895">
      <c r="D895" s="98"/>
      <c r="E895" s="98"/>
      <c r="F895" s="98"/>
      <c r="G895" s="98"/>
      <c r="H895" s="98"/>
    </row>
    <row r="896">
      <c r="D896" s="98"/>
      <c r="E896" s="98"/>
      <c r="F896" s="98"/>
      <c r="G896" s="98"/>
      <c r="H896" s="98"/>
    </row>
    <row r="897">
      <c r="D897" s="98"/>
      <c r="E897" s="98"/>
      <c r="F897" s="98"/>
      <c r="G897" s="98"/>
      <c r="H897" s="98"/>
    </row>
    <row r="898">
      <c r="D898" s="98"/>
      <c r="E898" s="98"/>
      <c r="F898" s="98"/>
      <c r="G898" s="98"/>
      <c r="H898" s="98"/>
    </row>
    <row r="899">
      <c r="D899" s="98"/>
      <c r="E899" s="98"/>
      <c r="F899" s="98"/>
      <c r="G899" s="98"/>
      <c r="H899" s="98"/>
    </row>
    <row r="900">
      <c r="D900" s="98"/>
      <c r="E900" s="98"/>
      <c r="F900" s="98"/>
      <c r="G900" s="98"/>
      <c r="H900" s="98"/>
    </row>
    <row r="901">
      <c r="D901" s="98"/>
      <c r="E901" s="98"/>
      <c r="F901" s="98"/>
      <c r="G901" s="98"/>
      <c r="H901" s="98"/>
    </row>
    <row r="902">
      <c r="D902" s="98"/>
      <c r="E902" s="98"/>
      <c r="F902" s="98"/>
      <c r="G902" s="98"/>
      <c r="H902" s="98"/>
    </row>
    <row r="903">
      <c r="D903" s="98"/>
      <c r="E903" s="98"/>
      <c r="F903" s="98"/>
      <c r="G903" s="98"/>
      <c r="H903" s="98"/>
    </row>
    <row r="904">
      <c r="D904" s="98"/>
      <c r="E904" s="98"/>
      <c r="F904" s="98"/>
      <c r="G904" s="98"/>
      <c r="H904" s="98"/>
    </row>
    <row r="905">
      <c r="D905" s="98"/>
      <c r="E905" s="98"/>
      <c r="F905" s="98"/>
      <c r="G905" s="98"/>
      <c r="H905" s="98"/>
    </row>
    <row r="906">
      <c r="D906" s="98"/>
      <c r="E906" s="98"/>
      <c r="F906" s="98"/>
      <c r="G906" s="98"/>
      <c r="H906" s="98"/>
    </row>
    <row r="907">
      <c r="D907" s="98"/>
      <c r="E907" s="98"/>
      <c r="F907" s="98"/>
      <c r="G907" s="98"/>
      <c r="H907" s="98"/>
    </row>
    <row r="908">
      <c r="D908" s="98"/>
      <c r="E908" s="98"/>
      <c r="F908" s="98"/>
      <c r="G908" s="98"/>
      <c r="H908" s="98"/>
    </row>
    <row r="909">
      <c r="D909" s="98"/>
      <c r="E909" s="98"/>
      <c r="F909" s="98"/>
      <c r="G909" s="98"/>
      <c r="H909" s="98"/>
    </row>
    <row r="910">
      <c r="D910" s="98"/>
      <c r="E910" s="98"/>
      <c r="F910" s="98"/>
      <c r="G910" s="98"/>
      <c r="H910" s="98"/>
    </row>
    <row r="911">
      <c r="D911" s="98"/>
      <c r="E911" s="98"/>
      <c r="F911" s="98"/>
      <c r="G911" s="98"/>
      <c r="H911" s="98"/>
    </row>
    <row r="912">
      <c r="D912" s="98"/>
      <c r="E912" s="98"/>
      <c r="F912" s="98"/>
      <c r="G912" s="98"/>
      <c r="H912" s="98"/>
    </row>
    <row r="913">
      <c r="D913" s="98"/>
      <c r="E913" s="98"/>
      <c r="F913" s="98"/>
      <c r="G913" s="98"/>
      <c r="H913" s="98"/>
    </row>
    <row r="914">
      <c r="D914" s="98"/>
      <c r="E914" s="98"/>
      <c r="F914" s="98"/>
      <c r="G914" s="98"/>
      <c r="H914" s="98"/>
    </row>
    <row r="915">
      <c r="D915" s="98"/>
      <c r="E915" s="98"/>
      <c r="F915" s="98"/>
      <c r="G915" s="98"/>
      <c r="H915" s="98"/>
    </row>
    <row r="916">
      <c r="D916" s="98"/>
      <c r="E916" s="98"/>
      <c r="F916" s="98"/>
      <c r="G916" s="98"/>
      <c r="H916" s="98"/>
    </row>
    <row r="917">
      <c r="D917" s="98"/>
      <c r="E917" s="98"/>
      <c r="F917" s="98"/>
      <c r="G917" s="98"/>
      <c r="H917" s="98"/>
    </row>
    <row r="918">
      <c r="D918" s="98"/>
      <c r="E918" s="98"/>
      <c r="F918" s="98"/>
      <c r="G918" s="98"/>
      <c r="H918" s="98"/>
    </row>
    <row r="919">
      <c r="D919" s="98"/>
      <c r="E919" s="98"/>
      <c r="F919" s="98"/>
      <c r="G919" s="98"/>
      <c r="H919" s="98"/>
    </row>
    <row r="920">
      <c r="D920" s="98"/>
      <c r="E920" s="98"/>
      <c r="F920" s="98"/>
      <c r="G920" s="98"/>
      <c r="H920" s="98"/>
    </row>
    <row r="921">
      <c r="D921" s="98"/>
      <c r="E921" s="98"/>
      <c r="F921" s="98"/>
      <c r="G921" s="98"/>
      <c r="H921" s="98"/>
    </row>
    <row r="922">
      <c r="D922" s="98"/>
      <c r="E922" s="98"/>
      <c r="F922" s="98"/>
      <c r="G922" s="98"/>
      <c r="H922" s="98"/>
    </row>
    <row r="923">
      <c r="D923" s="98"/>
      <c r="E923" s="98"/>
      <c r="F923" s="98"/>
      <c r="G923" s="98"/>
      <c r="H923" s="98"/>
    </row>
    <row r="924">
      <c r="D924" s="98"/>
      <c r="E924" s="98"/>
      <c r="F924" s="98"/>
      <c r="G924" s="98"/>
      <c r="H924" s="98"/>
    </row>
    <row r="925">
      <c r="D925" s="98"/>
      <c r="E925" s="98"/>
      <c r="F925" s="98"/>
      <c r="G925" s="98"/>
      <c r="H925" s="98"/>
    </row>
    <row r="926">
      <c r="D926" s="98"/>
      <c r="E926" s="98"/>
      <c r="F926" s="98"/>
      <c r="G926" s="98"/>
      <c r="H926" s="98"/>
    </row>
    <row r="927">
      <c r="D927" s="98"/>
      <c r="E927" s="98"/>
      <c r="F927" s="98"/>
      <c r="G927" s="98"/>
      <c r="H927" s="98"/>
    </row>
    <row r="928">
      <c r="D928" s="98"/>
      <c r="E928" s="98"/>
      <c r="F928" s="98"/>
      <c r="G928" s="98"/>
      <c r="H928" s="98"/>
    </row>
    <row r="929">
      <c r="D929" s="98"/>
      <c r="E929" s="98"/>
      <c r="F929" s="98"/>
      <c r="G929" s="98"/>
      <c r="H929" s="98"/>
    </row>
    <row r="930">
      <c r="D930" s="98"/>
      <c r="E930" s="98"/>
      <c r="F930" s="98"/>
      <c r="G930" s="98"/>
      <c r="H930" s="98"/>
    </row>
    <row r="931">
      <c r="D931" s="98"/>
      <c r="E931" s="98"/>
      <c r="F931" s="98"/>
      <c r="G931" s="98"/>
      <c r="H931" s="98"/>
    </row>
    <row r="932">
      <c r="D932" s="98"/>
      <c r="E932" s="98"/>
      <c r="F932" s="98"/>
      <c r="G932" s="98"/>
      <c r="H932" s="98"/>
    </row>
    <row r="933">
      <c r="D933" s="98"/>
      <c r="E933" s="98"/>
      <c r="F933" s="98"/>
      <c r="G933" s="98"/>
      <c r="H933" s="98"/>
    </row>
    <row r="934">
      <c r="D934" s="98"/>
      <c r="E934" s="98"/>
      <c r="F934" s="98"/>
      <c r="G934" s="98"/>
      <c r="H934" s="98"/>
    </row>
    <row r="935">
      <c r="D935" s="98"/>
      <c r="E935" s="98"/>
      <c r="F935" s="98"/>
      <c r="G935" s="98"/>
      <c r="H935" s="98"/>
    </row>
    <row r="936">
      <c r="D936" s="98"/>
      <c r="E936" s="98"/>
      <c r="F936" s="98"/>
      <c r="G936" s="98"/>
      <c r="H936" s="98"/>
    </row>
    <row r="937">
      <c r="D937" s="98"/>
      <c r="E937" s="98"/>
      <c r="F937" s="98"/>
      <c r="G937" s="98"/>
      <c r="H937" s="98"/>
    </row>
    <row r="938">
      <c r="D938" s="98"/>
      <c r="E938" s="98"/>
      <c r="F938" s="98"/>
      <c r="G938" s="98"/>
      <c r="H938" s="98"/>
    </row>
    <row r="939">
      <c r="D939" s="98"/>
      <c r="E939" s="98"/>
      <c r="F939" s="98"/>
      <c r="G939" s="98"/>
      <c r="H939" s="98"/>
    </row>
    <row r="940">
      <c r="D940" s="98"/>
      <c r="E940" s="98"/>
      <c r="F940" s="98"/>
      <c r="G940" s="98"/>
      <c r="H940" s="98"/>
    </row>
    <row r="941">
      <c r="D941" s="98"/>
      <c r="E941" s="98"/>
      <c r="F941" s="98"/>
      <c r="G941" s="98"/>
      <c r="H941" s="98"/>
    </row>
    <row r="942">
      <c r="D942" s="98"/>
      <c r="E942" s="98"/>
      <c r="F942" s="98"/>
      <c r="G942" s="98"/>
      <c r="H942" s="98"/>
    </row>
    <row r="943">
      <c r="D943" s="98"/>
      <c r="E943" s="98"/>
      <c r="F943" s="98"/>
      <c r="G943" s="98"/>
      <c r="H943" s="98"/>
    </row>
    <row r="944">
      <c r="D944" s="98"/>
      <c r="E944" s="98"/>
      <c r="F944" s="98"/>
      <c r="G944" s="98"/>
      <c r="H944" s="98"/>
    </row>
    <row r="945">
      <c r="D945" s="98"/>
      <c r="E945" s="98"/>
      <c r="F945" s="98"/>
      <c r="G945" s="98"/>
      <c r="H945" s="98"/>
    </row>
    <row r="946">
      <c r="D946" s="98"/>
      <c r="E946" s="98"/>
      <c r="F946" s="98"/>
      <c r="G946" s="98"/>
      <c r="H946" s="98"/>
    </row>
    <row r="947">
      <c r="D947" s="98"/>
      <c r="E947" s="98"/>
      <c r="F947" s="98"/>
      <c r="G947" s="98"/>
      <c r="H947" s="98"/>
    </row>
    <row r="948">
      <c r="D948" s="98"/>
      <c r="E948" s="98"/>
      <c r="F948" s="98"/>
      <c r="G948" s="98"/>
      <c r="H948" s="98"/>
    </row>
    <row r="949">
      <c r="D949" s="98"/>
      <c r="E949" s="98"/>
      <c r="F949" s="98"/>
      <c r="G949" s="98"/>
      <c r="H949" s="98"/>
    </row>
    <row r="950">
      <c r="D950" s="98"/>
      <c r="E950" s="98"/>
      <c r="F950" s="98"/>
      <c r="G950" s="98"/>
      <c r="H950" s="98"/>
    </row>
    <row r="951">
      <c r="D951" s="98"/>
      <c r="E951" s="98"/>
      <c r="F951" s="98"/>
      <c r="G951" s="98"/>
      <c r="H951" s="98"/>
    </row>
    <row r="952">
      <c r="D952" s="98"/>
      <c r="E952" s="98"/>
      <c r="F952" s="98"/>
      <c r="G952" s="98"/>
      <c r="H952" s="98"/>
    </row>
    <row r="953">
      <c r="D953" s="98"/>
      <c r="E953" s="98"/>
      <c r="F953" s="98"/>
      <c r="G953" s="98"/>
      <c r="H953" s="98"/>
    </row>
    <row r="954">
      <c r="D954" s="98"/>
      <c r="E954" s="98"/>
      <c r="F954" s="98"/>
      <c r="G954" s="98"/>
      <c r="H954" s="98"/>
    </row>
    <row r="955">
      <c r="D955" s="98"/>
      <c r="E955" s="98"/>
      <c r="F955" s="98"/>
      <c r="G955" s="98"/>
      <c r="H955" s="98"/>
    </row>
    <row r="956">
      <c r="D956" s="98"/>
      <c r="E956" s="98"/>
      <c r="F956" s="98"/>
      <c r="G956" s="98"/>
      <c r="H956" s="98"/>
    </row>
    <row r="957">
      <c r="D957" s="98"/>
      <c r="E957" s="98"/>
      <c r="F957" s="98"/>
      <c r="G957" s="98"/>
      <c r="H957" s="98"/>
    </row>
    <row r="958">
      <c r="D958" s="98"/>
      <c r="E958" s="98"/>
      <c r="F958" s="98"/>
      <c r="G958" s="98"/>
      <c r="H958" s="98"/>
    </row>
    <row r="959">
      <c r="D959" s="98"/>
      <c r="E959" s="98"/>
      <c r="F959" s="98"/>
      <c r="G959" s="98"/>
      <c r="H959" s="98"/>
    </row>
    <row r="960">
      <c r="D960" s="98"/>
      <c r="E960" s="98"/>
      <c r="F960" s="98"/>
      <c r="G960" s="98"/>
      <c r="H960" s="98"/>
    </row>
    <row r="961">
      <c r="D961" s="98"/>
      <c r="E961" s="98"/>
      <c r="F961" s="98"/>
      <c r="G961" s="98"/>
      <c r="H961" s="98"/>
    </row>
    <row r="962">
      <c r="D962" s="98"/>
      <c r="E962" s="98"/>
      <c r="F962" s="98"/>
      <c r="G962" s="98"/>
      <c r="H962" s="98"/>
    </row>
    <row r="963">
      <c r="D963" s="98"/>
      <c r="E963" s="98"/>
      <c r="F963" s="98"/>
      <c r="G963" s="98"/>
      <c r="H963" s="98"/>
    </row>
    <row r="964">
      <c r="D964" s="98"/>
      <c r="E964" s="98"/>
      <c r="F964" s="98"/>
      <c r="G964" s="98"/>
      <c r="H964" s="98"/>
    </row>
    <row r="965">
      <c r="D965" s="98"/>
      <c r="E965" s="98"/>
      <c r="F965" s="98"/>
      <c r="G965" s="98"/>
      <c r="H965" s="98"/>
    </row>
    <row r="966">
      <c r="D966" s="98"/>
      <c r="E966" s="98"/>
      <c r="F966" s="98"/>
      <c r="G966" s="98"/>
      <c r="H966" s="98"/>
    </row>
    <row r="967">
      <c r="D967" s="98"/>
      <c r="E967" s="98"/>
      <c r="F967" s="98"/>
      <c r="G967" s="98"/>
      <c r="H967" s="98"/>
    </row>
    <row r="968">
      <c r="D968" s="98"/>
      <c r="E968" s="98"/>
      <c r="F968" s="98"/>
      <c r="G968" s="98"/>
      <c r="H968" s="98"/>
    </row>
    <row r="969">
      <c r="D969" s="98"/>
      <c r="E969" s="98"/>
      <c r="F969" s="98"/>
      <c r="G969" s="98"/>
      <c r="H969" s="98"/>
    </row>
    <row r="970">
      <c r="D970" s="98"/>
      <c r="E970" s="98"/>
      <c r="F970" s="98"/>
      <c r="G970" s="98"/>
      <c r="H970" s="98"/>
    </row>
    <row r="971">
      <c r="D971" s="98"/>
      <c r="E971" s="98"/>
      <c r="F971" s="98"/>
      <c r="G971" s="98"/>
      <c r="H971" s="98"/>
    </row>
    <row r="972">
      <c r="D972" s="98"/>
      <c r="E972" s="98"/>
      <c r="F972" s="98"/>
      <c r="G972" s="98"/>
      <c r="H972" s="98"/>
    </row>
    <row r="973">
      <c r="D973" s="98"/>
      <c r="E973" s="98"/>
      <c r="F973" s="98"/>
      <c r="G973" s="98"/>
      <c r="H973" s="98"/>
    </row>
    <row r="974">
      <c r="D974" s="98"/>
      <c r="E974" s="98"/>
      <c r="F974" s="98"/>
      <c r="G974" s="98"/>
      <c r="H974" s="98"/>
    </row>
    <row r="975">
      <c r="D975" s="98"/>
      <c r="E975" s="98"/>
      <c r="F975" s="98"/>
      <c r="G975" s="98"/>
      <c r="H975" s="98"/>
    </row>
    <row r="976">
      <c r="D976" s="98"/>
      <c r="E976" s="98"/>
      <c r="F976" s="98"/>
      <c r="G976" s="98"/>
      <c r="H976" s="98"/>
    </row>
    <row r="977">
      <c r="D977" s="98"/>
      <c r="E977" s="98"/>
      <c r="F977" s="98"/>
      <c r="G977" s="98"/>
      <c r="H977" s="98"/>
    </row>
    <row r="978">
      <c r="D978" s="98"/>
      <c r="E978" s="98"/>
      <c r="F978" s="98"/>
      <c r="G978" s="98"/>
      <c r="H978" s="98"/>
    </row>
    <row r="979">
      <c r="D979" s="98"/>
      <c r="E979" s="98"/>
      <c r="F979" s="98"/>
      <c r="G979" s="98"/>
      <c r="H979" s="98"/>
    </row>
    <row r="980">
      <c r="D980" s="98"/>
      <c r="E980" s="98"/>
      <c r="F980" s="98"/>
      <c r="G980" s="98"/>
      <c r="H980" s="98"/>
    </row>
    <row r="981">
      <c r="D981" s="98"/>
      <c r="E981" s="98"/>
      <c r="F981" s="98"/>
      <c r="G981" s="98"/>
      <c r="H981" s="98"/>
    </row>
    <row r="982">
      <c r="D982" s="98"/>
      <c r="E982" s="98"/>
      <c r="F982" s="98"/>
      <c r="G982" s="98"/>
      <c r="H982" s="98"/>
    </row>
    <row r="983">
      <c r="D983" s="98"/>
      <c r="E983" s="98"/>
      <c r="F983" s="98"/>
      <c r="G983" s="98"/>
      <c r="H983" s="98"/>
    </row>
    <row r="984">
      <c r="D984" s="98"/>
      <c r="E984" s="98"/>
      <c r="F984" s="98"/>
      <c r="G984" s="98"/>
      <c r="H984" s="98"/>
    </row>
    <row r="985">
      <c r="D985" s="98"/>
      <c r="E985" s="98"/>
      <c r="F985" s="98"/>
      <c r="G985" s="98"/>
      <c r="H985" s="98"/>
    </row>
    <row r="986">
      <c r="D986" s="98"/>
      <c r="E986" s="98"/>
      <c r="F986" s="98"/>
      <c r="G986" s="98"/>
      <c r="H986" s="98"/>
    </row>
    <row r="987">
      <c r="D987" s="98"/>
      <c r="E987" s="98"/>
      <c r="F987" s="98"/>
      <c r="G987" s="98"/>
      <c r="H987" s="98"/>
    </row>
    <row r="988">
      <c r="D988" s="98"/>
      <c r="E988" s="98"/>
      <c r="F988" s="98"/>
      <c r="G988" s="98"/>
      <c r="H988" s="98"/>
    </row>
    <row r="989">
      <c r="D989" s="98"/>
      <c r="E989" s="98"/>
      <c r="F989" s="98"/>
      <c r="G989" s="98"/>
      <c r="H989" s="98"/>
    </row>
    <row r="990">
      <c r="D990" s="98"/>
      <c r="E990" s="98"/>
      <c r="F990" s="98"/>
      <c r="G990" s="98"/>
      <c r="H990" s="98"/>
    </row>
    <row r="991">
      <c r="D991" s="98"/>
      <c r="E991" s="98"/>
      <c r="F991" s="98"/>
      <c r="G991" s="98"/>
      <c r="H991" s="98"/>
    </row>
    <row r="992">
      <c r="D992" s="98"/>
      <c r="E992" s="98"/>
      <c r="F992" s="98"/>
      <c r="G992" s="98"/>
      <c r="H992" s="98"/>
    </row>
    <row r="993">
      <c r="D993" s="98"/>
      <c r="E993" s="98"/>
      <c r="F993" s="98"/>
      <c r="G993" s="98"/>
      <c r="H993" s="98"/>
    </row>
    <row r="994">
      <c r="D994" s="98"/>
      <c r="E994" s="98"/>
      <c r="F994" s="98"/>
      <c r="G994" s="98"/>
      <c r="H994" s="98"/>
    </row>
    <row r="995">
      <c r="D995" s="98"/>
      <c r="E995" s="98"/>
      <c r="F995" s="98"/>
      <c r="G995" s="98"/>
      <c r="H995" s="98"/>
    </row>
    <row r="996">
      <c r="D996" s="98"/>
      <c r="E996" s="98"/>
      <c r="F996" s="98"/>
      <c r="G996" s="98"/>
      <c r="H996" s="98"/>
    </row>
    <row r="997">
      <c r="D997" s="98"/>
      <c r="E997" s="98"/>
      <c r="F997" s="98"/>
      <c r="G997" s="98"/>
      <c r="H997" s="98"/>
    </row>
    <row r="998">
      <c r="D998" s="98"/>
      <c r="E998" s="98"/>
      <c r="F998" s="98"/>
      <c r="G998" s="98"/>
      <c r="H998" s="98"/>
    </row>
    <row r="999">
      <c r="D999" s="98"/>
      <c r="E999" s="98"/>
      <c r="F999" s="98"/>
      <c r="G999" s="98"/>
      <c r="H999" s="98"/>
    </row>
    <row r="1000">
      <c r="D1000" s="98"/>
      <c r="E1000" s="98"/>
      <c r="F1000" s="98"/>
      <c r="G1000" s="98"/>
      <c r="H1000" s="98"/>
    </row>
  </sheetData>
  <mergeCells count="1">
    <mergeCell ref="E1:H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01" t="s">
        <v>134</v>
      </c>
      <c r="B1" s="98"/>
      <c r="C1" s="98"/>
      <c r="D1" s="76"/>
      <c r="E1" s="77" t="s">
        <v>135</v>
      </c>
    </row>
    <row r="2">
      <c r="A2" s="99" t="s">
        <v>90</v>
      </c>
      <c r="B2" s="98"/>
      <c r="C2" s="98"/>
      <c r="D2" s="76"/>
      <c r="E2" s="76"/>
      <c r="F2" s="76"/>
      <c r="G2" s="76"/>
      <c r="H2" s="76"/>
    </row>
    <row r="3">
      <c r="A3" s="100" t="s">
        <v>111</v>
      </c>
      <c r="B3" s="98"/>
      <c r="C3" s="98"/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100" t="s">
        <v>131</v>
      </c>
      <c r="B4" s="98"/>
      <c r="C4" s="98"/>
      <c r="D4" s="82" t="s">
        <v>95</v>
      </c>
      <c r="E4" s="83">
        <v>82.22167</v>
      </c>
      <c r="F4" s="84">
        <v>301.0</v>
      </c>
      <c r="G4" s="84">
        <v>72.5</v>
      </c>
      <c r="H4" s="84">
        <v>9.72167</v>
      </c>
    </row>
    <row r="5">
      <c r="D5" s="76"/>
      <c r="E5" s="83">
        <v>82.05583</v>
      </c>
      <c r="F5" s="84">
        <v>775.0</v>
      </c>
      <c r="G5" s="84">
        <v>72.69</v>
      </c>
      <c r="H5" s="84">
        <v>9.36583</v>
      </c>
    </row>
    <row r="6">
      <c r="D6" s="76"/>
      <c r="E6" s="83">
        <v>81.48292</v>
      </c>
      <c r="F6" s="84">
        <v>1247.0</v>
      </c>
      <c r="G6" s="84">
        <v>71.06</v>
      </c>
      <c r="H6" s="84">
        <v>10.42292</v>
      </c>
    </row>
    <row r="7">
      <c r="D7" s="76"/>
      <c r="E7" s="83">
        <v>80.76167</v>
      </c>
      <c r="F7" s="84">
        <v>1722.0</v>
      </c>
      <c r="G7" s="84">
        <v>70.28</v>
      </c>
      <c r="H7" s="84">
        <v>10.48167</v>
      </c>
    </row>
    <row r="8">
      <c r="D8" s="76"/>
      <c r="E8" s="83">
        <v>80.4713</v>
      </c>
      <c r="F8" s="84">
        <v>2197.0</v>
      </c>
      <c r="G8" s="84">
        <v>70.05</v>
      </c>
      <c r="H8" s="84">
        <v>10.4213</v>
      </c>
    </row>
    <row r="9">
      <c r="D9" s="76"/>
      <c r="E9" s="83">
        <v>80.59833</v>
      </c>
      <c r="F9" s="84">
        <v>2670.0</v>
      </c>
      <c r="G9" s="84">
        <v>70.47</v>
      </c>
      <c r="H9" s="84">
        <v>10.12833</v>
      </c>
    </row>
    <row r="10">
      <c r="D10" s="82" t="s">
        <v>119</v>
      </c>
      <c r="E10" s="83">
        <v>78.70826</v>
      </c>
      <c r="F10" s="84">
        <v>3182.0</v>
      </c>
      <c r="G10" s="84">
        <v>71.26</v>
      </c>
      <c r="H10" s="84">
        <v>7.44826</v>
      </c>
    </row>
    <row r="11">
      <c r="D11" s="76"/>
      <c r="E11" s="83">
        <v>78.75792</v>
      </c>
      <c r="F11" s="84">
        <v>3658.0</v>
      </c>
      <c r="G11" s="84">
        <v>71.69</v>
      </c>
      <c r="H11" s="84">
        <v>7.06792</v>
      </c>
    </row>
    <row r="12">
      <c r="D12" s="76"/>
      <c r="E12" s="83">
        <v>78.59708</v>
      </c>
      <c r="F12" s="84">
        <v>4127.0</v>
      </c>
      <c r="G12" s="84">
        <v>71.87</v>
      </c>
      <c r="H12" s="84">
        <v>6.72708</v>
      </c>
    </row>
    <row r="13">
      <c r="D13" s="76"/>
      <c r="E13" s="83">
        <v>79.37042</v>
      </c>
      <c r="F13" s="84">
        <v>4602.0</v>
      </c>
      <c r="G13" s="84">
        <v>72.27</v>
      </c>
      <c r="H13" s="84">
        <v>7.10042</v>
      </c>
    </row>
    <row r="14">
      <c r="D14" s="76"/>
      <c r="E14" s="83">
        <v>77.94625</v>
      </c>
      <c r="F14" s="84">
        <v>5076.0</v>
      </c>
      <c r="G14" s="84">
        <v>71.06</v>
      </c>
      <c r="H14" s="84">
        <v>6.88625</v>
      </c>
    </row>
    <row r="15">
      <c r="D15" s="76"/>
      <c r="E15" s="76"/>
      <c r="F15" s="76"/>
      <c r="G15" s="76"/>
      <c r="H15" s="76"/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110">
        <v>2870.0</v>
      </c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7" t="s">
        <v>136</v>
      </c>
      <c r="B1" s="98"/>
      <c r="C1" s="98"/>
      <c r="D1" s="76"/>
      <c r="E1" s="77" t="s">
        <v>137</v>
      </c>
    </row>
    <row r="2">
      <c r="A2" s="99" t="s">
        <v>90</v>
      </c>
      <c r="B2" s="98"/>
      <c r="C2" s="98"/>
      <c r="D2" s="76"/>
      <c r="E2" s="76"/>
      <c r="F2" s="76"/>
      <c r="G2" s="76"/>
      <c r="H2" s="76"/>
    </row>
    <row r="3">
      <c r="A3" s="100" t="s">
        <v>111</v>
      </c>
      <c r="B3" s="98"/>
      <c r="C3" s="98"/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100" t="s">
        <v>131</v>
      </c>
      <c r="B4" s="98"/>
      <c r="C4" s="98"/>
      <c r="D4" s="82" t="s">
        <v>113</v>
      </c>
      <c r="E4" s="83">
        <v>287.4909</v>
      </c>
      <c r="F4" s="84">
        <v>301.0</v>
      </c>
      <c r="G4" s="84">
        <v>272.85</v>
      </c>
      <c r="H4" s="84">
        <v>14.64087</v>
      </c>
    </row>
    <row r="5">
      <c r="D5" s="76"/>
      <c r="E5" s="83">
        <v>287.3729</v>
      </c>
      <c r="F5" s="84">
        <v>775.0</v>
      </c>
      <c r="G5" s="84">
        <v>271.09</v>
      </c>
      <c r="H5" s="84">
        <v>16.28291</v>
      </c>
    </row>
    <row r="6">
      <c r="D6" s="76"/>
      <c r="E6" s="83">
        <v>287.2963</v>
      </c>
      <c r="F6" s="84">
        <v>1248.0</v>
      </c>
      <c r="G6" s="84">
        <v>270.63</v>
      </c>
      <c r="H6" s="84">
        <v>16.66625</v>
      </c>
    </row>
    <row r="7">
      <c r="D7" s="76"/>
      <c r="E7" s="83">
        <v>287.325</v>
      </c>
      <c r="F7" s="84">
        <v>1722.0</v>
      </c>
      <c r="G7" s="84">
        <v>271.67</v>
      </c>
      <c r="H7" s="84">
        <v>15.65499</v>
      </c>
    </row>
    <row r="8">
      <c r="D8" s="76"/>
      <c r="E8" s="83">
        <v>287.2413</v>
      </c>
      <c r="F8" s="84">
        <v>2193.0</v>
      </c>
      <c r="G8" s="84">
        <v>272.23</v>
      </c>
      <c r="H8" s="84">
        <v>15.01125</v>
      </c>
    </row>
    <row r="9">
      <c r="D9" s="76"/>
      <c r="E9" s="83">
        <v>287.1283</v>
      </c>
      <c r="F9" s="84">
        <v>2669.0</v>
      </c>
      <c r="G9" s="84">
        <v>272.51</v>
      </c>
      <c r="H9" s="84">
        <v>14.61833</v>
      </c>
    </row>
    <row r="10">
      <c r="D10" s="76"/>
      <c r="E10" s="83">
        <v>286.9375</v>
      </c>
      <c r="F10" s="84">
        <v>3142.0</v>
      </c>
      <c r="G10" s="84">
        <v>272.7</v>
      </c>
      <c r="H10" s="84">
        <v>14.23751</v>
      </c>
    </row>
    <row r="11">
      <c r="D11" s="82" t="s">
        <v>138</v>
      </c>
      <c r="E11" s="83">
        <v>285.9846</v>
      </c>
      <c r="F11" s="84">
        <v>3610.0</v>
      </c>
      <c r="G11" s="84">
        <v>274.26</v>
      </c>
      <c r="H11" s="84">
        <v>11.72458</v>
      </c>
    </row>
    <row r="12">
      <c r="D12" s="76"/>
      <c r="E12" s="83">
        <v>285.6788</v>
      </c>
      <c r="F12" s="84">
        <v>4084.0</v>
      </c>
      <c r="G12" s="84">
        <v>274.14</v>
      </c>
      <c r="H12" s="84">
        <v>11.53875</v>
      </c>
    </row>
    <row r="13">
      <c r="D13" s="76"/>
      <c r="E13" s="83">
        <v>285.0558</v>
      </c>
      <c r="F13" s="84">
        <v>4558.0</v>
      </c>
      <c r="G13" s="84">
        <v>273.67</v>
      </c>
      <c r="H13" s="84">
        <v>11.38583</v>
      </c>
    </row>
    <row r="14">
      <c r="D14" s="76"/>
      <c r="E14" s="83">
        <v>285.1496</v>
      </c>
      <c r="F14" s="84">
        <v>5031.0</v>
      </c>
      <c r="G14" s="84">
        <v>273.7</v>
      </c>
      <c r="H14" s="84">
        <v>11.44957</v>
      </c>
    </row>
    <row r="15">
      <c r="D15" s="76"/>
      <c r="E15" s="83">
        <v>285.5158</v>
      </c>
      <c r="F15" s="84">
        <v>5503.0</v>
      </c>
      <c r="G15" s="84">
        <v>275.06</v>
      </c>
      <c r="H15" s="84">
        <v>10.45583</v>
      </c>
    </row>
    <row r="16">
      <c r="D16" s="76"/>
      <c r="E16" s="83">
        <v>285.8154</v>
      </c>
      <c r="F16" s="84">
        <v>5977.0</v>
      </c>
      <c r="G16" s="84">
        <v>275.23</v>
      </c>
      <c r="H16" s="84">
        <v>10.58542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7" t="s">
        <v>139</v>
      </c>
      <c r="B1" s="98"/>
      <c r="C1" s="98"/>
      <c r="D1" s="76"/>
      <c r="E1" s="77" t="s">
        <v>140</v>
      </c>
    </row>
    <row r="2">
      <c r="A2" s="99" t="s">
        <v>90</v>
      </c>
      <c r="B2" s="98"/>
      <c r="C2" s="98"/>
      <c r="D2" s="76"/>
      <c r="E2" s="76"/>
      <c r="F2" s="76"/>
      <c r="G2" s="76"/>
      <c r="H2" s="76"/>
    </row>
    <row r="3">
      <c r="A3" s="100" t="s">
        <v>111</v>
      </c>
      <c r="B3" s="98"/>
      <c r="C3" s="98"/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100" t="s">
        <v>131</v>
      </c>
      <c r="B4" s="98"/>
      <c r="C4" s="98"/>
      <c r="D4" s="82" t="s">
        <v>119</v>
      </c>
      <c r="E4" s="83">
        <v>88.11875</v>
      </c>
      <c r="F4" s="84">
        <v>302.0</v>
      </c>
      <c r="G4" s="84">
        <v>80.81</v>
      </c>
      <c r="H4" s="84">
        <v>7.30875</v>
      </c>
    </row>
    <row r="5">
      <c r="D5" s="76"/>
      <c r="E5" s="83">
        <v>87.53478</v>
      </c>
      <c r="F5" s="84">
        <v>780.0</v>
      </c>
      <c r="G5" s="84">
        <v>78.83</v>
      </c>
      <c r="H5" s="84">
        <v>8.70478</v>
      </c>
    </row>
    <row r="6">
      <c r="D6" s="76"/>
      <c r="E6" s="83">
        <v>86.85167</v>
      </c>
      <c r="F6" s="84">
        <v>1245.0</v>
      </c>
      <c r="G6" s="84">
        <v>77.72</v>
      </c>
      <c r="H6" s="84">
        <v>9.13167</v>
      </c>
    </row>
    <row r="7">
      <c r="D7" s="76"/>
      <c r="E7" s="83">
        <v>86.83292</v>
      </c>
      <c r="F7" s="84">
        <v>1726.0</v>
      </c>
      <c r="G7" s="84">
        <v>78.6</v>
      </c>
      <c r="H7" s="84">
        <v>8.23292</v>
      </c>
    </row>
    <row r="8">
      <c r="D8" s="76"/>
      <c r="E8" s="83">
        <v>86.48042</v>
      </c>
      <c r="F8" s="84">
        <v>2197.0</v>
      </c>
      <c r="G8" s="84">
        <v>78.79</v>
      </c>
      <c r="H8" s="84">
        <v>7.69042</v>
      </c>
    </row>
    <row r="9">
      <c r="D9" s="76"/>
      <c r="E9" s="83">
        <v>85.98739</v>
      </c>
      <c r="F9" s="84">
        <v>2673.0</v>
      </c>
      <c r="G9" s="84">
        <v>78.83</v>
      </c>
      <c r="H9" s="84">
        <v>7.15739</v>
      </c>
    </row>
    <row r="10">
      <c r="D10" s="76"/>
      <c r="E10" s="83">
        <v>85.31625</v>
      </c>
      <c r="F10" s="84">
        <v>3148.0</v>
      </c>
      <c r="G10" s="84">
        <v>78.18</v>
      </c>
      <c r="H10" s="84">
        <v>7.13625</v>
      </c>
    </row>
    <row r="11">
      <c r="D11" s="82" t="s">
        <v>94</v>
      </c>
      <c r="E11" s="24">
        <v>85.17833</v>
      </c>
      <c r="F11" s="25">
        <v>3618.0</v>
      </c>
      <c r="G11" s="25">
        <v>78.81</v>
      </c>
      <c r="H11" s="25">
        <v>6.36833</v>
      </c>
    </row>
    <row r="12">
      <c r="D12" s="76"/>
      <c r="E12" s="24">
        <v>85.46708</v>
      </c>
      <c r="F12" s="25">
        <v>4089.0</v>
      </c>
      <c r="G12" s="25">
        <v>79.29</v>
      </c>
      <c r="H12" s="25">
        <v>6.17708</v>
      </c>
    </row>
    <row r="13">
      <c r="D13" s="76"/>
      <c r="E13" s="83">
        <v>84.7713</v>
      </c>
      <c r="F13" s="84">
        <v>4562.0</v>
      </c>
      <c r="G13" s="84">
        <v>79.19</v>
      </c>
      <c r="H13" s="84">
        <v>5.5813</v>
      </c>
    </row>
    <row r="14">
      <c r="D14" s="76"/>
      <c r="E14" s="83">
        <v>84.40522</v>
      </c>
      <c r="F14" s="84">
        <v>5040.0</v>
      </c>
      <c r="G14" s="84">
        <v>78.85</v>
      </c>
      <c r="H14" s="84">
        <v>5.55522</v>
      </c>
    </row>
    <row r="15">
      <c r="D15" s="76"/>
      <c r="E15" s="83">
        <v>83.90208</v>
      </c>
      <c r="F15" s="84">
        <v>5511.0</v>
      </c>
      <c r="G15" s="84">
        <v>78.5</v>
      </c>
      <c r="H15" s="84">
        <v>5.40208</v>
      </c>
    </row>
    <row r="16">
      <c r="D16" s="76"/>
      <c r="E16" s="83">
        <v>83.53833</v>
      </c>
      <c r="F16" s="84">
        <v>5984.0</v>
      </c>
      <c r="G16" s="84">
        <v>78.48</v>
      </c>
      <c r="H16" s="84">
        <v>5.05833</v>
      </c>
    </row>
    <row r="17">
      <c r="D17" s="76"/>
      <c r="E17" s="83">
        <v>83.4875</v>
      </c>
      <c r="F17" s="84">
        <v>6458.0</v>
      </c>
      <c r="G17" s="84">
        <v>77.95</v>
      </c>
      <c r="H17" s="84">
        <v>5.5375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9" t="s">
        <v>141</v>
      </c>
      <c r="B1" s="98"/>
      <c r="C1" s="98"/>
      <c r="D1" s="76"/>
      <c r="E1" s="77" t="s">
        <v>142</v>
      </c>
    </row>
    <row r="2">
      <c r="A2" s="99" t="s">
        <v>90</v>
      </c>
      <c r="B2" s="98"/>
      <c r="C2" s="98"/>
      <c r="D2" s="76"/>
      <c r="E2" s="76"/>
      <c r="F2" s="76"/>
      <c r="G2" s="76"/>
      <c r="H2" s="76"/>
    </row>
    <row r="3">
      <c r="A3" s="100" t="s">
        <v>111</v>
      </c>
      <c r="B3" s="98"/>
      <c r="C3" s="98"/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100" t="s">
        <v>131</v>
      </c>
      <c r="B4" s="98"/>
      <c r="C4" s="98"/>
      <c r="D4" s="82" t="s">
        <v>143</v>
      </c>
      <c r="E4" s="83">
        <v>280.3358</v>
      </c>
      <c r="F4" s="84">
        <v>301.0</v>
      </c>
      <c r="G4" s="84">
        <v>267.22</v>
      </c>
      <c r="H4" s="84">
        <v>13.11583</v>
      </c>
    </row>
    <row r="5">
      <c r="D5" s="76"/>
      <c r="E5" s="83">
        <v>280.0088</v>
      </c>
      <c r="F5" s="84">
        <v>775.0</v>
      </c>
      <c r="G5" s="84">
        <v>266.14</v>
      </c>
      <c r="H5" s="84">
        <v>13.86875</v>
      </c>
    </row>
    <row r="6">
      <c r="D6" s="76"/>
      <c r="E6" s="83">
        <v>279.6442</v>
      </c>
      <c r="F6" s="84">
        <v>1247.0</v>
      </c>
      <c r="G6" s="84">
        <v>267.1</v>
      </c>
      <c r="H6" s="84">
        <v>12.54417</v>
      </c>
    </row>
    <row r="7">
      <c r="D7" s="76"/>
      <c r="E7" s="83">
        <v>279.6108</v>
      </c>
      <c r="F7" s="84">
        <v>1720.0</v>
      </c>
      <c r="G7" s="84">
        <v>265.92</v>
      </c>
      <c r="H7" s="84">
        <v>13.69083</v>
      </c>
    </row>
    <row r="8">
      <c r="D8" s="76"/>
      <c r="E8" s="83">
        <v>278.5713</v>
      </c>
      <c r="F8" s="84">
        <v>2193.0</v>
      </c>
      <c r="G8" s="84">
        <v>266.07</v>
      </c>
      <c r="H8" s="84">
        <v>12.50131</v>
      </c>
    </row>
    <row r="9">
      <c r="D9" s="76"/>
      <c r="E9" s="83">
        <v>278.1933</v>
      </c>
      <c r="F9" s="84">
        <v>2669.0</v>
      </c>
      <c r="G9" s="84">
        <v>265.72</v>
      </c>
      <c r="H9" s="84">
        <v>12.47333</v>
      </c>
    </row>
    <row r="10">
      <c r="D10" s="76"/>
      <c r="E10" s="83">
        <v>277.9279</v>
      </c>
      <c r="F10" s="84">
        <v>3155.0</v>
      </c>
      <c r="G10" s="84">
        <v>264.75</v>
      </c>
      <c r="H10" s="84">
        <v>13.17792</v>
      </c>
    </row>
    <row r="11">
      <c r="D11" s="82" t="s">
        <v>138</v>
      </c>
      <c r="E11" s="111">
        <v>277.4787</v>
      </c>
      <c r="F11" s="83">
        <v>3615.0</v>
      </c>
      <c r="G11" s="84">
        <v>266.45</v>
      </c>
      <c r="H11" s="84">
        <v>11.0287</v>
      </c>
    </row>
    <row r="12">
      <c r="D12" s="76"/>
      <c r="E12" s="112">
        <v>277.4625</v>
      </c>
      <c r="F12" s="84">
        <v>4088.0</v>
      </c>
      <c r="G12" s="84">
        <v>266.26</v>
      </c>
      <c r="H12" s="84">
        <v>11.2025</v>
      </c>
    </row>
    <row r="13">
      <c r="D13" s="76"/>
      <c r="E13" s="83">
        <v>277.6233</v>
      </c>
      <c r="F13" s="84">
        <v>4562.0</v>
      </c>
      <c r="G13" s="84">
        <v>266.54</v>
      </c>
      <c r="H13" s="84">
        <v>11.08334</v>
      </c>
    </row>
    <row r="14">
      <c r="D14" s="76"/>
      <c r="E14" s="83">
        <v>277.8867</v>
      </c>
      <c r="F14" s="84">
        <v>5034.0</v>
      </c>
      <c r="G14" s="84">
        <v>266.54</v>
      </c>
      <c r="H14" s="84">
        <v>11.34667</v>
      </c>
    </row>
    <row r="15">
      <c r="D15" s="76"/>
      <c r="E15" s="83">
        <v>277.5867</v>
      </c>
      <c r="F15" s="84">
        <v>5508.0</v>
      </c>
      <c r="G15" s="84">
        <v>266.04</v>
      </c>
      <c r="H15" s="84">
        <v>11.54667</v>
      </c>
    </row>
    <row r="16">
      <c r="D16" s="76"/>
      <c r="E16" s="83">
        <v>277.5233</v>
      </c>
      <c r="F16" s="84">
        <v>5980.0</v>
      </c>
      <c r="G16" s="84">
        <v>266.72</v>
      </c>
      <c r="H16" s="84">
        <v>10.80333</v>
      </c>
    </row>
    <row r="17">
      <c r="D17" s="76"/>
      <c r="E17" s="83">
        <v>277.4629</v>
      </c>
      <c r="F17" s="84">
        <v>6455.0</v>
      </c>
      <c r="G17" s="84">
        <v>266.95</v>
      </c>
      <c r="H17" s="84">
        <v>10.51291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5" t="s">
        <v>144</v>
      </c>
      <c r="B1" s="113"/>
      <c r="C1" s="113"/>
      <c r="D1" s="76"/>
      <c r="E1" s="77" t="s">
        <v>145</v>
      </c>
      <c r="I1" s="113"/>
      <c r="J1" s="113"/>
      <c r="K1" s="114" t="s">
        <v>146</v>
      </c>
      <c r="P1" s="113"/>
    </row>
    <row r="2">
      <c r="A2" s="85" t="s">
        <v>90</v>
      </c>
      <c r="B2" s="113"/>
      <c r="C2" s="113"/>
      <c r="D2" s="76"/>
      <c r="E2" s="76"/>
      <c r="F2" s="76"/>
      <c r="G2" s="76"/>
      <c r="H2" s="76"/>
      <c r="I2" s="113"/>
      <c r="J2" s="113"/>
      <c r="K2" s="113"/>
      <c r="L2" s="113"/>
      <c r="M2" s="113"/>
      <c r="N2" s="113"/>
      <c r="O2" s="113"/>
      <c r="P2" s="113"/>
    </row>
    <row r="3">
      <c r="A3" s="78" t="s">
        <v>111</v>
      </c>
      <c r="B3" s="113"/>
      <c r="C3" s="113"/>
      <c r="D3" s="76"/>
      <c r="E3" s="115" t="s">
        <v>10</v>
      </c>
      <c r="F3" s="116" t="s">
        <v>11</v>
      </c>
      <c r="G3" s="116" t="s">
        <v>12</v>
      </c>
      <c r="H3" s="117" t="s">
        <v>147</v>
      </c>
      <c r="I3" s="113"/>
      <c r="J3" s="113"/>
      <c r="K3" s="113"/>
      <c r="L3" s="118" t="s">
        <v>10</v>
      </c>
      <c r="M3" s="119" t="s">
        <v>11</v>
      </c>
      <c r="N3" s="119" t="s">
        <v>12</v>
      </c>
      <c r="O3" s="120" t="s">
        <v>147</v>
      </c>
      <c r="P3" s="113"/>
    </row>
    <row r="4">
      <c r="A4" s="78" t="s">
        <v>118</v>
      </c>
      <c r="B4" s="113"/>
      <c r="C4" s="113"/>
      <c r="D4" s="121" t="s">
        <v>66</v>
      </c>
      <c r="E4" s="122">
        <v>284.28736</v>
      </c>
      <c r="F4" s="122">
        <v>310.0</v>
      </c>
      <c r="G4" s="122">
        <v>274.79</v>
      </c>
      <c r="H4" s="122">
        <v>9.49735</v>
      </c>
      <c r="I4" s="113"/>
      <c r="J4" s="113"/>
      <c r="K4" s="121" t="s">
        <v>21</v>
      </c>
      <c r="L4" s="123">
        <v>280.90352</v>
      </c>
      <c r="M4" s="123">
        <v>389.0</v>
      </c>
      <c r="N4" s="123">
        <v>273.98</v>
      </c>
      <c r="O4" s="123">
        <v>6.92351</v>
      </c>
      <c r="P4" s="113"/>
    </row>
    <row r="5">
      <c r="A5" s="113"/>
      <c r="B5" s="113"/>
      <c r="C5" s="113"/>
      <c r="D5" s="92"/>
      <c r="E5" s="123">
        <v>284.39793</v>
      </c>
      <c r="F5" s="123">
        <v>784.0</v>
      </c>
      <c r="G5" s="123">
        <v>274.65</v>
      </c>
      <c r="H5" s="123">
        <v>9.74794</v>
      </c>
      <c r="I5" s="113"/>
      <c r="J5" s="113"/>
      <c r="K5" s="92"/>
      <c r="L5" s="123">
        <v>280.61011</v>
      </c>
      <c r="M5" s="123">
        <v>861.0</v>
      </c>
      <c r="N5" s="123">
        <v>273.85</v>
      </c>
      <c r="O5" s="123">
        <v>6.7601</v>
      </c>
      <c r="P5" s="113"/>
    </row>
    <row r="6">
      <c r="A6" s="113"/>
      <c r="B6" s="113"/>
      <c r="C6" s="113"/>
      <c r="D6" s="92"/>
      <c r="E6" s="123">
        <v>284.6177</v>
      </c>
      <c r="F6" s="123">
        <v>1256.0</v>
      </c>
      <c r="G6" s="123">
        <v>274.29</v>
      </c>
      <c r="H6" s="123">
        <v>10.32769</v>
      </c>
      <c r="I6" s="113"/>
      <c r="J6" s="113"/>
      <c r="K6" s="92"/>
      <c r="L6" s="123">
        <v>280.64138</v>
      </c>
      <c r="M6" s="123">
        <v>1334.0</v>
      </c>
      <c r="N6" s="123">
        <v>273.73</v>
      </c>
      <c r="O6" s="123">
        <v>6.91137</v>
      </c>
      <c r="P6" s="113"/>
    </row>
    <row r="7">
      <c r="A7" s="113"/>
      <c r="B7" s="113"/>
      <c r="C7" s="113"/>
      <c r="D7" s="92"/>
      <c r="E7" s="123">
        <v>284.45625</v>
      </c>
      <c r="F7" s="123">
        <v>3029.0</v>
      </c>
      <c r="G7" s="123">
        <v>274.14</v>
      </c>
      <c r="H7" s="123">
        <v>10.31624</v>
      </c>
      <c r="I7" s="113"/>
      <c r="J7" s="113"/>
      <c r="K7" s="124"/>
      <c r="L7" s="123">
        <v>280.53034</v>
      </c>
      <c r="M7" s="123">
        <v>1807.0</v>
      </c>
      <c r="N7" s="123">
        <v>273.64</v>
      </c>
      <c r="O7" s="123">
        <v>6.89033</v>
      </c>
      <c r="P7" s="113"/>
    </row>
    <row r="8">
      <c r="A8" s="113"/>
      <c r="B8" s="113"/>
      <c r="C8" s="113"/>
      <c r="D8" s="92"/>
      <c r="E8" s="123">
        <v>284.30598</v>
      </c>
      <c r="F8" s="123">
        <v>3504.0</v>
      </c>
      <c r="G8" s="123">
        <v>274.23</v>
      </c>
      <c r="H8" s="123">
        <v>10.07597</v>
      </c>
      <c r="I8" s="113"/>
      <c r="J8" s="113"/>
      <c r="K8" s="92"/>
      <c r="L8" s="123">
        <v>280.31126</v>
      </c>
      <c r="M8" s="123">
        <v>2282.0</v>
      </c>
      <c r="N8" s="123">
        <v>273.24</v>
      </c>
      <c r="O8" s="123">
        <v>7.07127</v>
      </c>
      <c r="P8" s="113"/>
    </row>
    <row r="9">
      <c r="A9" s="113"/>
      <c r="B9" s="113"/>
      <c r="C9" s="113"/>
      <c r="D9" s="92"/>
      <c r="E9" s="123">
        <v>284.19069</v>
      </c>
      <c r="F9" s="123">
        <v>3975.0</v>
      </c>
      <c r="G9" s="123">
        <v>274.08</v>
      </c>
      <c r="H9" s="123">
        <v>10.1107</v>
      </c>
      <c r="I9" s="113"/>
      <c r="J9" s="113"/>
      <c r="K9" s="124"/>
      <c r="L9" s="123">
        <v>280.29782</v>
      </c>
      <c r="M9" s="123">
        <v>2755.0</v>
      </c>
      <c r="N9" s="123">
        <v>273.24</v>
      </c>
      <c r="O9" s="123">
        <v>7.05783</v>
      </c>
      <c r="P9" s="113"/>
    </row>
    <row r="10">
      <c r="A10" s="113"/>
      <c r="B10" s="113"/>
      <c r="C10" s="113"/>
      <c r="D10" s="125" t="s">
        <v>22</v>
      </c>
      <c r="E10" s="123">
        <v>283.68057</v>
      </c>
      <c r="F10" s="123">
        <v>4448.0</v>
      </c>
      <c r="G10" s="123">
        <v>274.98</v>
      </c>
      <c r="H10" s="123">
        <v>8.70056</v>
      </c>
      <c r="I10" s="113"/>
      <c r="J10" s="113"/>
      <c r="K10" s="125" t="s">
        <v>148</v>
      </c>
      <c r="L10" s="123">
        <v>279.46216</v>
      </c>
      <c r="M10" s="123">
        <v>3228.0</v>
      </c>
      <c r="N10" s="123">
        <v>273.56</v>
      </c>
      <c r="O10" s="123">
        <v>5.90216</v>
      </c>
      <c r="P10" s="113"/>
    </row>
    <row r="11">
      <c r="A11" s="113"/>
      <c r="B11" s="113"/>
      <c r="C11" s="113"/>
      <c r="D11" s="126"/>
      <c r="E11" s="123">
        <v>283.47125</v>
      </c>
      <c r="F11" s="123">
        <v>4921.0</v>
      </c>
      <c r="G11" s="123">
        <v>275.38</v>
      </c>
      <c r="H11" s="123">
        <v>8.09125</v>
      </c>
      <c r="I11" s="113"/>
      <c r="J11" s="113"/>
      <c r="K11" s="92"/>
      <c r="L11" s="123">
        <v>279.45058</v>
      </c>
      <c r="M11" s="123">
        <v>3701.0</v>
      </c>
      <c r="N11" s="123">
        <v>273.81</v>
      </c>
      <c r="O11" s="123">
        <v>5.64058</v>
      </c>
      <c r="P11" s="113"/>
    </row>
    <row r="12">
      <c r="A12" s="113"/>
      <c r="B12" s="113"/>
      <c r="C12" s="113"/>
      <c r="D12" s="92"/>
      <c r="E12" s="123">
        <v>283.27104</v>
      </c>
      <c r="F12" s="123">
        <v>5396.0</v>
      </c>
      <c r="G12" s="123">
        <v>275.02</v>
      </c>
      <c r="H12" s="123">
        <v>8.25105</v>
      </c>
      <c r="I12" s="113"/>
      <c r="J12" s="113"/>
      <c r="K12" s="92"/>
      <c r="L12" s="123">
        <v>279.34432</v>
      </c>
      <c r="M12" s="123">
        <v>4174.0</v>
      </c>
      <c r="N12" s="123">
        <v>273.75</v>
      </c>
      <c r="O12" s="123">
        <v>5.59432</v>
      </c>
      <c r="P12" s="113"/>
    </row>
    <row r="13">
      <c r="A13" s="113"/>
      <c r="B13" s="113"/>
      <c r="C13" s="113"/>
      <c r="D13" s="92"/>
      <c r="E13" s="123">
        <v>283.16636</v>
      </c>
      <c r="F13" s="123">
        <v>5871.0</v>
      </c>
      <c r="G13" s="123">
        <v>274.54</v>
      </c>
      <c r="H13" s="123">
        <v>8.62635</v>
      </c>
      <c r="I13" s="113"/>
      <c r="J13" s="113"/>
      <c r="K13" s="92"/>
      <c r="L13" s="123">
        <v>279.19068</v>
      </c>
      <c r="M13" s="123">
        <v>4648.0</v>
      </c>
      <c r="N13" s="123">
        <v>273.33</v>
      </c>
      <c r="O13" s="123">
        <v>5.86069</v>
      </c>
      <c r="P13" s="113"/>
    </row>
    <row r="14">
      <c r="A14" s="113"/>
      <c r="B14" s="113"/>
      <c r="C14" s="113"/>
      <c r="D14" s="92"/>
      <c r="E14" s="123">
        <v>282.97148</v>
      </c>
      <c r="F14" s="123">
        <v>6342.0</v>
      </c>
      <c r="G14" s="123">
        <v>274.23</v>
      </c>
      <c r="H14" s="123">
        <v>8.74147</v>
      </c>
      <c r="I14" s="113"/>
      <c r="J14" s="113"/>
      <c r="K14" s="92"/>
      <c r="L14" s="123">
        <v>279.28568</v>
      </c>
      <c r="M14" s="123">
        <v>5121.0</v>
      </c>
      <c r="N14" s="123">
        <v>273.56</v>
      </c>
      <c r="O14" s="123">
        <v>5.72568</v>
      </c>
      <c r="P14" s="113"/>
    </row>
    <row r="15">
      <c r="A15" s="113"/>
      <c r="B15" s="113"/>
      <c r="C15" s="113"/>
      <c r="D15" s="92"/>
      <c r="E15" s="123">
        <v>282.97875</v>
      </c>
      <c r="F15" s="123">
        <v>6815.0</v>
      </c>
      <c r="G15" s="123">
        <v>274.25</v>
      </c>
      <c r="H15" s="123">
        <v>8.72875</v>
      </c>
      <c r="I15" s="113"/>
      <c r="J15" s="113"/>
      <c r="K15" s="124"/>
      <c r="L15" s="123">
        <v>279.1954</v>
      </c>
      <c r="M15" s="123">
        <v>5595.0</v>
      </c>
      <c r="N15" s="123">
        <v>273.31</v>
      </c>
      <c r="O15" s="123">
        <v>5.8854</v>
      </c>
      <c r="P15" s="113"/>
    </row>
    <row r="16">
      <c r="A16" s="113"/>
      <c r="B16" s="113"/>
      <c r="C16" s="113"/>
      <c r="D16" s="92"/>
      <c r="E16" s="123">
        <v>283.01184</v>
      </c>
      <c r="F16" s="123">
        <v>7288.0</v>
      </c>
      <c r="G16" s="123">
        <v>274.02</v>
      </c>
      <c r="H16" s="123">
        <v>8.99185</v>
      </c>
      <c r="I16" s="113"/>
      <c r="J16" s="113"/>
      <c r="K16" s="113"/>
      <c r="L16" s="113"/>
      <c r="M16" s="113"/>
      <c r="N16" s="113"/>
      <c r="O16" s="113"/>
      <c r="P16" s="113"/>
    </row>
    <row r="17">
      <c r="A17" s="113"/>
      <c r="B17" s="113"/>
      <c r="C17" s="113"/>
      <c r="D17" s="124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</row>
    <row r="18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</row>
    <row r="19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</row>
    <row r="20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</row>
    <row r="2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</row>
    <row r="22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</row>
    <row r="23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</row>
  </sheetData>
  <mergeCells count="2">
    <mergeCell ref="E1:H1"/>
    <mergeCell ref="K1:O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5" t="s">
        <v>149</v>
      </c>
      <c r="B1" s="113"/>
      <c r="C1" s="113"/>
      <c r="D1" s="82" t="s">
        <v>150</v>
      </c>
      <c r="I1" s="113"/>
      <c r="J1" s="77" t="s">
        <v>151</v>
      </c>
    </row>
    <row r="2">
      <c r="A2" s="85" t="s">
        <v>90</v>
      </c>
      <c r="B2" s="113"/>
      <c r="C2" s="113"/>
      <c r="D2" s="76"/>
      <c r="E2" s="76"/>
      <c r="F2" s="76"/>
      <c r="G2" s="76"/>
      <c r="H2" s="76"/>
      <c r="I2" s="113"/>
      <c r="J2" s="113"/>
      <c r="K2" s="113"/>
      <c r="L2" s="113"/>
      <c r="M2" s="113"/>
      <c r="N2" s="113"/>
    </row>
    <row r="3">
      <c r="A3" s="78" t="s">
        <v>111</v>
      </c>
      <c r="B3" s="113"/>
      <c r="C3" s="113"/>
      <c r="D3" s="87"/>
      <c r="E3" s="80" t="s">
        <v>10</v>
      </c>
      <c r="F3" s="80" t="s">
        <v>11</v>
      </c>
      <c r="G3" s="80" t="s">
        <v>12</v>
      </c>
      <c r="H3" s="127" t="s">
        <v>152</v>
      </c>
      <c r="I3" s="113"/>
      <c r="J3" s="87"/>
      <c r="K3" s="80" t="s">
        <v>10</v>
      </c>
      <c r="L3" s="80" t="s">
        <v>11</v>
      </c>
      <c r="M3" s="80" t="s">
        <v>12</v>
      </c>
      <c r="N3" s="127" t="s">
        <v>152</v>
      </c>
    </row>
    <row r="4">
      <c r="A4" s="78" t="s">
        <v>118</v>
      </c>
      <c r="B4" s="113"/>
      <c r="C4" s="113"/>
      <c r="D4" s="125" t="s">
        <v>153</v>
      </c>
      <c r="E4" s="123">
        <v>83.13954</v>
      </c>
      <c r="F4" s="123">
        <v>362.0</v>
      </c>
      <c r="G4" s="123">
        <v>73.33</v>
      </c>
      <c r="H4" s="123">
        <v>9.80954</v>
      </c>
      <c r="I4" s="113"/>
      <c r="J4" s="125" t="s">
        <v>154</v>
      </c>
      <c r="K4" s="123">
        <v>73.90096</v>
      </c>
      <c r="L4" s="123">
        <v>366.0</v>
      </c>
      <c r="M4" s="123">
        <v>69.16</v>
      </c>
      <c r="N4" s="123">
        <v>4.74096</v>
      </c>
    </row>
    <row r="5">
      <c r="A5" s="113"/>
      <c r="B5" s="113"/>
      <c r="C5" s="113"/>
      <c r="D5" s="92"/>
      <c r="E5" s="123">
        <v>82.87705</v>
      </c>
      <c r="F5" s="123">
        <v>832.0</v>
      </c>
      <c r="G5" s="123">
        <v>73.2</v>
      </c>
      <c r="H5" s="123">
        <v>9.67705</v>
      </c>
      <c r="I5" s="113"/>
      <c r="J5" s="92"/>
      <c r="K5" s="123">
        <v>74.00327</v>
      </c>
      <c r="L5" s="123">
        <v>844.0</v>
      </c>
      <c r="M5" s="123">
        <v>69.08</v>
      </c>
      <c r="N5" s="123">
        <v>4.92327</v>
      </c>
    </row>
    <row r="6">
      <c r="A6" s="113"/>
      <c r="B6" s="113"/>
      <c r="C6" s="113"/>
      <c r="D6" s="92"/>
      <c r="E6" s="123">
        <v>82.36288</v>
      </c>
      <c r="F6" s="123">
        <v>1308.0</v>
      </c>
      <c r="G6" s="123">
        <v>72.92</v>
      </c>
      <c r="H6" s="123">
        <v>9.44288</v>
      </c>
      <c r="I6" s="113"/>
      <c r="J6" s="92"/>
      <c r="K6" s="123">
        <v>73.80308</v>
      </c>
      <c r="L6" s="123">
        <v>1312.0</v>
      </c>
      <c r="M6" s="123">
        <v>69.37</v>
      </c>
      <c r="N6" s="123">
        <v>4.43308</v>
      </c>
    </row>
    <row r="7">
      <c r="A7" s="113"/>
      <c r="B7" s="113"/>
      <c r="C7" s="113"/>
      <c r="D7" s="92"/>
      <c r="E7" s="123">
        <v>81.76662</v>
      </c>
      <c r="F7" s="123">
        <v>1777.0</v>
      </c>
      <c r="G7" s="123">
        <v>72.17</v>
      </c>
      <c r="H7" s="123">
        <v>9.59662</v>
      </c>
      <c r="I7" s="113"/>
      <c r="J7" s="92"/>
      <c r="K7" s="123">
        <v>73.71904</v>
      </c>
      <c r="L7" s="123">
        <v>1788.0</v>
      </c>
      <c r="M7" s="123">
        <v>69.06</v>
      </c>
      <c r="N7" s="123">
        <v>4.65904</v>
      </c>
    </row>
    <row r="8">
      <c r="A8" s="113"/>
      <c r="B8" s="113"/>
      <c r="C8" s="113"/>
      <c r="D8" s="92"/>
      <c r="E8" s="123">
        <v>81.5315</v>
      </c>
      <c r="F8" s="123">
        <v>2252.0</v>
      </c>
      <c r="G8" s="123">
        <v>71.81</v>
      </c>
      <c r="H8" s="123">
        <v>9.7215</v>
      </c>
      <c r="I8" s="113"/>
      <c r="J8" s="92"/>
      <c r="K8" s="123">
        <v>73.55415</v>
      </c>
      <c r="L8" s="123">
        <v>2260.0</v>
      </c>
      <c r="M8" s="123">
        <v>69.27</v>
      </c>
      <c r="N8" s="123">
        <v>4.28415</v>
      </c>
    </row>
    <row r="9">
      <c r="A9" s="113"/>
      <c r="B9" s="113"/>
      <c r="C9" s="113"/>
      <c r="D9" s="92"/>
      <c r="E9" s="123">
        <v>81.05275</v>
      </c>
      <c r="F9" s="123">
        <v>2725.0</v>
      </c>
      <c r="G9" s="123">
        <v>71.14</v>
      </c>
      <c r="H9" s="123">
        <v>9.91275</v>
      </c>
      <c r="I9" s="113"/>
      <c r="J9" s="92"/>
      <c r="K9" s="123">
        <v>73.47717</v>
      </c>
      <c r="L9" s="123">
        <v>2739.0</v>
      </c>
      <c r="M9" s="123">
        <v>68.7</v>
      </c>
      <c r="N9" s="123">
        <v>4.77717</v>
      </c>
    </row>
    <row r="10">
      <c r="A10" s="113"/>
      <c r="B10" s="113"/>
      <c r="C10" s="113"/>
      <c r="D10" s="125" t="s">
        <v>148</v>
      </c>
      <c r="E10" s="25">
        <v>80.834</v>
      </c>
      <c r="F10" s="25">
        <v>3196.0</v>
      </c>
      <c r="G10" s="25">
        <v>73.24</v>
      </c>
      <c r="H10" s="25">
        <v>7.594</v>
      </c>
      <c r="I10" s="113"/>
      <c r="J10" s="125" t="s">
        <v>155</v>
      </c>
      <c r="K10" s="25">
        <v>73.70981</v>
      </c>
      <c r="L10" s="25">
        <v>3207.0</v>
      </c>
      <c r="M10" s="25">
        <v>70.63</v>
      </c>
      <c r="N10" s="25">
        <v>3.07981</v>
      </c>
    </row>
    <row r="11">
      <c r="A11" s="113"/>
      <c r="B11" s="113"/>
      <c r="C11" s="113"/>
      <c r="D11" s="92"/>
      <c r="E11" s="123">
        <v>80.32163</v>
      </c>
      <c r="F11" s="123">
        <v>3673.0</v>
      </c>
      <c r="G11" s="123">
        <v>73.64</v>
      </c>
      <c r="H11" s="123">
        <v>6.68163</v>
      </c>
      <c r="I11" s="113"/>
      <c r="J11" s="92"/>
      <c r="K11" s="123">
        <v>72.9566</v>
      </c>
      <c r="L11" s="123">
        <v>3682.0</v>
      </c>
      <c r="M11" s="123">
        <v>70.34</v>
      </c>
      <c r="N11" s="123">
        <v>2.6166</v>
      </c>
    </row>
    <row r="12">
      <c r="A12" s="113"/>
      <c r="B12" s="113"/>
      <c r="C12" s="113"/>
      <c r="D12" s="92"/>
      <c r="E12" s="123">
        <v>79.9552</v>
      </c>
      <c r="F12" s="123">
        <v>4148.0</v>
      </c>
      <c r="G12" s="123">
        <v>72.76</v>
      </c>
      <c r="H12" s="123">
        <v>7.1952</v>
      </c>
      <c r="I12" s="113"/>
      <c r="J12" s="92"/>
      <c r="K12" s="123">
        <v>72.68231</v>
      </c>
      <c r="L12" s="123">
        <v>4167.0</v>
      </c>
      <c r="M12" s="123">
        <v>70.23</v>
      </c>
      <c r="N12" s="123">
        <v>2.45231</v>
      </c>
    </row>
    <row r="13">
      <c r="A13" s="113"/>
      <c r="B13" s="113"/>
      <c r="C13" s="113"/>
      <c r="D13" s="92"/>
      <c r="E13" s="123">
        <v>79.79488</v>
      </c>
      <c r="F13" s="123">
        <v>4623.0</v>
      </c>
      <c r="G13" s="123">
        <v>72.95</v>
      </c>
      <c r="H13" s="123">
        <v>6.84488</v>
      </c>
      <c r="I13" s="113"/>
      <c r="J13" s="92"/>
      <c r="K13" s="123">
        <v>72.28538</v>
      </c>
      <c r="L13" s="123">
        <v>4629.0</v>
      </c>
      <c r="M13" s="123">
        <v>70.23</v>
      </c>
      <c r="N13" s="123">
        <v>2.05538</v>
      </c>
    </row>
    <row r="14">
      <c r="A14" s="113"/>
      <c r="B14" s="113"/>
      <c r="C14" s="113"/>
      <c r="D14" s="92"/>
      <c r="E14" s="123">
        <v>79.20413</v>
      </c>
      <c r="F14" s="123">
        <v>5094.0</v>
      </c>
      <c r="G14" s="123">
        <v>72.04</v>
      </c>
      <c r="H14" s="123">
        <v>7.16413</v>
      </c>
      <c r="I14" s="113"/>
      <c r="J14" s="92"/>
      <c r="K14" s="123">
        <v>71.68852</v>
      </c>
      <c r="L14" s="123">
        <v>5099.0</v>
      </c>
      <c r="M14" s="123">
        <v>69.88</v>
      </c>
      <c r="N14" s="123">
        <v>1.80852</v>
      </c>
    </row>
    <row r="15">
      <c r="A15" s="113"/>
      <c r="B15" s="113"/>
      <c r="C15" s="113"/>
      <c r="D15" s="92"/>
      <c r="E15" s="123">
        <v>78.82595</v>
      </c>
      <c r="F15" s="123">
        <v>5567.0</v>
      </c>
      <c r="G15" s="123">
        <v>72.32</v>
      </c>
      <c r="H15" s="123">
        <v>6.50595</v>
      </c>
      <c r="I15" s="113"/>
      <c r="J15" s="92"/>
      <c r="K15" s="123">
        <v>72.27938</v>
      </c>
      <c r="L15" s="123">
        <v>5581.0</v>
      </c>
      <c r="M15" s="123">
        <v>70.28</v>
      </c>
      <c r="N15" s="123">
        <v>1.99938</v>
      </c>
    </row>
    <row r="16">
      <c r="A16" s="113"/>
      <c r="B16" s="113"/>
      <c r="C16" s="113"/>
      <c r="D16" s="92"/>
      <c r="E16" s="123">
        <v>78.41079</v>
      </c>
      <c r="F16" s="123">
        <v>6041.0</v>
      </c>
      <c r="G16" s="123">
        <v>72.21</v>
      </c>
      <c r="H16" s="123">
        <v>6.20079</v>
      </c>
      <c r="I16" s="113"/>
      <c r="J16" s="92"/>
      <c r="K16" s="123">
        <v>72.19469</v>
      </c>
      <c r="L16" s="123">
        <v>6055.0</v>
      </c>
      <c r="M16" s="123">
        <v>68.97</v>
      </c>
      <c r="N16" s="123">
        <v>3.22469</v>
      </c>
    </row>
    <row r="17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</row>
    <row r="18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76"/>
    </row>
    <row r="19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76"/>
    </row>
    <row r="20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76"/>
    </row>
    <row r="2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76"/>
    </row>
    <row r="22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76"/>
    </row>
    <row r="23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76"/>
    </row>
  </sheetData>
  <mergeCells count="2">
    <mergeCell ref="D1:H1"/>
    <mergeCell ref="J1:N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5" t="s">
        <v>156</v>
      </c>
      <c r="B1" s="113"/>
      <c r="C1" s="113"/>
      <c r="D1" s="76"/>
      <c r="E1" s="114" t="s">
        <v>157</v>
      </c>
      <c r="J1" s="77" t="s">
        <v>158</v>
      </c>
    </row>
    <row r="2">
      <c r="A2" s="85" t="s">
        <v>90</v>
      </c>
      <c r="B2" s="113"/>
      <c r="C2" s="113"/>
      <c r="D2" s="76"/>
      <c r="E2" s="76"/>
      <c r="F2" s="76"/>
      <c r="G2" s="76"/>
      <c r="H2" s="76"/>
      <c r="I2" s="113"/>
      <c r="J2" s="113"/>
      <c r="K2" s="113"/>
      <c r="L2" s="113"/>
      <c r="M2" s="113"/>
      <c r="N2" s="113"/>
    </row>
    <row r="3">
      <c r="A3" s="78" t="s">
        <v>111</v>
      </c>
      <c r="B3" s="113"/>
      <c r="C3" s="113"/>
      <c r="D3" s="87"/>
      <c r="E3" s="80" t="s">
        <v>10</v>
      </c>
      <c r="F3" s="80" t="s">
        <v>11</v>
      </c>
      <c r="G3" s="80" t="s">
        <v>12</v>
      </c>
      <c r="H3" s="127" t="s">
        <v>152</v>
      </c>
      <c r="I3" s="113"/>
      <c r="J3" s="87"/>
      <c r="K3" s="80" t="s">
        <v>10</v>
      </c>
      <c r="L3" s="80" t="s">
        <v>11</v>
      </c>
      <c r="M3" s="80" t="s">
        <v>12</v>
      </c>
      <c r="N3" s="127" t="s">
        <v>152</v>
      </c>
    </row>
    <row r="4">
      <c r="A4" s="78" t="s">
        <v>131</v>
      </c>
      <c r="B4" s="113"/>
      <c r="C4" s="113"/>
      <c r="D4" s="125" t="s">
        <v>65</v>
      </c>
      <c r="E4" s="128">
        <v>281.2721</v>
      </c>
      <c r="F4" s="128">
        <v>384.0</v>
      </c>
      <c r="G4" s="128">
        <v>264.92</v>
      </c>
      <c r="H4" s="128">
        <v>16.3521</v>
      </c>
      <c r="I4" s="113"/>
      <c r="J4" s="125" t="s">
        <v>159</v>
      </c>
      <c r="K4" s="128">
        <v>278.2713</v>
      </c>
      <c r="L4" s="128">
        <v>313.0</v>
      </c>
      <c r="M4" s="128">
        <v>265.76</v>
      </c>
      <c r="N4" s="128">
        <v>12.51131</v>
      </c>
    </row>
    <row r="5">
      <c r="A5" s="113"/>
      <c r="B5" s="113"/>
      <c r="C5" s="113"/>
      <c r="D5" s="92"/>
      <c r="E5" s="128">
        <v>280.9805</v>
      </c>
      <c r="F5" s="128">
        <v>856.0</v>
      </c>
      <c r="G5" s="128">
        <v>264.65</v>
      </c>
      <c r="H5" s="128">
        <v>16.33052</v>
      </c>
      <c r="I5" s="113"/>
      <c r="J5" s="124"/>
      <c r="K5" s="128">
        <v>278.2624</v>
      </c>
      <c r="L5" s="128">
        <v>788.0</v>
      </c>
      <c r="M5" s="128">
        <v>265.28</v>
      </c>
      <c r="N5" s="128">
        <v>12.98237</v>
      </c>
    </row>
    <row r="6">
      <c r="A6" s="113"/>
      <c r="B6" s="113"/>
      <c r="C6" s="113"/>
      <c r="D6" s="92"/>
      <c r="E6" s="128">
        <v>280.7933</v>
      </c>
      <c r="F6" s="128">
        <v>1330.0</v>
      </c>
      <c r="G6" s="128">
        <v>265.09</v>
      </c>
      <c r="H6" s="128">
        <v>15.70333</v>
      </c>
      <c r="I6" s="113"/>
      <c r="J6" s="92"/>
      <c r="K6" s="128">
        <v>278.1287</v>
      </c>
      <c r="L6" s="128">
        <v>1260.0</v>
      </c>
      <c r="M6" s="128">
        <v>265.32</v>
      </c>
      <c r="N6" s="128">
        <v>12.80868</v>
      </c>
    </row>
    <row r="7">
      <c r="A7" s="113"/>
      <c r="B7" s="113"/>
      <c r="C7" s="113"/>
      <c r="D7" s="124"/>
      <c r="E7" s="128">
        <v>280.7666</v>
      </c>
      <c r="F7" s="128">
        <v>1804.0</v>
      </c>
      <c r="G7" s="128">
        <v>264.52</v>
      </c>
      <c r="H7" s="128">
        <v>16.24659</v>
      </c>
      <c r="I7" s="113"/>
      <c r="J7" s="92"/>
      <c r="K7" s="128">
        <v>278.0661</v>
      </c>
      <c r="L7" s="128">
        <v>1734.0</v>
      </c>
      <c r="M7" s="128">
        <v>265.46</v>
      </c>
      <c r="N7" s="128">
        <v>12.60606</v>
      </c>
    </row>
    <row r="8">
      <c r="A8" s="113"/>
      <c r="B8" s="113"/>
      <c r="C8" s="113"/>
      <c r="D8" s="92"/>
      <c r="E8" s="128">
        <v>280.6298</v>
      </c>
      <c r="F8" s="128">
        <v>2276.0</v>
      </c>
      <c r="G8" s="128">
        <v>264.59</v>
      </c>
      <c r="H8" s="128">
        <v>16.03975</v>
      </c>
      <c r="I8" s="113"/>
      <c r="J8" s="92"/>
      <c r="K8" s="128">
        <v>278.0114</v>
      </c>
      <c r="L8" s="128">
        <v>2206.0</v>
      </c>
      <c r="M8" s="128">
        <v>265.32</v>
      </c>
      <c r="N8" s="128">
        <v>12.69134</v>
      </c>
    </row>
    <row r="9">
      <c r="A9" s="113"/>
      <c r="B9" s="113"/>
      <c r="C9" s="113"/>
      <c r="D9" s="92"/>
      <c r="E9" s="128">
        <v>280.5641</v>
      </c>
      <c r="F9" s="128">
        <v>2750.0</v>
      </c>
      <c r="G9" s="128">
        <v>265.19</v>
      </c>
      <c r="H9" s="128">
        <v>15.3741</v>
      </c>
      <c r="I9" s="113"/>
      <c r="J9" s="124"/>
      <c r="K9" s="128">
        <v>277.9397</v>
      </c>
      <c r="L9" s="128">
        <v>2680.0</v>
      </c>
      <c r="M9" s="128">
        <v>264.65</v>
      </c>
      <c r="N9" s="128">
        <v>13.28975</v>
      </c>
    </row>
    <row r="10">
      <c r="A10" s="113"/>
      <c r="B10" s="113"/>
      <c r="C10" s="113"/>
      <c r="D10" s="124"/>
      <c r="E10" s="128">
        <v>280.4582</v>
      </c>
      <c r="F10" s="128">
        <v>3224.0</v>
      </c>
      <c r="G10" s="128">
        <v>264.94</v>
      </c>
      <c r="H10" s="128">
        <v>15.51821</v>
      </c>
      <c r="I10" s="113"/>
      <c r="J10" s="125" t="s">
        <v>148</v>
      </c>
      <c r="K10" s="25">
        <v>277.2795</v>
      </c>
      <c r="L10" s="25">
        <v>3152.0</v>
      </c>
      <c r="M10" s="25">
        <v>265.49</v>
      </c>
      <c r="N10" s="25">
        <v>11.78948</v>
      </c>
    </row>
    <row r="11">
      <c r="A11" s="113"/>
      <c r="B11" s="113"/>
      <c r="C11" s="113"/>
      <c r="D11" s="125" t="s">
        <v>67</v>
      </c>
      <c r="E11" s="128">
        <v>281.3415</v>
      </c>
      <c r="F11" s="128">
        <v>3696.0</v>
      </c>
      <c r="G11" s="128">
        <v>268.14</v>
      </c>
      <c r="H11" s="128">
        <v>13.20153</v>
      </c>
      <c r="I11" s="113"/>
      <c r="J11" s="124"/>
      <c r="K11" s="128">
        <v>276.9053</v>
      </c>
      <c r="L11" s="128">
        <v>3624.0</v>
      </c>
      <c r="M11" s="128">
        <v>265.72</v>
      </c>
      <c r="N11" s="128">
        <v>11.18526</v>
      </c>
    </row>
    <row r="12">
      <c r="A12" s="113"/>
      <c r="B12" s="113"/>
      <c r="C12" s="113"/>
      <c r="D12" s="92"/>
      <c r="E12" s="128">
        <v>281.0771</v>
      </c>
      <c r="F12" s="128">
        <v>4171.0</v>
      </c>
      <c r="G12" s="128">
        <v>268.48</v>
      </c>
      <c r="H12" s="128">
        <v>12.5971</v>
      </c>
      <c r="I12" s="113"/>
      <c r="J12" s="92"/>
      <c r="K12" s="128">
        <v>276.4958</v>
      </c>
      <c r="L12" s="128">
        <v>4098.0</v>
      </c>
      <c r="M12" s="128">
        <v>265.36</v>
      </c>
      <c r="N12" s="128">
        <v>11.1358</v>
      </c>
    </row>
    <row r="13">
      <c r="A13" s="113"/>
      <c r="B13" s="113"/>
      <c r="C13" s="113"/>
      <c r="D13" s="124"/>
      <c r="E13" s="128">
        <v>280.4962</v>
      </c>
      <c r="F13" s="128">
        <v>4646.0</v>
      </c>
      <c r="G13" s="128">
        <v>267.87</v>
      </c>
      <c r="H13" s="128">
        <v>12.62615</v>
      </c>
      <c r="I13" s="113"/>
      <c r="J13" s="92"/>
      <c r="K13" s="128">
        <v>276.3813</v>
      </c>
      <c r="L13" s="128">
        <v>4571.0</v>
      </c>
      <c r="M13" s="128">
        <v>265.17</v>
      </c>
      <c r="N13" s="128">
        <v>11.21131</v>
      </c>
    </row>
    <row r="14">
      <c r="A14" s="113"/>
      <c r="B14" s="113"/>
      <c r="C14" s="113"/>
      <c r="D14" s="92"/>
      <c r="E14" s="128">
        <v>280.5672</v>
      </c>
      <c r="F14" s="128">
        <v>5119.0</v>
      </c>
      <c r="G14" s="128">
        <v>267.79</v>
      </c>
      <c r="H14" s="128">
        <v>12.77717</v>
      </c>
      <c r="I14" s="113"/>
      <c r="J14" s="92"/>
      <c r="K14" s="128">
        <v>275.5321</v>
      </c>
      <c r="L14" s="128">
        <v>5044.0</v>
      </c>
      <c r="M14" s="128">
        <v>264.82</v>
      </c>
      <c r="N14" s="128">
        <v>10.7121</v>
      </c>
    </row>
    <row r="15">
      <c r="A15" s="113"/>
      <c r="B15" s="113"/>
      <c r="C15" s="113"/>
      <c r="D15" s="92"/>
      <c r="E15" s="128">
        <v>280.8459</v>
      </c>
      <c r="F15" s="128">
        <v>5593.0</v>
      </c>
      <c r="G15" s="128">
        <v>267.7</v>
      </c>
      <c r="H15" s="128">
        <v>13.14589</v>
      </c>
      <c r="I15" s="113"/>
      <c r="J15" s="92"/>
      <c r="K15" s="128">
        <v>275.2074</v>
      </c>
      <c r="L15" s="128">
        <v>5520.0</v>
      </c>
      <c r="M15" s="128">
        <v>264.69</v>
      </c>
      <c r="N15" s="128">
        <v>10.51736</v>
      </c>
    </row>
    <row r="16">
      <c r="A16" s="113"/>
      <c r="B16" s="113"/>
      <c r="C16" s="113"/>
      <c r="D16" s="92"/>
      <c r="E16" s="128">
        <v>280.7447</v>
      </c>
      <c r="F16" s="128">
        <v>6065.0</v>
      </c>
      <c r="G16" s="128">
        <v>267.95</v>
      </c>
      <c r="H16" s="128">
        <v>12.79473</v>
      </c>
      <c r="I16" s="113"/>
      <c r="J16" s="124"/>
      <c r="K16" s="128">
        <v>275.5874</v>
      </c>
      <c r="L16" s="128">
        <v>5992.0</v>
      </c>
      <c r="M16" s="128">
        <v>264.54</v>
      </c>
      <c r="N16" s="128">
        <v>11.04736</v>
      </c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</row>
  </sheetData>
  <mergeCells count="2">
    <mergeCell ref="E1:I1"/>
    <mergeCell ref="J1:N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5" t="s">
        <v>160</v>
      </c>
      <c r="B1" s="113"/>
      <c r="C1" s="113"/>
      <c r="D1" s="129" t="s">
        <v>161</v>
      </c>
      <c r="I1" s="113"/>
      <c r="J1" s="77" t="s">
        <v>162</v>
      </c>
    </row>
    <row r="2">
      <c r="A2" s="85" t="s">
        <v>90</v>
      </c>
      <c r="B2" s="113"/>
      <c r="C2" s="113"/>
      <c r="D2" s="76"/>
      <c r="E2" s="76"/>
      <c r="F2" s="76"/>
      <c r="G2" s="76"/>
      <c r="H2" s="76"/>
      <c r="I2" s="113"/>
      <c r="J2" s="113"/>
      <c r="K2" s="113"/>
      <c r="L2" s="113"/>
      <c r="M2" s="113"/>
      <c r="N2" s="113"/>
    </row>
    <row r="3">
      <c r="A3" s="78" t="s">
        <v>111</v>
      </c>
      <c r="B3" s="113"/>
      <c r="C3" s="113"/>
      <c r="D3" s="87"/>
      <c r="E3" s="80" t="s">
        <v>10</v>
      </c>
      <c r="F3" s="80" t="s">
        <v>11</v>
      </c>
      <c r="G3" s="80" t="s">
        <v>12</v>
      </c>
      <c r="H3" s="127" t="s">
        <v>152</v>
      </c>
      <c r="I3" s="113"/>
      <c r="J3" s="87"/>
      <c r="K3" s="80" t="s">
        <v>10</v>
      </c>
      <c r="L3" s="80" t="s">
        <v>11</v>
      </c>
      <c r="M3" s="80" t="s">
        <v>12</v>
      </c>
      <c r="N3" s="127" t="s">
        <v>152</v>
      </c>
    </row>
    <row r="4">
      <c r="A4" s="78" t="s">
        <v>131</v>
      </c>
      <c r="B4" s="113"/>
      <c r="C4" s="113"/>
      <c r="D4" s="125" t="s">
        <v>163</v>
      </c>
      <c r="E4" s="123">
        <v>74.08021</v>
      </c>
      <c r="F4" s="123">
        <v>344.0</v>
      </c>
      <c r="G4" s="123">
        <v>67.35</v>
      </c>
      <c r="H4" s="123">
        <v>6.73021</v>
      </c>
      <c r="I4" s="113"/>
      <c r="J4" s="125" t="s">
        <v>148</v>
      </c>
      <c r="K4" s="123">
        <v>71.95957</v>
      </c>
      <c r="L4" s="123">
        <v>400.0</v>
      </c>
      <c r="M4" s="123">
        <v>68.49</v>
      </c>
      <c r="N4" s="123">
        <v>3.46957</v>
      </c>
    </row>
    <row r="5">
      <c r="A5" s="113"/>
      <c r="B5" s="113"/>
      <c r="C5" s="113"/>
      <c r="D5" s="92"/>
      <c r="E5" s="123">
        <v>73.84511</v>
      </c>
      <c r="F5" s="123">
        <v>818.0</v>
      </c>
      <c r="G5" s="123">
        <v>67.94</v>
      </c>
      <c r="H5" s="123">
        <v>5.90511</v>
      </c>
      <c r="I5" s="113"/>
      <c r="J5" s="92"/>
      <c r="K5" s="123">
        <v>72.01745</v>
      </c>
      <c r="L5" s="123">
        <v>873.0</v>
      </c>
      <c r="M5" s="123">
        <v>68.2</v>
      </c>
      <c r="N5" s="123">
        <v>3.81745</v>
      </c>
    </row>
    <row r="6">
      <c r="A6" s="113"/>
      <c r="B6" s="113"/>
      <c r="C6" s="113"/>
      <c r="D6" s="92"/>
      <c r="E6" s="123">
        <v>74.13447</v>
      </c>
      <c r="F6" s="123">
        <v>1283.0</v>
      </c>
      <c r="G6" s="123">
        <v>68.26</v>
      </c>
      <c r="H6" s="123">
        <v>5.87447</v>
      </c>
      <c r="I6" s="113"/>
      <c r="J6" s="124"/>
      <c r="K6" s="123">
        <v>71.77217</v>
      </c>
      <c r="L6" s="123">
        <v>1340.0</v>
      </c>
      <c r="M6" s="123">
        <v>68.22</v>
      </c>
      <c r="N6" s="123">
        <v>3.55217</v>
      </c>
    </row>
    <row r="7">
      <c r="A7" s="113"/>
      <c r="B7" s="113"/>
      <c r="C7" s="113"/>
      <c r="D7" s="124"/>
      <c r="E7" s="123">
        <v>74.10542</v>
      </c>
      <c r="F7" s="123">
        <v>1762.0</v>
      </c>
      <c r="G7" s="123">
        <v>68.39</v>
      </c>
      <c r="H7" s="123">
        <v>5.71542</v>
      </c>
      <c r="I7" s="113"/>
      <c r="J7" s="92"/>
      <c r="K7" s="123">
        <v>71.68544</v>
      </c>
      <c r="L7" s="123">
        <v>1818.0</v>
      </c>
      <c r="M7" s="123">
        <v>67.97</v>
      </c>
      <c r="N7" s="123">
        <v>3.71544</v>
      </c>
    </row>
    <row r="8">
      <c r="A8" s="113"/>
      <c r="B8" s="113"/>
      <c r="C8" s="113"/>
      <c r="D8" s="124"/>
      <c r="E8" s="123">
        <v>75.11681</v>
      </c>
      <c r="F8" s="123">
        <v>2236.0</v>
      </c>
      <c r="G8" s="123">
        <v>69.21</v>
      </c>
      <c r="H8" s="123">
        <v>5.90681</v>
      </c>
      <c r="I8" s="113"/>
      <c r="J8" s="92"/>
      <c r="K8" s="123">
        <v>71.47913</v>
      </c>
      <c r="L8" s="123">
        <v>2286.0</v>
      </c>
      <c r="M8" s="123">
        <v>67.75</v>
      </c>
      <c r="N8" s="123">
        <v>3.72913</v>
      </c>
    </row>
    <row r="9">
      <c r="A9" s="113"/>
      <c r="B9" s="113"/>
      <c r="C9" s="113"/>
      <c r="D9" s="92"/>
      <c r="E9" s="123">
        <v>75.03043</v>
      </c>
      <c r="F9" s="123">
        <v>2710.0</v>
      </c>
      <c r="G9" s="123">
        <v>69.02</v>
      </c>
      <c r="H9" s="123">
        <v>6.01043</v>
      </c>
      <c r="I9" s="113"/>
      <c r="J9" s="92"/>
      <c r="K9" s="123">
        <v>71.21652</v>
      </c>
      <c r="L9" s="123">
        <v>2764.0</v>
      </c>
      <c r="M9" s="123">
        <v>67.08</v>
      </c>
      <c r="N9" s="123">
        <v>4.13652</v>
      </c>
    </row>
    <row r="10">
      <c r="A10" s="113"/>
      <c r="B10" s="113"/>
      <c r="C10" s="113"/>
      <c r="D10" s="125" t="s">
        <v>148</v>
      </c>
      <c r="E10" s="123">
        <v>74.77213</v>
      </c>
      <c r="F10" s="123">
        <v>3179.0</v>
      </c>
      <c r="G10" s="123">
        <v>69.71</v>
      </c>
      <c r="H10" s="123">
        <v>5.06213</v>
      </c>
      <c r="I10" s="113"/>
      <c r="J10" s="92"/>
      <c r="K10" s="123">
        <v>71.29783</v>
      </c>
      <c r="L10" s="123">
        <v>3239.0</v>
      </c>
      <c r="M10" s="123">
        <v>67.5</v>
      </c>
      <c r="N10" s="123">
        <v>3.79783</v>
      </c>
    </row>
    <row r="11">
      <c r="A11" s="113"/>
      <c r="B11" s="113"/>
      <c r="C11" s="113"/>
      <c r="D11" s="92"/>
      <c r="E11" s="123">
        <v>75.05979</v>
      </c>
      <c r="F11" s="123">
        <v>3655.0</v>
      </c>
      <c r="G11" s="123">
        <v>70.34</v>
      </c>
      <c r="H11" s="123">
        <v>4.71979</v>
      </c>
      <c r="I11" s="113"/>
      <c r="J11" s="125" t="s">
        <v>164</v>
      </c>
      <c r="K11" s="25">
        <v>71.44609</v>
      </c>
      <c r="L11" s="25">
        <v>3710.0</v>
      </c>
      <c r="M11" s="25">
        <v>68.41</v>
      </c>
      <c r="N11" s="25">
        <v>3.03609</v>
      </c>
    </row>
    <row r="12">
      <c r="A12" s="113"/>
      <c r="B12" s="113"/>
      <c r="C12" s="113"/>
      <c r="D12" s="92"/>
      <c r="E12" s="123">
        <v>74.84979</v>
      </c>
      <c r="F12" s="123">
        <v>4133.0</v>
      </c>
      <c r="G12" s="123">
        <v>70.11</v>
      </c>
      <c r="H12" s="123">
        <v>4.73979</v>
      </c>
      <c r="I12" s="113"/>
      <c r="J12" s="92"/>
      <c r="K12" s="25">
        <v>71.19804</v>
      </c>
      <c r="L12" s="25">
        <v>4184.0</v>
      </c>
      <c r="M12" s="25">
        <v>68.59</v>
      </c>
      <c r="N12" s="25">
        <v>2.60804</v>
      </c>
    </row>
    <row r="13">
      <c r="A13" s="113"/>
      <c r="B13" s="113"/>
      <c r="C13" s="113"/>
      <c r="D13" s="92"/>
      <c r="E13" s="123">
        <v>74.7717</v>
      </c>
      <c r="F13" s="123">
        <v>4602.0</v>
      </c>
      <c r="G13" s="123">
        <v>69.46</v>
      </c>
      <c r="H13" s="123">
        <v>5.3117</v>
      </c>
      <c r="I13" s="113"/>
      <c r="J13" s="92"/>
      <c r="K13" s="123">
        <v>71.01087</v>
      </c>
      <c r="L13" s="123">
        <v>4661.0</v>
      </c>
      <c r="M13" s="123">
        <v>68.87</v>
      </c>
      <c r="N13" s="123">
        <v>2.14087</v>
      </c>
    </row>
    <row r="14">
      <c r="A14" s="113"/>
      <c r="B14" s="113"/>
      <c r="C14" s="113"/>
      <c r="D14" s="124"/>
      <c r="E14" s="123">
        <v>74.95617</v>
      </c>
      <c r="F14" s="123">
        <v>5078.0</v>
      </c>
      <c r="G14" s="123">
        <v>69.9</v>
      </c>
      <c r="H14" s="123">
        <v>5.05617</v>
      </c>
      <c r="I14" s="113"/>
      <c r="J14" s="92"/>
      <c r="K14" s="123">
        <v>71.01192</v>
      </c>
      <c r="L14" s="123">
        <v>5135.0</v>
      </c>
      <c r="M14" s="123">
        <v>68.97</v>
      </c>
      <c r="N14" s="123">
        <v>2.04192</v>
      </c>
    </row>
    <row r="15">
      <c r="A15" s="113"/>
      <c r="B15" s="113"/>
      <c r="C15" s="113"/>
      <c r="D15" s="92"/>
      <c r="E15" s="123">
        <v>74.64149</v>
      </c>
      <c r="F15" s="123">
        <v>5548.0</v>
      </c>
      <c r="G15" s="123">
        <v>69.71</v>
      </c>
      <c r="H15" s="123">
        <v>4.93149</v>
      </c>
      <c r="I15" s="113"/>
      <c r="J15" s="92"/>
      <c r="K15" s="123">
        <v>70.79894</v>
      </c>
      <c r="L15" s="123">
        <v>5598.0</v>
      </c>
      <c r="M15" s="123">
        <v>68.81</v>
      </c>
      <c r="N15" s="123">
        <v>1.98894</v>
      </c>
    </row>
    <row r="16">
      <c r="A16" s="113"/>
      <c r="B16" s="113"/>
      <c r="C16" s="113"/>
      <c r="D16" s="92"/>
      <c r="E16" s="123">
        <v>74.58521</v>
      </c>
      <c r="F16" s="123">
        <v>6024.0</v>
      </c>
      <c r="G16" s="123">
        <v>69.86</v>
      </c>
      <c r="H16" s="123">
        <v>4.72521</v>
      </c>
      <c r="I16" s="113"/>
      <c r="J16" s="92"/>
      <c r="K16" s="123">
        <v>70.57298</v>
      </c>
      <c r="L16" s="123">
        <v>6077.0</v>
      </c>
      <c r="M16" s="123">
        <v>68.38</v>
      </c>
      <c r="N16" s="123">
        <v>2.19298</v>
      </c>
    </row>
    <row r="17">
      <c r="A17" s="113"/>
      <c r="B17" s="113"/>
      <c r="C17" s="113"/>
      <c r="D17" s="113"/>
      <c r="E17" s="113"/>
      <c r="F17" s="113"/>
      <c r="G17" s="113"/>
      <c r="H17" s="113"/>
      <c r="I17" s="113"/>
      <c r="J17" s="92"/>
      <c r="K17" s="123">
        <v>70.55935</v>
      </c>
      <c r="L17" s="123">
        <v>6554.0</v>
      </c>
      <c r="M17" s="123">
        <v>68.26</v>
      </c>
      <c r="N17" s="123">
        <v>2.29935</v>
      </c>
    </row>
    <row r="18">
      <c r="A18" s="113"/>
      <c r="B18" s="113"/>
      <c r="C18" s="113"/>
      <c r="D18" s="113"/>
      <c r="E18" s="113"/>
      <c r="F18" s="113"/>
      <c r="G18" s="113"/>
      <c r="H18" s="113"/>
      <c r="I18" s="113"/>
      <c r="J18" s="92"/>
      <c r="K18" s="123">
        <v>70.51</v>
      </c>
      <c r="L18" s="123">
        <v>7026.0</v>
      </c>
      <c r="M18" s="123">
        <v>68.55</v>
      </c>
      <c r="N18" s="123">
        <v>1.96</v>
      </c>
    </row>
    <row r="19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76"/>
    </row>
    <row r="20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76"/>
    </row>
    <row r="2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</row>
  </sheetData>
  <mergeCells count="2">
    <mergeCell ref="D1:H1"/>
    <mergeCell ref="J1:N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165</v>
      </c>
      <c r="D1" s="76"/>
      <c r="E1" s="77" t="s">
        <v>166</v>
      </c>
      <c r="J1" s="76"/>
      <c r="K1" s="77" t="s">
        <v>167</v>
      </c>
    </row>
    <row r="2">
      <c r="A2" s="95" t="s">
        <v>90</v>
      </c>
      <c r="D2" s="76"/>
      <c r="E2" s="130"/>
      <c r="F2" s="130"/>
      <c r="G2" s="130"/>
      <c r="H2" s="130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95</v>
      </c>
      <c r="E4" s="83">
        <v>277.4379</v>
      </c>
      <c r="F4" s="84">
        <v>303.0</v>
      </c>
      <c r="G4" s="84">
        <v>264.15</v>
      </c>
      <c r="H4" s="84">
        <v>13.28793</v>
      </c>
      <c r="J4" s="82" t="s">
        <v>119</v>
      </c>
      <c r="K4" s="83">
        <v>276.9496</v>
      </c>
      <c r="L4" s="84">
        <v>302.0</v>
      </c>
      <c r="M4" s="84">
        <v>264.46</v>
      </c>
      <c r="N4" s="84">
        <v>12.4896</v>
      </c>
    </row>
    <row r="5">
      <c r="D5" s="76"/>
      <c r="E5" s="83">
        <v>277.3613</v>
      </c>
      <c r="F5" s="84">
        <v>776.0</v>
      </c>
      <c r="G5" s="84">
        <v>264.17</v>
      </c>
      <c r="H5" s="84">
        <v>13.19124</v>
      </c>
      <c r="J5" s="76"/>
      <c r="K5" s="83">
        <v>276.8952</v>
      </c>
      <c r="L5" s="84">
        <v>776.0</v>
      </c>
      <c r="M5" s="84">
        <v>264.23</v>
      </c>
      <c r="N5" s="84">
        <v>12.66521</v>
      </c>
    </row>
    <row r="6">
      <c r="D6" s="76"/>
      <c r="E6" s="83">
        <v>277.4575</v>
      </c>
      <c r="F6" s="84">
        <v>1250.0</v>
      </c>
      <c r="G6" s="84">
        <v>264.46</v>
      </c>
      <c r="H6" s="84">
        <v>12.99751</v>
      </c>
      <c r="J6" s="76"/>
      <c r="K6" s="83">
        <v>276.8733</v>
      </c>
      <c r="L6" s="84">
        <v>1249.0</v>
      </c>
      <c r="M6" s="84">
        <v>264.46</v>
      </c>
      <c r="N6" s="84">
        <v>12.41334</v>
      </c>
    </row>
    <row r="7">
      <c r="D7" s="76"/>
      <c r="E7" s="83">
        <v>277.4796</v>
      </c>
      <c r="F7" s="84">
        <v>1722.0</v>
      </c>
      <c r="G7" s="84">
        <v>264.36</v>
      </c>
      <c r="H7" s="84">
        <v>13.11959</v>
      </c>
      <c r="J7" s="76"/>
      <c r="K7" s="83">
        <v>276.7361</v>
      </c>
      <c r="L7" s="84">
        <v>1722.0</v>
      </c>
      <c r="M7" s="84">
        <v>264.21</v>
      </c>
      <c r="N7" s="84">
        <v>12.5261</v>
      </c>
    </row>
    <row r="8">
      <c r="D8" s="76"/>
      <c r="E8" s="83">
        <v>277.3817</v>
      </c>
      <c r="F8" s="84">
        <v>2198.0</v>
      </c>
      <c r="G8" s="84">
        <v>264.23</v>
      </c>
      <c r="H8" s="84">
        <v>13.15165</v>
      </c>
      <c r="J8" s="76"/>
      <c r="K8" s="83">
        <v>276.7517</v>
      </c>
      <c r="L8" s="84">
        <v>2194.0</v>
      </c>
      <c r="M8" s="84">
        <v>264.11</v>
      </c>
      <c r="N8" s="84">
        <v>12.64167</v>
      </c>
    </row>
    <row r="9">
      <c r="D9" s="76"/>
      <c r="E9" s="83">
        <v>277.1921</v>
      </c>
      <c r="F9" s="84">
        <v>2669.0</v>
      </c>
      <c r="G9" s="84">
        <v>263.52</v>
      </c>
      <c r="H9" s="84">
        <v>13.67209</v>
      </c>
      <c r="J9" s="76"/>
      <c r="K9" s="83">
        <v>276.7088</v>
      </c>
      <c r="L9" s="84">
        <v>2668.0</v>
      </c>
      <c r="M9" s="84">
        <v>263.92</v>
      </c>
      <c r="N9" s="84">
        <v>12.78874</v>
      </c>
    </row>
    <row r="10">
      <c r="D10" s="76"/>
      <c r="E10" s="83">
        <v>277.0767</v>
      </c>
      <c r="F10" s="84">
        <v>3145.0</v>
      </c>
      <c r="G10" s="84">
        <v>263.5</v>
      </c>
      <c r="H10" s="84">
        <v>13.57667</v>
      </c>
      <c r="J10" s="76"/>
      <c r="K10" s="83">
        <v>276.5913</v>
      </c>
      <c r="L10" s="84">
        <v>3141.0</v>
      </c>
      <c r="M10" s="84">
        <v>266.97</v>
      </c>
      <c r="N10" s="84">
        <v>9.62125</v>
      </c>
    </row>
    <row r="11">
      <c r="D11" s="76"/>
      <c r="E11" s="83">
        <v>276.8667</v>
      </c>
      <c r="F11" s="84">
        <v>3617.0</v>
      </c>
      <c r="G11" s="84">
        <v>262.91</v>
      </c>
      <c r="H11" s="84">
        <v>13.95667</v>
      </c>
      <c r="J11" s="82" t="s">
        <v>107</v>
      </c>
      <c r="K11" s="83">
        <v>276.7957</v>
      </c>
      <c r="L11" s="84">
        <v>3615.0</v>
      </c>
      <c r="M11" s="84">
        <v>267.74</v>
      </c>
      <c r="N11" s="84">
        <v>9.05566</v>
      </c>
    </row>
    <row r="12">
      <c r="D12" s="82" t="s">
        <v>119</v>
      </c>
      <c r="E12" s="24">
        <v>277.0417</v>
      </c>
      <c r="F12" s="25">
        <v>4090.0</v>
      </c>
      <c r="G12" s="25">
        <v>263.31</v>
      </c>
      <c r="H12" s="25">
        <v>13.73167</v>
      </c>
      <c r="J12" s="76"/>
      <c r="K12" s="83">
        <v>276.9178</v>
      </c>
      <c r="L12" s="84">
        <v>4091.0</v>
      </c>
      <c r="M12" s="84">
        <v>267.79</v>
      </c>
      <c r="N12" s="84">
        <v>9.12782</v>
      </c>
    </row>
    <row r="13">
      <c r="D13" s="76"/>
      <c r="E13" s="83">
        <v>276.9496</v>
      </c>
      <c r="F13" s="84">
        <v>4563.0</v>
      </c>
      <c r="G13" s="84">
        <v>264.46</v>
      </c>
      <c r="H13" s="84">
        <v>12.4896</v>
      </c>
      <c r="J13" s="76"/>
      <c r="K13" s="83">
        <v>277.1033</v>
      </c>
      <c r="L13" s="84">
        <v>4564.0</v>
      </c>
      <c r="M13" s="84">
        <v>267.95</v>
      </c>
      <c r="N13" s="84">
        <v>9.15332</v>
      </c>
    </row>
    <row r="14">
      <c r="D14" s="76"/>
      <c r="E14" s="83">
        <v>276.8952</v>
      </c>
      <c r="F14" s="84">
        <v>5037.0</v>
      </c>
      <c r="G14" s="84">
        <v>264.23</v>
      </c>
      <c r="H14" s="84">
        <v>12.66521</v>
      </c>
      <c r="J14" s="76"/>
      <c r="K14" s="83">
        <v>277.1179</v>
      </c>
      <c r="L14" s="84">
        <v>5034.0</v>
      </c>
      <c r="M14" s="84">
        <v>268.39</v>
      </c>
      <c r="N14" s="84">
        <v>8.7279</v>
      </c>
    </row>
    <row r="15">
      <c r="D15" s="76"/>
      <c r="E15" s="83">
        <v>276.8733</v>
      </c>
      <c r="F15" s="84">
        <v>5510.0</v>
      </c>
      <c r="G15" s="84">
        <v>264.46</v>
      </c>
      <c r="H15" s="84">
        <v>12.41334</v>
      </c>
      <c r="J15" s="76"/>
      <c r="K15" s="83">
        <v>277.1583</v>
      </c>
      <c r="L15" s="84">
        <v>5509.0</v>
      </c>
      <c r="M15" s="84">
        <v>268.02</v>
      </c>
      <c r="N15" s="84">
        <v>9.13827</v>
      </c>
    </row>
    <row r="16">
      <c r="D16" s="76"/>
      <c r="E16" s="83">
        <v>276.7361</v>
      </c>
      <c r="F16" s="84">
        <v>5983.0</v>
      </c>
      <c r="G16" s="84">
        <v>264.21</v>
      </c>
      <c r="H16" s="84">
        <v>12.5261</v>
      </c>
      <c r="J16" s="76"/>
      <c r="K16" s="76"/>
      <c r="L16" s="76"/>
      <c r="M16" s="76"/>
      <c r="N16" s="76"/>
    </row>
    <row r="17">
      <c r="D17" s="76"/>
      <c r="E17" s="83">
        <v>276.7517</v>
      </c>
      <c r="F17" s="84">
        <v>6455.0</v>
      </c>
      <c r="G17" s="84">
        <v>264.11</v>
      </c>
      <c r="H17" s="84">
        <v>12.64167</v>
      </c>
      <c r="J17" s="76"/>
      <c r="K17" s="76"/>
      <c r="L17" s="76"/>
      <c r="M17" s="76"/>
      <c r="N17" s="76"/>
    </row>
    <row r="18">
      <c r="D18" s="76"/>
      <c r="E18" s="83">
        <v>276.7088</v>
      </c>
      <c r="F18" s="84">
        <v>6929.0</v>
      </c>
      <c r="G18" s="84">
        <v>263.92</v>
      </c>
      <c r="H18" s="84">
        <v>12.78874</v>
      </c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31" t="s">
        <v>168</v>
      </c>
      <c r="D1" s="76"/>
      <c r="E1" s="77" t="s">
        <v>169</v>
      </c>
      <c r="J1" s="76"/>
      <c r="K1" s="77" t="s">
        <v>170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95</v>
      </c>
      <c r="E4" s="83">
        <v>279.4756</v>
      </c>
      <c r="F4" s="84">
        <v>301.0</v>
      </c>
      <c r="G4" s="84">
        <v>258.73</v>
      </c>
      <c r="H4" s="84">
        <v>20.74558</v>
      </c>
      <c r="J4" s="82" t="s">
        <v>119</v>
      </c>
      <c r="K4" s="83">
        <v>276.1109</v>
      </c>
      <c r="L4" s="84">
        <v>304.0</v>
      </c>
      <c r="M4" s="84">
        <v>263.45</v>
      </c>
      <c r="N4" s="84">
        <v>12.66088</v>
      </c>
    </row>
    <row r="5">
      <c r="D5" s="76"/>
      <c r="E5" s="83">
        <v>279.3627</v>
      </c>
      <c r="F5" s="84">
        <v>775.0</v>
      </c>
      <c r="G5" s="84">
        <v>259.4</v>
      </c>
      <c r="H5" s="84">
        <v>19.96274</v>
      </c>
      <c r="J5" s="76"/>
      <c r="K5" s="83">
        <v>276.2849</v>
      </c>
      <c r="L5" s="84">
        <v>776.0</v>
      </c>
      <c r="M5" s="84">
        <v>263.69</v>
      </c>
      <c r="N5" s="84">
        <v>12.59486</v>
      </c>
    </row>
    <row r="6">
      <c r="D6" s="76"/>
      <c r="E6" s="83">
        <v>279.1238</v>
      </c>
      <c r="F6" s="84">
        <v>1249.0</v>
      </c>
      <c r="G6" s="84">
        <v>258.25</v>
      </c>
      <c r="H6" s="84">
        <v>20.87383</v>
      </c>
      <c r="J6" s="76"/>
      <c r="K6" s="83">
        <v>276.4504</v>
      </c>
      <c r="L6" s="84">
        <v>1247.0</v>
      </c>
      <c r="M6" s="84">
        <v>263.73</v>
      </c>
      <c r="N6" s="84">
        <v>12.7204</v>
      </c>
    </row>
    <row r="7">
      <c r="D7" s="76"/>
      <c r="E7" s="83">
        <v>279.22</v>
      </c>
      <c r="F7" s="84">
        <v>1722.0</v>
      </c>
      <c r="G7" s="84">
        <v>260.03</v>
      </c>
      <c r="H7" s="84">
        <v>19.19</v>
      </c>
      <c r="J7" s="76"/>
      <c r="K7" s="83">
        <v>276.5709</v>
      </c>
      <c r="L7" s="84">
        <v>1723.0</v>
      </c>
      <c r="M7" s="84">
        <v>263.81</v>
      </c>
      <c r="N7" s="84">
        <v>12.76087</v>
      </c>
    </row>
    <row r="8">
      <c r="D8" s="76"/>
      <c r="E8" s="83">
        <v>279.3079</v>
      </c>
      <c r="F8" s="84">
        <v>2195.0</v>
      </c>
      <c r="G8" s="84">
        <v>259.13</v>
      </c>
      <c r="H8" s="84">
        <v>20.17788</v>
      </c>
      <c r="J8" s="76"/>
      <c r="K8" s="83">
        <v>276.8242</v>
      </c>
      <c r="L8" s="84">
        <v>2258.0</v>
      </c>
      <c r="M8" s="84">
        <v>264.23</v>
      </c>
      <c r="N8" s="84">
        <v>12.59417</v>
      </c>
    </row>
    <row r="9">
      <c r="D9" s="76"/>
      <c r="E9" s="83">
        <v>279.22</v>
      </c>
      <c r="F9" s="84">
        <v>2670.0</v>
      </c>
      <c r="G9" s="84">
        <v>259.17</v>
      </c>
      <c r="H9" s="84">
        <v>20.04999</v>
      </c>
      <c r="J9" s="82" t="s">
        <v>107</v>
      </c>
      <c r="K9" s="83">
        <v>276.7704</v>
      </c>
      <c r="L9" s="84">
        <v>2734.0</v>
      </c>
      <c r="M9" s="84">
        <v>265.34</v>
      </c>
      <c r="N9" s="84">
        <v>11.43042</v>
      </c>
    </row>
    <row r="10">
      <c r="D10" s="82" t="s">
        <v>138</v>
      </c>
      <c r="E10" s="83">
        <v>279.1091</v>
      </c>
      <c r="F10" s="84">
        <v>3142.0</v>
      </c>
      <c r="G10" s="84">
        <v>260.17</v>
      </c>
      <c r="H10" s="84">
        <v>18.93908</v>
      </c>
      <c r="J10" s="76"/>
      <c r="K10" s="83">
        <v>276.7192</v>
      </c>
      <c r="L10" s="84">
        <v>3207.0</v>
      </c>
      <c r="M10" s="84">
        <v>265.17</v>
      </c>
      <c r="N10" s="84">
        <v>11.54917</v>
      </c>
    </row>
    <row r="11">
      <c r="D11" s="76"/>
      <c r="E11" s="83">
        <v>279.0703</v>
      </c>
      <c r="F11" s="84">
        <v>3616.0</v>
      </c>
      <c r="G11" s="84">
        <v>260.07</v>
      </c>
      <c r="H11" s="84">
        <v>19.00029</v>
      </c>
      <c r="J11" s="76"/>
      <c r="K11" s="83">
        <v>276.8254</v>
      </c>
      <c r="L11" s="84">
        <v>3680.0</v>
      </c>
      <c r="M11" s="84">
        <v>265.46</v>
      </c>
      <c r="N11" s="84">
        <v>11.36542</v>
      </c>
    </row>
    <row r="12">
      <c r="D12" s="76"/>
      <c r="E12" s="83">
        <v>279.1318</v>
      </c>
      <c r="F12" s="84">
        <v>4087.0</v>
      </c>
      <c r="G12" s="84">
        <v>260.36</v>
      </c>
      <c r="H12" s="84">
        <v>18.77183</v>
      </c>
      <c r="J12" s="76"/>
      <c r="K12" s="83">
        <v>276.8261</v>
      </c>
      <c r="L12" s="84">
        <v>4154.0</v>
      </c>
      <c r="M12" s="84">
        <v>265.51</v>
      </c>
      <c r="N12" s="84">
        <v>11.31609</v>
      </c>
    </row>
    <row r="13">
      <c r="D13" s="76"/>
      <c r="E13" s="83">
        <v>279.0697</v>
      </c>
      <c r="F13" s="84">
        <v>4564.0</v>
      </c>
      <c r="G13" s="84">
        <v>260.05</v>
      </c>
      <c r="H13" s="84">
        <v>19.01972</v>
      </c>
      <c r="J13" s="76"/>
      <c r="K13" s="83">
        <v>277.0044</v>
      </c>
      <c r="L13" s="84">
        <v>4628.0</v>
      </c>
      <c r="M13" s="84">
        <v>265.95</v>
      </c>
      <c r="N13" s="84">
        <v>11.05435</v>
      </c>
    </row>
    <row r="14">
      <c r="D14" s="76"/>
      <c r="E14" s="83">
        <v>278.8494</v>
      </c>
      <c r="F14" s="84">
        <v>5035.0</v>
      </c>
      <c r="G14" s="84">
        <v>260.93</v>
      </c>
      <c r="H14" s="84">
        <v>17.91942</v>
      </c>
      <c r="J14" s="76"/>
      <c r="K14" s="76"/>
      <c r="L14" s="76"/>
      <c r="M14" s="76"/>
      <c r="N14" s="76"/>
    </row>
    <row r="15">
      <c r="D15" s="76"/>
      <c r="E15" s="83">
        <v>279.0652</v>
      </c>
      <c r="F15" s="84">
        <v>5509.0</v>
      </c>
      <c r="G15" s="84">
        <v>260.26</v>
      </c>
      <c r="H15" s="84">
        <v>18.80514</v>
      </c>
      <c r="J15" s="76"/>
      <c r="K15" s="76"/>
      <c r="L15" s="76"/>
      <c r="M15" s="76"/>
      <c r="N15" s="76"/>
    </row>
    <row r="16">
      <c r="D16" s="76"/>
      <c r="E16" s="83">
        <v>278.7856</v>
      </c>
      <c r="F16" s="84">
        <v>5983.0</v>
      </c>
      <c r="G16" s="84">
        <v>260.28</v>
      </c>
      <c r="H16" s="84">
        <v>18.50559</v>
      </c>
      <c r="J16" s="76"/>
      <c r="K16" s="76"/>
      <c r="L16" s="76"/>
      <c r="M16" s="76"/>
      <c r="N16" s="76"/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171</v>
      </c>
      <c r="D1" s="76"/>
      <c r="E1" s="77" t="s">
        <v>172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138</v>
      </c>
      <c r="E4" s="83">
        <v>274.5269</v>
      </c>
      <c r="F4" s="84">
        <v>301.0</v>
      </c>
      <c r="G4" s="84">
        <v>267.72</v>
      </c>
      <c r="H4" s="84">
        <v>6.8069</v>
      </c>
    </row>
    <row r="5">
      <c r="D5" s="76"/>
      <c r="E5" s="83">
        <v>274.6514</v>
      </c>
      <c r="F5" s="84">
        <v>775.0</v>
      </c>
      <c r="G5" s="84">
        <v>267.47</v>
      </c>
      <c r="H5" s="84">
        <v>7.18138</v>
      </c>
    </row>
    <row r="6">
      <c r="D6" s="76"/>
      <c r="E6" s="83">
        <v>274.6414</v>
      </c>
      <c r="F6" s="84">
        <v>1249.0</v>
      </c>
      <c r="G6" s="84">
        <v>267.14</v>
      </c>
      <c r="H6" s="84">
        <v>7.50137</v>
      </c>
    </row>
    <row r="7">
      <c r="D7" s="76"/>
      <c r="E7" s="83">
        <v>274.4259</v>
      </c>
      <c r="F7" s="84">
        <v>1721.0</v>
      </c>
      <c r="G7" s="84">
        <v>267.16</v>
      </c>
      <c r="H7" s="84">
        <v>7.26586</v>
      </c>
    </row>
    <row r="8">
      <c r="D8" s="76"/>
      <c r="E8" s="83">
        <v>274.3197</v>
      </c>
      <c r="F8" s="84">
        <v>2197.0</v>
      </c>
      <c r="G8" s="84">
        <v>266.61</v>
      </c>
      <c r="H8" s="84">
        <v>7.70967</v>
      </c>
    </row>
    <row r="9">
      <c r="D9" s="76"/>
      <c r="E9" s="83">
        <v>274.2128</v>
      </c>
      <c r="F9" s="84">
        <v>2668.0</v>
      </c>
      <c r="G9" s="84">
        <v>266.8</v>
      </c>
      <c r="H9" s="84">
        <v>7.41277</v>
      </c>
    </row>
    <row r="10">
      <c r="D10" s="82" t="s">
        <v>107</v>
      </c>
      <c r="E10" s="132">
        <v>274.2128</v>
      </c>
      <c r="F10" s="84">
        <v>3142.0</v>
      </c>
      <c r="G10" s="84">
        <v>267.68</v>
      </c>
      <c r="H10" s="84">
        <v>6.53277</v>
      </c>
    </row>
    <row r="11">
      <c r="D11" s="76"/>
      <c r="E11" s="112">
        <v>275.3355</v>
      </c>
      <c r="F11" s="84">
        <v>3620.0</v>
      </c>
      <c r="G11" s="84">
        <v>269.21</v>
      </c>
      <c r="H11" s="84">
        <v>6.12553</v>
      </c>
    </row>
    <row r="12">
      <c r="D12" s="76"/>
      <c r="E12" s="83">
        <v>275.3248</v>
      </c>
      <c r="F12" s="84">
        <v>4091.0</v>
      </c>
      <c r="G12" s="84">
        <v>269.31</v>
      </c>
      <c r="H12" s="84">
        <v>6.01482</v>
      </c>
    </row>
    <row r="13">
      <c r="D13" s="76"/>
      <c r="E13" s="83">
        <v>274.8662</v>
      </c>
      <c r="F13" s="84">
        <v>4564.0</v>
      </c>
      <c r="G13" s="84">
        <v>269.42</v>
      </c>
      <c r="H13" s="84">
        <v>5.4462</v>
      </c>
    </row>
    <row r="14">
      <c r="D14" s="76"/>
      <c r="E14" s="83">
        <v>274.1117</v>
      </c>
      <c r="F14" s="84">
        <v>5039.0</v>
      </c>
      <c r="G14" s="84">
        <v>267.91</v>
      </c>
      <c r="H14" s="84">
        <v>6.20172</v>
      </c>
    </row>
    <row r="15">
      <c r="D15" s="76"/>
      <c r="E15" s="83">
        <v>273.909</v>
      </c>
      <c r="F15" s="84">
        <v>5512.0</v>
      </c>
      <c r="G15" s="84">
        <v>267.45</v>
      </c>
      <c r="H15" s="84">
        <v>6.45896</v>
      </c>
    </row>
    <row r="16">
      <c r="D16" s="76"/>
      <c r="E16" s="83">
        <v>273.9628</v>
      </c>
      <c r="F16" s="84">
        <v>5985.0</v>
      </c>
      <c r="G16" s="84">
        <v>267.72</v>
      </c>
      <c r="H16" s="84">
        <v>6.24276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173</v>
      </c>
      <c r="D1" s="76"/>
      <c r="E1" s="77" t="s">
        <v>174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113</v>
      </c>
      <c r="E4" s="83">
        <v>76.12395</v>
      </c>
      <c r="F4" s="84">
        <v>301.0</v>
      </c>
      <c r="G4" s="84">
        <v>67.97</v>
      </c>
      <c r="H4" s="84">
        <v>8.15395</v>
      </c>
    </row>
    <row r="5">
      <c r="D5" s="76"/>
      <c r="E5" s="83">
        <v>76.1541</v>
      </c>
      <c r="F5" s="84">
        <v>772.0</v>
      </c>
      <c r="G5" s="84">
        <v>68.49</v>
      </c>
      <c r="H5" s="84">
        <v>7.6641</v>
      </c>
    </row>
    <row r="6">
      <c r="D6" s="76"/>
      <c r="E6" s="83">
        <v>76.33949</v>
      </c>
      <c r="F6" s="84">
        <v>1239.0</v>
      </c>
      <c r="G6" s="84">
        <v>67.99</v>
      </c>
      <c r="H6" s="84">
        <v>8.34949</v>
      </c>
    </row>
    <row r="7">
      <c r="D7" s="76"/>
      <c r="E7" s="83">
        <v>74.58026</v>
      </c>
      <c r="F7" s="84">
        <v>1738.0</v>
      </c>
      <c r="G7" s="84">
        <v>65.74</v>
      </c>
      <c r="H7" s="84">
        <v>8.84026</v>
      </c>
    </row>
    <row r="8">
      <c r="D8" s="76"/>
      <c r="E8" s="83">
        <v>74.20816</v>
      </c>
      <c r="F8" s="84">
        <v>2210.0</v>
      </c>
      <c r="G8" s="84">
        <v>66.28</v>
      </c>
      <c r="H8" s="84">
        <v>7.92816</v>
      </c>
    </row>
    <row r="9">
      <c r="D9" s="76"/>
      <c r="E9" s="83">
        <v>74.06053</v>
      </c>
      <c r="F9" s="84">
        <v>2685.0</v>
      </c>
      <c r="G9" s="84">
        <v>65.88</v>
      </c>
      <c r="H9" s="84">
        <v>8.18053</v>
      </c>
    </row>
    <row r="10">
      <c r="D10" s="76"/>
      <c r="E10" s="83">
        <v>73.59632</v>
      </c>
      <c r="F10" s="84">
        <v>3161.0</v>
      </c>
      <c r="G10" s="84">
        <v>65.38</v>
      </c>
      <c r="H10" s="84">
        <v>8.21632</v>
      </c>
    </row>
    <row r="11">
      <c r="D11" s="82" t="s">
        <v>143</v>
      </c>
      <c r="E11" s="24">
        <v>73.76333</v>
      </c>
      <c r="F11" s="25">
        <v>3633.0</v>
      </c>
      <c r="G11" s="25">
        <v>66.22</v>
      </c>
      <c r="H11" s="25">
        <v>7.54333</v>
      </c>
    </row>
    <row r="12">
      <c r="D12" s="76"/>
      <c r="E12" s="24">
        <v>73.3771</v>
      </c>
      <c r="F12" s="25">
        <v>4104.0</v>
      </c>
      <c r="G12" s="25">
        <v>65.88</v>
      </c>
      <c r="H12" s="25">
        <v>7.4971</v>
      </c>
    </row>
    <row r="13">
      <c r="D13" s="76"/>
      <c r="E13" s="83">
        <v>73.32513</v>
      </c>
      <c r="F13" s="84">
        <v>4581.0</v>
      </c>
      <c r="G13" s="84">
        <v>65.69</v>
      </c>
      <c r="H13" s="84">
        <v>7.63513</v>
      </c>
    </row>
    <row r="14">
      <c r="D14" s="76"/>
      <c r="E14" s="83">
        <v>73.36211</v>
      </c>
      <c r="F14" s="84">
        <v>5052.0</v>
      </c>
      <c r="G14" s="84">
        <v>66.2</v>
      </c>
      <c r="H14" s="84">
        <v>7.16211</v>
      </c>
    </row>
    <row r="15">
      <c r="D15" s="76"/>
      <c r="E15" s="83">
        <v>73.03658</v>
      </c>
      <c r="F15" s="84">
        <v>5524.0</v>
      </c>
      <c r="G15" s="84">
        <v>65.78</v>
      </c>
      <c r="H15" s="84">
        <v>7.25658</v>
      </c>
    </row>
    <row r="16">
      <c r="D16" s="76"/>
      <c r="E16" s="83">
        <v>72.72447</v>
      </c>
      <c r="F16" s="84">
        <v>6004.0</v>
      </c>
      <c r="G16" s="84">
        <v>65.51</v>
      </c>
      <c r="H16" s="84">
        <v>7.21447</v>
      </c>
    </row>
    <row r="17">
      <c r="D17" s="76"/>
      <c r="E17" s="83">
        <v>72.62231</v>
      </c>
      <c r="F17" s="84">
        <v>6469.0</v>
      </c>
      <c r="G17" s="84">
        <v>65.74</v>
      </c>
      <c r="H17" s="84">
        <v>6.88231</v>
      </c>
    </row>
    <row r="18">
      <c r="D18" s="76"/>
      <c r="E18" s="83">
        <v>72.58105</v>
      </c>
      <c r="F18" s="84">
        <v>6946.0</v>
      </c>
      <c r="G18" s="84">
        <v>65.46</v>
      </c>
      <c r="H18" s="84">
        <v>7.12105</v>
      </c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33" t="s">
        <v>175</v>
      </c>
      <c r="D1" s="76"/>
      <c r="E1" s="77" t="s">
        <v>176</v>
      </c>
      <c r="J1" s="76"/>
      <c r="K1" s="77" t="s">
        <v>177</v>
      </c>
    </row>
    <row r="2">
      <c r="A2" s="133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134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134" t="s">
        <v>118</v>
      </c>
      <c r="D4" s="82" t="s">
        <v>95</v>
      </c>
      <c r="E4" s="83">
        <v>273.7169</v>
      </c>
      <c r="F4" s="84">
        <v>305.0</v>
      </c>
      <c r="G4" s="84">
        <v>263.27</v>
      </c>
      <c r="H4" s="84">
        <v>10.44691</v>
      </c>
      <c r="J4" s="82" t="s">
        <v>119</v>
      </c>
      <c r="K4" s="83">
        <v>273.1469</v>
      </c>
      <c r="L4" s="84">
        <v>302.0</v>
      </c>
      <c r="M4" s="84">
        <v>265.21</v>
      </c>
      <c r="N4" s="84">
        <v>7.8869</v>
      </c>
    </row>
    <row r="5">
      <c r="D5" s="76"/>
      <c r="E5" s="83">
        <v>273.825</v>
      </c>
      <c r="F5" s="84">
        <v>778.0</v>
      </c>
      <c r="G5" s="84">
        <v>263.08</v>
      </c>
      <c r="H5" s="84">
        <v>10.74501</v>
      </c>
      <c r="J5" s="76"/>
      <c r="K5" s="83">
        <v>273.1735</v>
      </c>
      <c r="L5" s="84">
        <v>777.0</v>
      </c>
      <c r="M5" s="84">
        <v>265.17</v>
      </c>
      <c r="N5" s="84">
        <v>7.94345</v>
      </c>
    </row>
    <row r="6">
      <c r="D6" s="76"/>
      <c r="E6" s="83">
        <v>273.7921</v>
      </c>
      <c r="F6" s="84">
        <v>1249.0</v>
      </c>
      <c r="G6" s="84">
        <v>262.87</v>
      </c>
      <c r="H6" s="84">
        <v>10.92207</v>
      </c>
      <c r="J6" s="76"/>
      <c r="K6" s="83">
        <v>273.1497</v>
      </c>
      <c r="L6" s="84">
        <v>1249.0</v>
      </c>
      <c r="M6" s="84">
        <v>265.21</v>
      </c>
      <c r="N6" s="84">
        <v>7.94967</v>
      </c>
    </row>
    <row r="7">
      <c r="D7" s="76"/>
      <c r="E7" s="83">
        <v>273.8053</v>
      </c>
      <c r="F7" s="84">
        <v>1724.0</v>
      </c>
      <c r="G7" s="84">
        <v>262.37</v>
      </c>
      <c r="H7" s="84">
        <v>11.43533</v>
      </c>
      <c r="J7" s="76"/>
      <c r="K7" s="83">
        <v>273.0313</v>
      </c>
      <c r="L7" s="84">
        <v>1722.0</v>
      </c>
      <c r="M7" s="84">
        <v>265.38</v>
      </c>
      <c r="N7" s="84">
        <v>7.65133</v>
      </c>
    </row>
    <row r="8">
      <c r="D8" s="76"/>
      <c r="E8" s="83">
        <v>273.7652</v>
      </c>
      <c r="F8" s="84">
        <v>2198.0</v>
      </c>
      <c r="G8" s="84">
        <v>262.24</v>
      </c>
      <c r="H8" s="84">
        <v>11.52519</v>
      </c>
      <c r="J8" s="76"/>
      <c r="K8" s="83">
        <v>273.0772</v>
      </c>
      <c r="L8" s="84">
        <v>2195.0</v>
      </c>
      <c r="M8" s="84">
        <v>265.17</v>
      </c>
      <c r="N8" s="84">
        <v>7.90724</v>
      </c>
    </row>
    <row r="9">
      <c r="D9" s="76"/>
      <c r="E9" s="83">
        <v>273.7663</v>
      </c>
      <c r="F9" s="84">
        <v>2672.0</v>
      </c>
      <c r="G9" s="84">
        <v>262.29</v>
      </c>
      <c r="H9" s="84">
        <v>11.47632</v>
      </c>
      <c r="J9" s="76"/>
      <c r="K9" s="83">
        <v>272.9267</v>
      </c>
      <c r="L9" s="84">
        <v>2668.0</v>
      </c>
      <c r="M9" s="84">
        <v>265.17</v>
      </c>
      <c r="N9" s="84">
        <v>7.63667</v>
      </c>
    </row>
    <row r="10">
      <c r="D10" s="82" t="s">
        <v>138</v>
      </c>
      <c r="E10" s="83">
        <v>273.5966</v>
      </c>
      <c r="F10" s="84">
        <v>3143.0</v>
      </c>
      <c r="G10" s="84">
        <v>263.6</v>
      </c>
      <c r="H10" s="84">
        <v>9.99654</v>
      </c>
      <c r="J10" s="82" t="s">
        <v>114</v>
      </c>
      <c r="K10" s="24">
        <v>273.7531</v>
      </c>
      <c r="L10" s="25">
        <v>3142.0</v>
      </c>
      <c r="M10" s="25">
        <v>266.57</v>
      </c>
      <c r="N10" s="25">
        <v>7.09306</v>
      </c>
    </row>
    <row r="11">
      <c r="D11" s="76"/>
      <c r="E11" s="83">
        <v>273.5473</v>
      </c>
      <c r="F11" s="84">
        <v>3618.0</v>
      </c>
      <c r="G11" s="84">
        <v>263.73</v>
      </c>
      <c r="H11" s="84">
        <v>9.81732</v>
      </c>
      <c r="J11" s="76"/>
      <c r="K11" s="83">
        <v>273.7406</v>
      </c>
      <c r="L11" s="84">
        <v>3619.0</v>
      </c>
      <c r="M11" s="84">
        <v>267.07</v>
      </c>
      <c r="N11" s="84">
        <v>6.64056</v>
      </c>
    </row>
    <row r="12">
      <c r="D12" s="76"/>
      <c r="E12" s="83">
        <v>273.6635</v>
      </c>
      <c r="F12" s="84">
        <v>4090.0</v>
      </c>
      <c r="G12" s="84">
        <v>263.71</v>
      </c>
      <c r="H12" s="84">
        <v>9.95346</v>
      </c>
      <c r="J12" s="76"/>
      <c r="K12" s="83">
        <v>273.7406</v>
      </c>
      <c r="L12" s="84">
        <v>4092.0</v>
      </c>
      <c r="M12" s="84">
        <v>267.24</v>
      </c>
      <c r="N12" s="84">
        <v>6.48056</v>
      </c>
    </row>
    <row r="13">
      <c r="D13" s="76"/>
      <c r="E13" s="83">
        <v>273.6357</v>
      </c>
      <c r="F13" s="84">
        <v>4562.0</v>
      </c>
      <c r="G13" s="84">
        <v>263.52</v>
      </c>
      <c r="H13" s="84">
        <v>10.11568</v>
      </c>
      <c r="J13" s="76"/>
      <c r="K13" s="83">
        <v>273.7406</v>
      </c>
      <c r="L13" s="84">
        <v>4563.0</v>
      </c>
      <c r="M13" s="84">
        <v>267.41</v>
      </c>
      <c r="N13" s="84">
        <v>6.27056</v>
      </c>
    </row>
    <row r="14">
      <c r="D14" s="76"/>
      <c r="E14" s="83">
        <v>273.537</v>
      </c>
      <c r="F14" s="84">
        <v>5036.0</v>
      </c>
      <c r="G14" s="84">
        <v>263.46</v>
      </c>
      <c r="H14" s="84">
        <v>10.07701</v>
      </c>
      <c r="J14" s="76"/>
      <c r="K14" s="83">
        <v>273.8569</v>
      </c>
      <c r="L14" s="84">
        <v>5037.0</v>
      </c>
      <c r="M14" s="84">
        <v>267.49</v>
      </c>
      <c r="N14" s="84">
        <v>6.31686</v>
      </c>
    </row>
    <row r="15">
      <c r="D15" s="76"/>
      <c r="E15" s="83">
        <v>273.4593</v>
      </c>
      <c r="F15" s="84">
        <v>5509.0</v>
      </c>
      <c r="G15" s="84">
        <v>263.25</v>
      </c>
      <c r="H15" s="84">
        <v>10.20934</v>
      </c>
      <c r="J15" s="76"/>
      <c r="K15" s="83">
        <v>273.7329</v>
      </c>
      <c r="L15" s="84">
        <v>5510.0</v>
      </c>
      <c r="M15" s="84">
        <v>267.54</v>
      </c>
      <c r="N15" s="84">
        <v>5.92286</v>
      </c>
    </row>
    <row r="16">
      <c r="D16" s="76"/>
      <c r="E16" s="83">
        <v>273.4357</v>
      </c>
      <c r="F16" s="84">
        <v>5983.0</v>
      </c>
      <c r="G16" s="84">
        <v>263.1</v>
      </c>
      <c r="H16" s="84">
        <v>10.33566</v>
      </c>
      <c r="J16" s="76"/>
      <c r="K16" s="83">
        <v>273.3851</v>
      </c>
      <c r="L16" s="84">
        <v>5980.0</v>
      </c>
      <c r="M16" s="84">
        <v>267.51</v>
      </c>
      <c r="N16" s="84">
        <v>5.84514</v>
      </c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33" t="s">
        <v>178</v>
      </c>
      <c r="D1" s="76"/>
      <c r="E1" s="77" t="s">
        <v>179</v>
      </c>
    </row>
    <row r="2">
      <c r="A2" s="133" t="s">
        <v>90</v>
      </c>
      <c r="D2" s="76"/>
      <c r="E2" s="76"/>
      <c r="F2" s="76"/>
      <c r="G2" s="76"/>
      <c r="H2" s="76"/>
    </row>
    <row r="3">
      <c r="A3" s="134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134" t="s">
        <v>118</v>
      </c>
      <c r="D4" s="82" t="s">
        <v>95</v>
      </c>
      <c r="E4" s="83">
        <v>55.75529</v>
      </c>
      <c r="F4" s="84">
        <v>301.0</v>
      </c>
      <c r="G4" s="84">
        <v>50.14</v>
      </c>
      <c r="H4" s="84">
        <v>5.61529</v>
      </c>
    </row>
    <row r="5">
      <c r="D5" s="76"/>
      <c r="E5" s="83">
        <v>56.00412</v>
      </c>
      <c r="F5" s="84">
        <v>778.0</v>
      </c>
      <c r="G5" s="84">
        <v>50.37</v>
      </c>
      <c r="H5" s="84">
        <v>5.63412</v>
      </c>
    </row>
    <row r="6">
      <c r="D6" s="76"/>
      <c r="E6" s="83">
        <v>55.56882</v>
      </c>
      <c r="F6" s="84">
        <v>1248.0</v>
      </c>
      <c r="G6" s="84">
        <v>50.18</v>
      </c>
      <c r="H6" s="84">
        <v>5.38882</v>
      </c>
    </row>
    <row r="7">
      <c r="D7" s="76"/>
      <c r="E7" s="83">
        <v>55.88217</v>
      </c>
      <c r="F7" s="84">
        <v>1720.0</v>
      </c>
      <c r="G7" s="84">
        <v>50.45</v>
      </c>
      <c r="H7" s="84">
        <v>5.43217</v>
      </c>
    </row>
    <row r="8">
      <c r="D8" s="76"/>
      <c r="E8" s="83">
        <v>54.93283</v>
      </c>
      <c r="F8" s="84">
        <v>2199.0</v>
      </c>
      <c r="G8" s="84">
        <v>49.03</v>
      </c>
      <c r="H8" s="84">
        <v>5.90283</v>
      </c>
    </row>
    <row r="9">
      <c r="D9" s="76"/>
      <c r="E9" s="24">
        <v>55.13745</v>
      </c>
      <c r="F9" s="25">
        <v>2669.0</v>
      </c>
      <c r="G9" s="25">
        <v>49.23</v>
      </c>
      <c r="H9" s="25">
        <v>5.90745</v>
      </c>
    </row>
    <row r="10">
      <c r="D10" s="82" t="s">
        <v>138</v>
      </c>
      <c r="E10" s="24">
        <v>55.0263</v>
      </c>
      <c r="F10" s="25">
        <v>3159.0</v>
      </c>
      <c r="G10" s="25">
        <v>49.61</v>
      </c>
      <c r="H10" s="25">
        <v>5.4163</v>
      </c>
    </row>
    <row r="11">
      <c r="D11" s="76"/>
      <c r="E11" s="24">
        <v>55.0263</v>
      </c>
      <c r="F11" s="25">
        <v>3613.0</v>
      </c>
      <c r="G11" s="25">
        <v>49.61</v>
      </c>
      <c r="H11" s="25">
        <v>5.4163</v>
      </c>
    </row>
    <row r="12">
      <c r="D12" s="76"/>
      <c r="E12" s="83">
        <v>54.26587</v>
      </c>
      <c r="F12" s="84">
        <v>4100.0</v>
      </c>
      <c r="G12" s="84">
        <v>49.49</v>
      </c>
      <c r="H12" s="84">
        <v>4.77587</v>
      </c>
    </row>
    <row r="13">
      <c r="D13" s="76"/>
      <c r="E13" s="83">
        <v>54.46936</v>
      </c>
      <c r="F13" s="84">
        <v>4558.0</v>
      </c>
      <c r="G13" s="84">
        <v>49.85</v>
      </c>
      <c r="H13" s="84">
        <v>4.61936</v>
      </c>
    </row>
    <row r="14">
      <c r="D14" s="76"/>
      <c r="E14" s="83">
        <v>55.35174</v>
      </c>
      <c r="F14" s="84">
        <v>5023.0</v>
      </c>
      <c r="G14" s="84">
        <v>50.48</v>
      </c>
      <c r="H14" s="84">
        <v>4.87174</v>
      </c>
    </row>
    <row r="15">
      <c r="D15" s="76"/>
      <c r="E15" s="76"/>
      <c r="F15" s="76"/>
      <c r="G15" s="76"/>
      <c r="H15" s="76"/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180</v>
      </c>
      <c r="D1" s="76"/>
      <c r="E1" s="77" t="s">
        <v>181</v>
      </c>
    </row>
    <row r="2">
      <c r="A2" s="95" t="s">
        <v>90</v>
      </c>
      <c r="D2" s="135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127</v>
      </c>
      <c r="D4" s="82" t="s">
        <v>113</v>
      </c>
      <c r="E4" s="83">
        <v>288.2196</v>
      </c>
      <c r="F4" s="84">
        <v>301.0</v>
      </c>
      <c r="G4" s="84">
        <v>279.18</v>
      </c>
      <c r="H4" s="84">
        <v>9.03959</v>
      </c>
    </row>
    <row r="5">
      <c r="D5" s="76"/>
      <c r="E5" s="83">
        <v>288.1121</v>
      </c>
      <c r="F5" s="84">
        <v>773.0</v>
      </c>
      <c r="G5" s="84">
        <v>279.35</v>
      </c>
      <c r="H5" s="84">
        <v>8.76207</v>
      </c>
    </row>
    <row r="6">
      <c r="D6" s="76"/>
      <c r="E6" s="83">
        <v>288.153</v>
      </c>
      <c r="F6" s="84">
        <v>1247.0</v>
      </c>
      <c r="G6" s="84">
        <v>279.66</v>
      </c>
      <c r="H6" s="84">
        <v>8.49304</v>
      </c>
    </row>
    <row r="7">
      <c r="D7" s="76"/>
      <c r="E7" s="83">
        <v>288.2379</v>
      </c>
      <c r="F7" s="84">
        <v>1719.0</v>
      </c>
      <c r="G7" s="84">
        <v>279.31</v>
      </c>
      <c r="H7" s="84">
        <v>8.92792</v>
      </c>
    </row>
    <row r="8">
      <c r="D8" s="76"/>
      <c r="E8" s="83">
        <v>287.7683</v>
      </c>
      <c r="F8" s="84">
        <v>2194.0</v>
      </c>
      <c r="G8" s="84">
        <v>279.12</v>
      </c>
      <c r="H8" s="84">
        <v>8.64833</v>
      </c>
    </row>
    <row r="9">
      <c r="D9" s="76"/>
      <c r="E9" s="83">
        <v>287.8746</v>
      </c>
      <c r="F9" s="84">
        <v>2665.0</v>
      </c>
      <c r="G9" s="84">
        <v>278.26</v>
      </c>
      <c r="H9" s="84">
        <v>9.61457</v>
      </c>
    </row>
    <row r="10">
      <c r="D10" s="76"/>
      <c r="E10" s="83">
        <v>287.4433</v>
      </c>
      <c r="F10" s="84">
        <v>3139.0</v>
      </c>
      <c r="G10" s="84">
        <v>277.95</v>
      </c>
      <c r="H10" s="84">
        <v>9.49332</v>
      </c>
    </row>
    <row r="11">
      <c r="D11" s="82" t="s">
        <v>119</v>
      </c>
      <c r="E11" s="24">
        <v>286.0955</v>
      </c>
      <c r="F11" s="25">
        <v>3618.0</v>
      </c>
      <c r="G11" s="25">
        <v>278.91</v>
      </c>
      <c r="H11" s="25">
        <v>7.18553</v>
      </c>
    </row>
    <row r="12">
      <c r="D12" s="76"/>
      <c r="E12" s="24">
        <v>286.1703</v>
      </c>
      <c r="F12" s="25">
        <v>4097.0</v>
      </c>
      <c r="G12" s="25">
        <v>278.74</v>
      </c>
      <c r="H12" s="25">
        <v>7.43028</v>
      </c>
    </row>
    <row r="13">
      <c r="D13" s="76"/>
      <c r="E13" s="24">
        <v>286.1192</v>
      </c>
      <c r="F13" s="25">
        <v>4563.0</v>
      </c>
      <c r="G13" s="25">
        <v>278.85</v>
      </c>
      <c r="H13" s="25">
        <v>7.26918</v>
      </c>
    </row>
    <row r="14">
      <c r="D14" s="76"/>
      <c r="E14" s="83">
        <v>286.1505</v>
      </c>
      <c r="F14" s="84">
        <v>5039.0</v>
      </c>
      <c r="G14" s="84">
        <v>278.12</v>
      </c>
      <c r="H14" s="84">
        <v>8.03054</v>
      </c>
    </row>
    <row r="15">
      <c r="D15" s="76"/>
      <c r="E15" s="83">
        <v>286.1705</v>
      </c>
      <c r="F15" s="84">
        <v>5512.0</v>
      </c>
      <c r="G15" s="84">
        <v>277.95</v>
      </c>
      <c r="H15" s="84">
        <v>8.22052</v>
      </c>
    </row>
    <row r="16">
      <c r="D16" s="76"/>
      <c r="E16" s="83">
        <v>286.1695</v>
      </c>
      <c r="F16" s="84">
        <v>5983.0</v>
      </c>
      <c r="G16" s="84">
        <v>277.53</v>
      </c>
      <c r="H16" s="84">
        <v>8.63946</v>
      </c>
    </row>
    <row r="17">
      <c r="D17" s="76"/>
      <c r="E17" s="83">
        <v>286.0484</v>
      </c>
      <c r="F17" s="84">
        <v>6459.0</v>
      </c>
      <c r="G17" s="84">
        <v>277.93</v>
      </c>
      <c r="H17" s="84">
        <v>8.11839</v>
      </c>
    </row>
    <row r="18">
      <c r="D18" s="76"/>
      <c r="E18" s="83">
        <v>286.8137</v>
      </c>
      <c r="F18" s="84">
        <v>6927.0</v>
      </c>
      <c r="G18" s="84">
        <v>278.58</v>
      </c>
      <c r="H18" s="84">
        <v>8.23369</v>
      </c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182</v>
      </c>
      <c r="D1" s="76"/>
      <c r="E1" s="77" t="s">
        <v>183</v>
      </c>
      <c r="J1" s="76"/>
      <c r="K1" s="77" t="s">
        <v>184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127</v>
      </c>
      <c r="D4" s="82" t="s">
        <v>113</v>
      </c>
      <c r="E4" s="83">
        <v>292.5578</v>
      </c>
      <c r="F4" s="84">
        <v>301.0</v>
      </c>
      <c r="G4" s="84">
        <v>283.22</v>
      </c>
      <c r="H4" s="84">
        <v>9.33775</v>
      </c>
      <c r="J4" s="82" t="s">
        <v>138</v>
      </c>
      <c r="K4" s="83">
        <v>288.827</v>
      </c>
      <c r="L4" s="84">
        <v>301.0</v>
      </c>
      <c r="M4" s="84">
        <v>282.36</v>
      </c>
      <c r="N4" s="84">
        <v>6.46697</v>
      </c>
    </row>
    <row r="5">
      <c r="D5" s="76"/>
      <c r="E5" s="83">
        <v>292.61</v>
      </c>
      <c r="F5" s="84">
        <v>775.0</v>
      </c>
      <c r="G5" s="84">
        <v>283.22</v>
      </c>
      <c r="H5" s="84">
        <v>9.39</v>
      </c>
      <c r="J5" s="76"/>
      <c r="K5" s="83">
        <v>288.9915</v>
      </c>
      <c r="L5" s="84">
        <v>778.0</v>
      </c>
      <c r="M5" s="84">
        <v>282.17</v>
      </c>
      <c r="N5" s="84">
        <v>6.82151</v>
      </c>
    </row>
    <row r="6">
      <c r="D6" s="76"/>
      <c r="E6" s="83">
        <v>292.4856</v>
      </c>
      <c r="F6" s="84">
        <v>1244.0</v>
      </c>
      <c r="G6" s="84">
        <v>282.68</v>
      </c>
      <c r="H6" s="84">
        <v>9.80557</v>
      </c>
      <c r="J6" s="76"/>
      <c r="K6" s="83">
        <v>288.6226</v>
      </c>
      <c r="L6" s="84">
        <v>1252.0</v>
      </c>
      <c r="M6" s="84">
        <v>282.09</v>
      </c>
      <c r="N6" s="84">
        <v>6.53261</v>
      </c>
    </row>
    <row r="7">
      <c r="D7" s="76"/>
      <c r="E7" s="83">
        <v>292.2213</v>
      </c>
      <c r="F7" s="84">
        <v>1719.0</v>
      </c>
      <c r="G7" s="84">
        <v>282.68</v>
      </c>
      <c r="H7" s="84">
        <v>9.54134</v>
      </c>
      <c r="J7" s="76"/>
      <c r="K7" s="83">
        <v>288.8159</v>
      </c>
      <c r="L7" s="84">
        <v>1721.0</v>
      </c>
      <c r="M7" s="84">
        <v>281.78</v>
      </c>
      <c r="N7" s="84">
        <v>7.03587</v>
      </c>
    </row>
    <row r="8">
      <c r="D8" s="76"/>
      <c r="E8" s="83">
        <v>292.1731</v>
      </c>
      <c r="F8" s="84">
        <v>2192.0</v>
      </c>
      <c r="G8" s="84">
        <v>282.86</v>
      </c>
      <c r="H8" s="84">
        <v>9.31312</v>
      </c>
      <c r="J8" s="76"/>
      <c r="K8" s="83">
        <v>288.7085</v>
      </c>
      <c r="L8" s="84">
        <v>2198.0</v>
      </c>
      <c r="M8" s="84">
        <v>282.05</v>
      </c>
      <c r="N8" s="84">
        <v>6.65849</v>
      </c>
    </row>
    <row r="9">
      <c r="D9" s="76"/>
      <c r="E9" s="83">
        <v>292.2209</v>
      </c>
      <c r="F9" s="84">
        <v>2668.0</v>
      </c>
      <c r="G9" s="84">
        <v>284.47</v>
      </c>
      <c r="H9" s="84">
        <v>7.75091</v>
      </c>
      <c r="J9" s="76"/>
      <c r="K9" s="83">
        <v>288.6441</v>
      </c>
      <c r="L9" s="84">
        <v>2673.0</v>
      </c>
      <c r="M9" s="84">
        <v>281.59</v>
      </c>
      <c r="N9" s="84">
        <v>7.05413</v>
      </c>
    </row>
    <row r="10">
      <c r="D10" s="82" t="s">
        <v>114</v>
      </c>
      <c r="E10" s="83">
        <v>292.2548</v>
      </c>
      <c r="F10" s="84">
        <v>3140.0</v>
      </c>
      <c r="G10" s="84">
        <v>284.85</v>
      </c>
      <c r="H10" s="84">
        <v>7.40476</v>
      </c>
      <c r="J10" s="76"/>
      <c r="K10" s="83">
        <v>287.9317</v>
      </c>
      <c r="L10" s="84">
        <v>3146.0</v>
      </c>
      <c r="M10" s="84">
        <v>282.91</v>
      </c>
      <c r="N10" s="84">
        <v>5.0217</v>
      </c>
    </row>
    <row r="11">
      <c r="D11" s="76"/>
      <c r="E11" s="83">
        <v>292.166</v>
      </c>
      <c r="F11" s="84">
        <v>3618.0</v>
      </c>
      <c r="G11" s="84">
        <v>285.02</v>
      </c>
      <c r="H11" s="84">
        <v>7.14601</v>
      </c>
      <c r="J11" s="82" t="s">
        <v>107</v>
      </c>
      <c r="K11" s="83">
        <v>287.9883</v>
      </c>
      <c r="L11" s="84">
        <v>3619.0</v>
      </c>
      <c r="M11" s="84">
        <v>283.22</v>
      </c>
      <c r="N11" s="84">
        <v>4.76826</v>
      </c>
    </row>
    <row r="12">
      <c r="D12" s="76"/>
      <c r="E12" s="83">
        <v>292.0527</v>
      </c>
      <c r="F12" s="84">
        <v>4090.0</v>
      </c>
      <c r="G12" s="84">
        <v>284.89</v>
      </c>
      <c r="H12" s="84">
        <v>7.16272</v>
      </c>
      <c r="J12" s="76"/>
      <c r="K12" s="83">
        <v>287.982</v>
      </c>
      <c r="L12" s="84">
        <v>4094.0</v>
      </c>
      <c r="M12" s="84">
        <v>283.7</v>
      </c>
      <c r="N12" s="84">
        <v>4.28194</v>
      </c>
    </row>
    <row r="13">
      <c r="D13" s="76"/>
      <c r="E13" s="83">
        <v>291.7789</v>
      </c>
      <c r="F13" s="84">
        <v>4561.0</v>
      </c>
      <c r="G13" s="84">
        <v>284.75</v>
      </c>
      <c r="H13" s="84">
        <v>7.02886</v>
      </c>
      <c r="J13" s="76"/>
      <c r="K13" s="83">
        <v>288.1128</v>
      </c>
      <c r="L13" s="84">
        <v>4565.0</v>
      </c>
      <c r="M13" s="84">
        <v>282.82</v>
      </c>
      <c r="N13" s="84">
        <v>5.29275</v>
      </c>
    </row>
    <row r="14">
      <c r="D14" s="76"/>
      <c r="E14" s="83">
        <v>291.5842</v>
      </c>
      <c r="F14" s="84">
        <v>5041.0</v>
      </c>
      <c r="G14" s="84">
        <v>284.7</v>
      </c>
      <c r="H14" s="84">
        <v>6.88421</v>
      </c>
      <c r="J14" s="76"/>
      <c r="K14" s="83">
        <v>288.2614</v>
      </c>
      <c r="L14" s="84">
        <v>5038.0</v>
      </c>
      <c r="M14" s="84">
        <v>283.09</v>
      </c>
      <c r="N14" s="84">
        <v>5.17137</v>
      </c>
    </row>
    <row r="15">
      <c r="D15" s="76"/>
      <c r="E15" s="83">
        <v>291.4523</v>
      </c>
      <c r="F15" s="84">
        <v>5511.0</v>
      </c>
      <c r="G15" s="84">
        <v>284.1</v>
      </c>
      <c r="H15" s="84">
        <v>7.35226</v>
      </c>
      <c r="J15" s="76"/>
      <c r="K15" s="83">
        <v>287.5988</v>
      </c>
      <c r="L15" s="84">
        <v>5509.0</v>
      </c>
      <c r="M15" s="84">
        <v>282.22</v>
      </c>
      <c r="N15" s="84">
        <v>5.37882</v>
      </c>
    </row>
    <row r="16">
      <c r="D16" s="76"/>
      <c r="E16" s="76"/>
      <c r="F16" s="76"/>
      <c r="G16" s="76"/>
      <c r="H16" s="76"/>
      <c r="J16" s="76"/>
      <c r="K16" s="76"/>
      <c r="L16" s="76"/>
      <c r="M16" s="76"/>
      <c r="N16" s="76"/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185</v>
      </c>
      <c r="D1" s="76"/>
      <c r="E1" s="77" t="s">
        <v>186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127</v>
      </c>
      <c r="D4" s="82" t="s">
        <v>113</v>
      </c>
      <c r="E4" s="83">
        <v>63.81655</v>
      </c>
      <c r="F4" s="84">
        <v>301.0</v>
      </c>
      <c r="G4" s="84">
        <v>59.41</v>
      </c>
      <c r="H4" s="84">
        <v>4.40655</v>
      </c>
    </row>
    <row r="5">
      <c r="D5" s="76"/>
      <c r="E5" s="83">
        <v>63.53768</v>
      </c>
      <c r="F5" s="84">
        <v>768.0</v>
      </c>
      <c r="G5" s="84">
        <v>59.11</v>
      </c>
      <c r="H5" s="84">
        <v>4.42768</v>
      </c>
    </row>
    <row r="6">
      <c r="D6" s="76"/>
      <c r="E6" s="83">
        <v>63.56375</v>
      </c>
      <c r="F6" s="84">
        <v>1245.0</v>
      </c>
      <c r="G6" s="84">
        <v>59.54</v>
      </c>
      <c r="H6" s="84">
        <v>4.02375</v>
      </c>
    </row>
    <row r="7">
      <c r="D7" s="76"/>
      <c r="E7" s="83">
        <v>63.33518</v>
      </c>
      <c r="F7" s="84">
        <v>1722.0</v>
      </c>
      <c r="G7" s="84">
        <v>59.16</v>
      </c>
      <c r="H7" s="84">
        <v>4.17518</v>
      </c>
    </row>
    <row r="8">
      <c r="D8" s="76"/>
      <c r="E8" s="83">
        <v>63.62589</v>
      </c>
      <c r="F8" s="84">
        <v>2197.0</v>
      </c>
      <c r="G8" s="84">
        <v>59.16</v>
      </c>
      <c r="H8" s="84">
        <v>4.46589</v>
      </c>
    </row>
    <row r="9">
      <c r="D9" s="76"/>
      <c r="E9" s="83">
        <v>63.36618</v>
      </c>
      <c r="F9" s="84">
        <v>2672.0</v>
      </c>
      <c r="G9" s="84">
        <v>58.97</v>
      </c>
      <c r="H9" s="84">
        <v>4.39618</v>
      </c>
    </row>
    <row r="10">
      <c r="D10" s="82" t="s">
        <v>114</v>
      </c>
      <c r="E10" s="83">
        <v>63.77018</v>
      </c>
      <c r="F10" s="84">
        <v>3137.0</v>
      </c>
      <c r="G10" s="84">
        <v>59.98</v>
      </c>
      <c r="H10" s="84">
        <v>3.79018</v>
      </c>
    </row>
    <row r="11">
      <c r="D11" s="76"/>
      <c r="E11" s="83">
        <v>63.52179</v>
      </c>
      <c r="F11" s="84">
        <v>3608.0</v>
      </c>
      <c r="G11" s="84">
        <v>60.19</v>
      </c>
      <c r="H11" s="84">
        <v>3.33179</v>
      </c>
    </row>
    <row r="12">
      <c r="D12" s="76"/>
      <c r="E12" s="83">
        <v>63.37107</v>
      </c>
      <c r="F12" s="84">
        <v>4081.0</v>
      </c>
      <c r="G12" s="84">
        <v>60.15</v>
      </c>
      <c r="H12" s="84">
        <v>3.22107</v>
      </c>
    </row>
    <row r="13">
      <c r="D13" s="76"/>
      <c r="E13" s="83">
        <v>63.16411</v>
      </c>
      <c r="F13" s="84">
        <v>4569.0</v>
      </c>
      <c r="G13" s="84">
        <v>59.89</v>
      </c>
      <c r="H13" s="84">
        <v>3.27411</v>
      </c>
    </row>
    <row r="14">
      <c r="D14" s="76"/>
      <c r="E14" s="83">
        <v>63.15436</v>
      </c>
      <c r="F14" s="84">
        <v>5027.0</v>
      </c>
      <c r="G14" s="84">
        <v>59.85</v>
      </c>
      <c r="H14" s="84">
        <v>3.30436</v>
      </c>
    </row>
    <row r="15">
      <c r="D15" s="76"/>
      <c r="E15" s="83">
        <v>63.13464</v>
      </c>
      <c r="F15" s="84">
        <v>5500.0</v>
      </c>
      <c r="G15" s="84">
        <v>59.81</v>
      </c>
      <c r="H15" s="84">
        <v>3.32464</v>
      </c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187</v>
      </c>
      <c r="D1" s="76"/>
      <c r="E1" s="77" t="s">
        <v>188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113</v>
      </c>
      <c r="E4" s="83">
        <v>292.5134</v>
      </c>
      <c r="F4" s="84">
        <v>301.0</v>
      </c>
      <c r="G4" s="84">
        <v>282.36</v>
      </c>
      <c r="H4" s="84">
        <v>10.15342</v>
      </c>
    </row>
    <row r="5">
      <c r="D5" s="76"/>
      <c r="E5" s="83">
        <v>292.742</v>
      </c>
      <c r="F5" s="84">
        <v>777.0</v>
      </c>
      <c r="G5" s="84">
        <v>283.07</v>
      </c>
      <c r="H5" s="84">
        <v>9.67194</v>
      </c>
    </row>
    <row r="6">
      <c r="D6" s="76"/>
      <c r="E6" s="83">
        <v>292.8685</v>
      </c>
      <c r="F6" s="84">
        <v>1249.0</v>
      </c>
      <c r="G6" s="84">
        <v>282.09</v>
      </c>
      <c r="H6" s="84">
        <v>10.7785</v>
      </c>
    </row>
    <row r="7">
      <c r="D7" s="76"/>
      <c r="E7" s="83">
        <v>292.7578</v>
      </c>
      <c r="F7" s="84">
        <v>1723.0</v>
      </c>
      <c r="G7" s="84">
        <v>282.55</v>
      </c>
      <c r="H7" s="84">
        <v>10.20776</v>
      </c>
    </row>
    <row r="8">
      <c r="D8" s="76"/>
      <c r="E8" s="83">
        <v>292.61</v>
      </c>
      <c r="F8" s="84">
        <v>2195.0</v>
      </c>
      <c r="G8" s="84">
        <v>282.07</v>
      </c>
      <c r="H8" s="84">
        <v>10.53999</v>
      </c>
    </row>
    <row r="9">
      <c r="D9" s="76"/>
      <c r="E9" s="83">
        <v>292.2881</v>
      </c>
      <c r="F9" s="84">
        <v>2669.0</v>
      </c>
      <c r="G9" s="84">
        <v>281.48</v>
      </c>
      <c r="H9" s="84">
        <v>10.80804</v>
      </c>
    </row>
    <row r="10">
      <c r="E10" s="83">
        <v>292.11</v>
      </c>
      <c r="F10" s="84">
        <v>3142.0</v>
      </c>
      <c r="G10" s="84">
        <v>281.15</v>
      </c>
      <c r="H10" s="84">
        <v>10.96001</v>
      </c>
    </row>
    <row r="11">
      <c r="D11" s="82" t="s">
        <v>114</v>
      </c>
      <c r="E11" s="24">
        <v>291.8585</v>
      </c>
      <c r="F11" s="25">
        <v>3612.0</v>
      </c>
      <c r="G11" s="25">
        <v>282.2</v>
      </c>
      <c r="H11" s="25">
        <v>9.65853</v>
      </c>
    </row>
    <row r="12">
      <c r="D12" s="76"/>
      <c r="E12" s="83">
        <v>291.4485</v>
      </c>
      <c r="F12" s="84">
        <v>4083.0</v>
      </c>
      <c r="G12" s="84">
        <v>283.66</v>
      </c>
      <c r="H12" s="84">
        <v>7.7885</v>
      </c>
    </row>
    <row r="13">
      <c r="D13" s="76"/>
      <c r="E13" s="83">
        <v>291.2161</v>
      </c>
      <c r="F13" s="84">
        <v>4558.0</v>
      </c>
      <c r="G13" s="84">
        <v>283.26</v>
      </c>
      <c r="H13" s="84">
        <v>7.95609</v>
      </c>
    </row>
    <row r="14">
      <c r="D14" s="76"/>
      <c r="E14" s="83">
        <v>290.9668</v>
      </c>
      <c r="F14" s="84">
        <v>5034.0</v>
      </c>
      <c r="G14" s="84">
        <v>283.26</v>
      </c>
      <c r="H14" s="84">
        <v>7.70674</v>
      </c>
    </row>
    <row r="15">
      <c r="D15" s="76"/>
      <c r="E15" s="83">
        <v>291.1566</v>
      </c>
      <c r="F15" s="84">
        <v>5510.0</v>
      </c>
      <c r="G15" s="84">
        <v>283.6</v>
      </c>
      <c r="H15" s="84">
        <v>7.55657</v>
      </c>
    </row>
    <row r="16">
      <c r="D16" s="76"/>
      <c r="E16" s="83">
        <v>291.5588</v>
      </c>
      <c r="F16" s="84">
        <v>5978.0</v>
      </c>
      <c r="G16" s="84">
        <v>283.85</v>
      </c>
      <c r="H16" s="84">
        <v>7.70877</v>
      </c>
    </row>
    <row r="17">
      <c r="D17" s="76"/>
      <c r="E17" s="83">
        <v>290.9022</v>
      </c>
      <c r="F17" s="84">
        <v>6453.0</v>
      </c>
      <c r="G17" s="84">
        <v>283.39</v>
      </c>
      <c r="H17" s="84">
        <v>7.51219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  <row r="27">
      <c r="D27" s="76"/>
      <c r="E27" s="76"/>
      <c r="F27" s="76"/>
      <c r="G27" s="76"/>
      <c r="H27" s="76"/>
    </row>
    <row r="28">
      <c r="D28" s="76"/>
      <c r="E28" s="76"/>
      <c r="F28" s="76"/>
      <c r="G28" s="76"/>
      <c r="H28" s="76"/>
    </row>
    <row r="29">
      <c r="D29" s="76"/>
      <c r="E29" s="76"/>
      <c r="F29" s="76"/>
      <c r="G29" s="76"/>
      <c r="H29" s="76"/>
    </row>
    <row r="30">
      <c r="D30" s="76"/>
      <c r="E30" s="76"/>
      <c r="F30" s="76"/>
      <c r="G30" s="76"/>
      <c r="H30" s="76"/>
    </row>
    <row r="31">
      <c r="D31" s="76"/>
      <c r="E31" s="76"/>
      <c r="F31" s="76"/>
      <c r="G31" s="76"/>
      <c r="H31" s="76"/>
    </row>
    <row r="32">
      <c r="D32" s="76"/>
      <c r="E32" s="76"/>
      <c r="F32" s="76"/>
      <c r="G32" s="76"/>
      <c r="H32" s="76"/>
    </row>
    <row r="33">
      <c r="D33" s="76"/>
      <c r="E33" s="76"/>
      <c r="F33" s="76"/>
      <c r="G33" s="76"/>
      <c r="H33" s="76"/>
    </row>
    <row r="34">
      <c r="D34" s="76"/>
      <c r="E34" s="76"/>
      <c r="F34" s="76"/>
      <c r="G34" s="76"/>
      <c r="H34" s="76"/>
    </row>
    <row r="35">
      <c r="D35" s="76"/>
      <c r="E35" s="76"/>
      <c r="F35" s="76"/>
      <c r="G35" s="76"/>
      <c r="H35" s="76"/>
    </row>
    <row r="36">
      <c r="D36" s="76"/>
      <c r="E36" s="76"/>
      <c r="F36" s="76"/>
      <c r="G36" s="76"/>
      <c r="H36" s="76"/>
    </row>
    <row r="37">
      <c r="D37" s="76"/>
      <c r="E37" s="76"/>
      <c r="F37" s="76"/>
      <c r="G37" s="76"/>
      <c r="H37" s="76"/>
    </row>
    <row r="38">
      <c r="D38" s="76"/>
      <c r="E38" s="76"/>
      <c r="F38" s="76"/>
      <c r="G38" s="76"/>
      <c r="H38" s="76"/>
    </row>
    <row r="39">
      <c r="D39" s="76"/>
      <c r="E39" s="76"/>
      <c r="F39" s="76"/>
      <c r="G39" s="76"/>
      <c r="H39" s="76"/>
    </row>
    <row r="40">
      <c r="D40" s="76"/>
      <c r="E40" s="76"/>
      <c r="F40" s="76"/>
      <c r="G40" s="76"/>
      <c r="H40" s="76"/>
    </row>
    <row r="41">
      <c r="D41" s="76"/>
      <c r="E41" s="76"/>
      <c r="F41" s="76"/>
      <c r="G41" s="76"/>
      <c r="H41" s="76"/>
    </row>
    <row r="42">
      <c r="D42" s="76"/>
      <c r="E42" s="76"/>
      <c r="F42" s="76"/>
      <c r="G42" s="76"/>
      <c r="H42" s="76"/>
    </row>
  </sheetData>
  <mergeCells count="1">
    <mergeCell ref="E1:H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189</v>
      </c>
      <c r="D1" s="76"/>
      <c r="E1" s="77" t="s">
        <v>190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95</v>
      </c>
      <c r="E4" s="83">
        <v>66.24351</v>
      </c>
      <c r="F4" s="84">
        <v>301.0</v>
      </c>
      <c r="G4" s="84">
        <v>60.14</v>
      </c>
      <c r="H4" s="84">
        <v>6.10351</v>
      </c>
    </row>
    <row r="5">
      <c r="D5" s="76"/>
      <c r="E5" s="83">
        <v>66.52176</v>
      </c>
      <c r="F5" s="84">
        <v>780.0</v>
      </c>
      <c r="G5" s="84">
        <v>59.89</v>
      </c>
      <c r="H5" s="84">
        <v>6.63176</v>
      </c>
    </row>
    <row r="6">
      <c r="D6" s="76"/>
      <c r="E6" s="83">
        <v>66.30419</v>
      </c>
      <c r="F6" s="84">
        <v>1249.0</v>
      </c>
      <c r="G6" s="84">
        <v>59.37</v>
      </c>
      <c r="H6" s="84">
        <v>6.93419</v>
      </c>
    </row>
    <row r="7">
      <c r="D7" s="76"/>
      <c r="E7" s="83">
        <v>65.90067</v>
      </c>
      <c r="F7" s="84">
        <v>1721.0</v>
      </c>
      <c r="G7" s="84">
        <v>59.24</v>
      </c>
      <c r="H7" s="84">
        <v>6.66067</v>
      </c>
    </row>
    <row r="8">
      <c r="D8" s="76"/>
      <c r="E8" s="83">
        <v>65.53959</v>
      </c>
      <c r="F8" s="84">
        <v>2198.0</v>
      </c>
      <c r="G8" s="84">
        <v>58.65</v>
      </c>
      <c r="H8" s="84">
        <v>6.88959</v>
      </c>
    </row>
    <row r="9">
      <c r="D9" s="76"/>
      <c r="E9" s="83">
        <v>65.12</v>
      </c>
      <c r="F9" s="84">
        <v>2668.0</v>
      </c>
      <c r="G9" s="84">
        <v>58.3</v>
      </c>
      <c r="H9" s="84">
        <v>6.82</v>
      </c>
    </row>
    <row r="10">
      <c r="D10" s="82" t="s">
        <v>120</v>
      </c>
      <c r="E10" s="24">
        <v>65.36527</v>
      </c>
      <c r="F10" s="25">
        <v>3142.0</v>
      </c>
      <c r="G10" s="25">
        <v>59.64</v>
      </c>
      <c r="H10" s="25">
        <v>5.72527</v>
      </c>
    </row>
    <row r="11">
      <c r="D11" s="76"/>
      <c r="E11" s="24">
        <v>65.08017</v>
      </c>
      <c r="F11" s="25">
        <v>3616.0</v>
      </c>
      <c r="G11" s="25">
        <v>59.72</v>
      </c>
      <c r="H11" s="25">
        <v>5.36017</v>
      </c>
    </row>
    <row r="12">
      <c r="D12" s="76"/>
      <c r="E12" s="24">
        <v>64.6536</v>
      </c>
      <c r="F12" s="25">
        <v>4091.0</v>
      </c>
      <c r="G12" s="25">
        <v>59.16</v>
      </c>
      <c r="H12" s="25">
        <v>5.4936</v>
      </c>
    </row>
    <row r="13">
      <c r="D13" s="76"/>
      <c r="E13" s="24">
        <v>64.35507</v>
      </c>
      <c r="F13" s="25">
        <v>4563.0</v>
      </c>
      <c r="G13" s="25">
        <v>59.11</v>
      </c>
      <c r="H13" s="25">
        <v>5.24507</v>
      </c>
    </row>
    <row r="14">
      <c r="D14" s="76"/>
      <c r="E14" s="83">
        <v>64.48133</v>
      </c>
      <c r="F14" s="84">
        <v>5035.0</v>
      </c>
      <c r="G14" s="84">
        <v>59.72</v>
      </c>
      <c r="H14" s="84">
        <v>4.76133</v>
      </c>
    </row>
    <row r="15">
      <c r="D15" s="76"/>
      <c r="E15" s="83">
        <v>64.62595</v>
      </c>
      <c r="F15" s="84">
        <v>5508.0</v>
      </c>
      <c r="G15" s="84">
        <v>60.12</v>
      </c>
      <c r="H15" s="84">
        <v>4.50595</v>
      </c>
    </row>
    <row r="16">
      <c r="D16" s="76"/>
      <c r="E16" s="83">
        <v>64.50757</v>
      </c>
      <c r="F16" s="84">
        <v>5986.0</v>
      </c>
      <c r="G16" s="84">
        <v>59.53</v>
      </c>
      <c r="H16" s="84">
        <v>4.97757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191</v>
      </c>
      <c r="D1" s="76"/>
      <c r="E1" s="77" t="s">
        <v>192</v>
      </c>
      <c r="J1" s="76"/>
      <c r="K1" s="77" t="s">
        <v>193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95</v>
      </c>
      <c r="E4" s="83">
        <v>293.7838</v>
      </c>
      <c r="F4" s="84">
        <v>301.0</v>
      </c>
      <c r="G4" s="84">
        <v>281.36</v>
      </c>
      <c r="H4" s="84">
        <v>12.42384</v>
      </c>
      <c r="J4" s="82" t="s">
        <v>143</v>
      </c>
      <c r="K4" s="83">
        <v>292.28</v>
      </c>
      <c r="L4" s="84">
        <v>301.0</v>
      </c>
      <c r="M4" s="84">
        <v>281.78</v>
      </c>
      <c r="N4" s="84">
        <v>10.5</v>
      </c>
    </row>
    <row r="5">
      <c r="D5" s="76"/>
      <c r="E5" s="83">
        <v>293.3145</v>
      </c>
      <c r="F5" s="84">
        <v>775.0</v>
      </c>
      <c r="G5" s="84">
        <v>280.71</v>
      </c>
      <c r="H5" s="84">
        <v>12.60448</v>
      </c>
      <c r="J5" s="76"/>
      <c r="K5" s="83">
        <v>292.2904</v>
      </c>
      <c r="L5" s="84">
        <v>773.0</v>
      </c>
      <c r="M5" s="84">
        <v>281.71</v>
      </c>
      <c r="N5" s="84">
        <v>10.5804</v>
      </c>
    </row>
    <row r="6">
      <c r="D6" s="76"/>
      <c r="E6" s="83">
        <v>292.8128</v>
      </c>
      <c r="F6" s="84">
        <v>1250.0</v>
      </c>
      <c r="G6" s="84">
        <v>279.85</v>
      </c>
      <c r="H6" s="84">
        <v>12.96281</v>
      </c>
      <c r="J6" s="76"/>
      <c r="K6" s="83">
        <v>292.33</v>
      </c>
      <c r="L6" s="84">
        <v>1240.0</v>
      </c>
      <c r="M6" s="84">
        <v>281.59</v>
      </c>
      <c r="N6" s="84">
        <v>10.74</v>
      </c>
    </row>
    <row r="7">
      <c r="D7" s="76"/>
      <c r="E7" s="83">
        <v>291.7591</v>
      </c>
      <c r="F7" s="84">
        <v>1725.0</v>
      </c>
      <c r="G7" s="84">
        <v>278.43</v>
      </c>
      <c r="H7" s="84">
        <v>13.32914</v>
      </c>
      <c r="J7" s="76"/>
      <c r="K7" s="83">
        <v>292.1261</v>
      </c>
      <c r="L7" s="84">
        <v>1719.0</v>
      </c>
      <c r="M7" s="84">
        <v>281.23</v>
      </c>
      <c r="N7" s="84">
        <v>10.89607</v>
      </c>
    </row>
    <row r="8">
      <c r="D8" s="76"/>
      <c r="E8" s="83">
        <v>291.6254</v>
      </c>
      <c r="F8" s="84">
        <v>2194.0</v>
      </c>
      <c r="G8" s="84">
        <v>277.68</v>
      </c>
      <c r="H8" s="84">
        <v>13.94544</v>
      </c>
      <c r="J8" s="76"/>
      <c r="K8" s="83">
        <v>292.3225</v>
      </c>
      <c r="L8" s="84">
        <v>2191.0</v>
      </c>
      <c r="M8" s="84">
        <v>280.63</v>
      </c>
      <c r="N8" s="84">
        <v>11.6925</v>
      </c>
    </row>
    <row r="9">
      <c r="D9" s="76"/>
      <c r="E9" s="83">
        <v>291.2631</v>
      </c>
      <c r="F9" s="84">
        <v>2671.0</v>
      </c>
      <c r="G9" s="84">
        <v>277.87</v>
      </c>
      <c r="H9" s="84">
        <v>13.39305</v>
      </c>
      <c r="J9" s="76"/>
      <c r="K9" s="83">
        <v>292.1115</v>
      </c>
      <c r="L9" s="84">
        <v>2664.0</v>
      </c>
      <c r="M9" s="84">
        <v>281.5</v>
      </c>
      <c r="N9" s="84">
        <v>10.61154</v>
      </c>
    </row>
    <row r="10">
      <c r="E10" s="83">
        <v>291.0402</v>
      </c>
      <c r="F10" s="84">
        <v>3143.0</v>
      </c>
      <c r="G10" s="84">
        <v>276.95</v>
      </c>
      <c r="H10" s="84">
        <v>14.09021</v>
      </c>
      <c r="J10" s="82" t="s">
        <v>114</v>
      </c>
      <c r="K10" s="24">
        <v>290.6131</v>
      </c>
      <c r="L10" s="25">
        <v>3133.0</v>
      </c>
      <c r="M10" s="25">
        <v>279.62</v>
      </c>
      <c r="N10" s="25">
        <v>10.99308</v>
      </c>
    </row>
    <row r="11">
      <c r="D11" s="76"/>
      <c r="E11" s="83">
        <v>290.965</v>
      </c>
      <c r="F11" s="84">
        <v>3616.0</v>
      </c>
      <c r="G11" s="84">
        <v>276.88</v>
      </c>
      <c r="H11" s="84">
        <v>14.085</v>
      </c>
      <c r="J11" s="76"/>
      <c r="K11" s="83">
        <v>290.9835</v>
      </c>
      <c r="L11" s="84">
        <v>3613.0</v>
      </c>
      <c r="M11" s="84">
        <v>282.99</v>
      </c>
      <c r="N11" s="84">
        <v>7.99354</v>
      </c>
    </row>
    <row r="12">
      <c r="D12" s="82" t="s">
        <v>120</v>
      </c>
      <c r="E12" s="83">
        <v>290.7881</v>
      </c>
      <c r="F12" s="84">
        <v>4088.0</v>
      </c>
      <c r="G12" s="84">
        <v>279.79</v>
      </c>
      <c r="H12" s="84">
        <v>10.99804</v>
      </c>
      <c r="J12" s="76"/>
      <c r="K12" s="83">
        <v>291.2485</v>
      </c>
      <c r="L12" s="84">
        <v>4082.0</v>
      </c>
      <c r="M12" s="84">
        <v>283.78</v>
      </c>
      <c r="N12" s="84">
        <v>7.46846</v>
      </c>
    </row>
    <row r="13">
      <c r="D13" s="76"/>
      <c r="E13" s="83">
        <v>290.66</v>
      </c>
      <c r="F13" s="84">
        <v>4563.0</v>
      </c>
      <c r="G13" s="84">
        <v>280.1</v>
      </c>
      <c r="H13" s="84">
        <v>10.55999</v>
      </c>
      <c r="J13" s="76"/>
      <c r="K13" s="83">
        <v>291.289</v>
      </c>
      <c r="L13" s="84">
        <v>4554.0</v>
      </c>
      <c r="M13" s="84">
        <v>284.01</v>
      </c>
      <c r="N13" s="84">
        <v>7.27903</v>
      </c>
    </row>
    <row r="14">
      <c r="D14" s="76"/>
      <c r="E14" s="83">
        <v>290.2766</v>
      </c>
      <c r="F14" s="84">
        <v>5036.0</v>
      </c>
      <c r="G14" s="84">
        <v>279.79</v>
      </c>
      <c r="H14" s="84">
        <v>10.48659</v>
      </c>
      <c r="J14" s="76"/>
      <c r="K14" s="83">
        <v>291.2115</v>
      </c>
      <c r="L14" s="84">
        <v>5028.0</v>
      </c>
      <c r="M14" s="84">
        <v>283.91</v>
      </c>
      <c r="N14" s="84">
        <v>7.30154</v>
      </c>
    </row>
    <row r="15">
      <c r="D15" s="76"/>
      <c r="E15" s="83">
        <v>290.4594</v>
      </c>
      <c r="F15" s="84">
        <v>5512.0</v>
      </c>
      <c r="G15" s="84">
        <v>279.79</v>
      </c>
      <c r="H15" s="84">
        <v>10.66934</v>
      </c>
      <c r="J15" s="76"/>
      <c r="K15" s="83">
        <v>291.0492</v>
      </c>
      <c r="L15" s="84">
        <v>5501.0</v>
      </c>
      <c r="M15" s="84">
        <v>283.47</v>
      </c>
      <c r="N15" s="84">
        <v>7.57923</v>
      </c>
    </row>
    <row r="16">
      <c r="D16" s="76"/>
      <c r="E16" s="83">
        <v>290.5298</v>
      </c>
      <c r="F16" s="84">
        <v>5988.0</v>
      </c>
      <c r="G16" s="84">
        <v>279.89</v>
      </c>
      <c r="H16" s="84">
        <v>10.63977</v>
      </c>
      <c r="J16" s="76"/>
      <c r="K16" s="83">
        <v>291.1386</v>
      </c>
      <c r="L16" s="84">
        <v>5974.0</v>
      </c>
      <c r="M16" s="84">
        <v>282.99</v>
      </c>
      <c r="N16" s="84">
        <v>8.14864</v>
      </c>
    </row>
    <row r="17">
      <c r="D17" s="76"/>
      <c r="E17" s="83">
        <v>290.5915</v>
      </c>
      <c r="F17" s="84">
        <v>6463.0</v>
      </c>
      <c r="G17" s="84">
        <v>279.27</v>
      </c>
      <c r="H17" s="84">
        <v>11.32153</v>
      </c>
      <c r="J17" s="76"/>
      <c r="K17" s="76"/>
      <c r="L17" s="76"/>
      <c r="M17" s="76"/>
      <c r="N17" s="76"/>
    </row>
    <row r="18">
      <c r="D18" s="76"/>
      <c r="E18" s="83">
        <v>290.8936</v>
      </c>
      <c r="F18" s="84">
        <v>6935.0</v>
      </c>
      <c r="G18" s="84">
        <v>280.17</v>
      </c>
      <c r="H18" s="84">
        <v>10.72361</v>
      </c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194</v>
      </c>
      <c r="D1" s="76"/>
      <c r="E1" s="77" t="s">
        <v>195</v>
      </c>
      <c r="J1" s="76"/>
      <c r="K1" s="77" t="s">
        <v>196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143</v>
      </c>
      <c r="E4" s="83">
        <v>293.7202</v>
      </c>
      <c r="F4" s="84">
        <v>301.0</v>
      </c>
      <c r="G4" s="84">
        <v>285.1</v>
      </c>
      <c r="H4" s="84">
        <v>8.62021</v>
      </c>
      <c r="J4" s="82" t="s">
        <v>113</v>
      </c>
      <c r="K4" s="83">
        <v>288.5168</v>
      </c>
      <c r="L4" s="84">
        <v>301.0</v>
      </c>
      <c r="M4" s="84">
        <v>280.81</v>
      </c>
      <c r="N4" s="84">
        <v>7.70681</v>
      </c>
    </row>
    <row r="5">
      <c r="D5" s="76"/>
      <c r="E5" s="83">
        <v>293.6128</v>
      </c>
      <c r="F5" s="84">
        <v>774.0</v>
      </c>
      <c r="G5" s="84">
        <v>284.54</v>
      </c>
      <c r="H5" s="84">
        <v>9.07282</v>
      </c>
      <c r="J5" s="76"/>
      <c r="K5" s="83">
        <v>288.4583</v>
      </c>
      <c r="L5" s="84">
        <v>774.0</v>
      </c>
      <c r="M5" s="84">
        <v>280.27</v>
      </c>
      <c r="N5" s="84">
        <v>8.18831</v>
      </c>
    </row>
    <row r="6">
      <c r="D6" s="76"/>
      <c r="E6" s="83">
        <v>293.2317</v>
      </c>
      <c r="F6" s="84">
        <v>1249.0</v>
      </c>
      <c r="G6" s="84">
        <v>284.27</v>
      </c>
      <c r="H6" s="84">
        <v>8.96175</v>
      </c>
      <c r="J6" s="76"/>
      <c r="K6" s="83">
        <v>288.2754</v>
      </c>
      <c r="L6" s="84">
        <v>1247.0</v>
      </c>
      <c r="M6" s="84">
        <v>279.85</v>
      </c>
      <c r="N6" s="84">
        <v>8.42542</v>
      </c>
    </row>
    <row r="7">
      <c r="D7" s="76"/>
      <c r="E7" s="83">
        <v>292.9574</v>
      </c>
      <c r="F7" s="84">
        <v>1723.0</v>
      </c>
      <c r="G7" s="84">
        <v>283.97</v>
      </c>
      <c r="H7" s="84">
        <v>8.98739</v>
      </c>
      <c r="J7" s="76"/>
      <c r="K7" s="83">
        <v>288.182</v>
      </c>
      <c r="L7" s="84">
        <v>1722.0</v>
      </c>
      <c r="M7" s="84">
        <v>280.25</v>
      </c>
      <c r="N7" s="84">
        <v>7.93196</v>
      </c>
    </row>
    <row r="8">
      <c r="D8" s="76"/>
      <c r="E8" s="83">
        <v>292.1104</v>
      </c>
      <c r="F8" s="84">
        <v>2196.0</v>
      </c>
      <c r="G8" s="84">
        <v>282.97</v>
      </c>
      <c r="H8" s="84">
        <v>9.14042</v>
      </c>
      <c r="J8" s="76"/>
      <c r="K8" s="83">
        <v>288.1539</v>
      </c>
      <c r="L8" s="84">
        <v>2195.0</v>
      </c>
      <c r="M8" s="84">
        <v>279.85</v>
      </c>
      <c r="N8" s="84">
        <v>8.3039</v>
      </c>
    </row>
    <row r="9">
      <c r="D9" s="76"/>
      <c r="E9" s="83">
        <v>291.8519</v>
      </c>
      <c r="F9" s="84">
        <v>2669.0</v>
      </c>
      <c r="G9" s="84">
        <v>282.61</v>
      </c>
      <c r="H9" s="84">
        <v>9.24192</v>
      </c>
      <c r="J9" s="76"/>
      <c r="K9" s="83">
        <v>288.1374</v>
      </c>
      <c r="L9" s="84">
        <v>2669.0</v>
      </c>
      <c r="M9" s="84">
        <v>279.58</v>
      </c>
      <c r="N9" s="84">
        <v>8.5574</v>
      </c>
    </row>
    <row r="10">
      <c r="D10" s="82" t="s">
        <v>114</v>
      </c>
      <c r="E10" s="83">
        <v>291.7785</v>
      </c>
      <c r="F10" s="84">
        <v>3141.0</v>
      </c>
      <c r="G10" s="84">
        <v>285.81</v>
      </c>
      <c r="H10" s="84">
        <v>5.96851</v>
      </c>
      <c r="J10" s="82" t="s">
        <v>138</v>
      </c>
      <c r="K10" s="83">
        <v>287.9387</v>
      </c>
      <c r="L10" s="84">
        <v>3145.0</v>
      </c>
      <c r="M10" s="84">
        <v>279.54</v>
      </c>
      <c r="N10" s="84">
        <v>8.39868</v>
      </c>
    </row>
    <row r="11">
      <c r="D11" s="76"/>
      <c r="E11" s="83">
        <v>291.7744</v>
      </c>
      <c r="F11" s="84">
        <v>3616.0</v>
      </c>
      <c r="G11" s="84">
        <v>286.5</v>
      </c>
      <c r="H11" s="84">
        <v>5.27435</v>
      </c>
      <c r="J11" s="76"/>
      <c r="K11" s="83">
        <v>287.5532</v>
      </c>
      <c r="L11" s="84">
        <v>3615.0</v>
      </c>
      <c r="M11" s="84">
        <v>280.06</v>
      </c>
      <c r="N11" s="84">
        <v>7.49319</v>
      </c>
    </row>
    <row r="12">
      <c r="D12" s="76"/>
      <c r="E12" s="83">
        <v>291.5983</v>
      </c>
      <c r="F12" s="84">
        <v>4090.0</v>
      </c>
      <c r="G12" s="84">
        <v>286.02</v>
      </c>
      <c r="H12" s="84">
        <v>5.57831</v>
      </c>
      <c r="J12" s="76"/>
      <c r="K12" s="83">
        <v>287.5417</v>
      </c>
      <c r="L12" s="84">
        <v>4089.0</v>
      </c>
      <c r="M12" s="84">
        <v>279.66</v>
      </c>
      <c r="N12" s="84">
        <v>7.8817</v>
      </c>
    </row>
    <row r="13">
      <c r="D13" s="76"/>
      <c r="E13" s="83">
        <v>291.48</v>
      </c>
      <c r="F13" s="84">
        <v>4562.0</v>
      </c>
      <c r="G13" s="84">
        <v>286.4</v>
      </c>
      <c r="H13" s="84">
        <v>5.08001</v>
      </c>
      <c r="J13" s="76"/>
      <c r="K13" s="83">
        <v>287.4398</v>
      </c>
      <c r="L13" s="84">
        <v>4568.0</v>
      </c>
      <c r="M13" s="84">
        <v>280.52</v>
      </c>
      <c r="N13" s="84">
        <v>6.9198</v>
      </c>
    </row>
    <row r="14">
      <c r="D14" s="76"/>
      <c r="E14" s="83">
        <v>291.3532</v>
      </c>
      <c r="F14" s="84">
        <v>5036.0</v>
      </c>
      <c r="G14" s="84">
        <v>286.29</v>
      </c>
      <c r="H14" s="84">
        <v>5.06318</v>
      </c>
      <c r="J14" s="76"/>
      <c r="K14" s="83">
        <v>287.6681</v>
      </c>
      <c r="L14" s="84">
        <v>5035.0</v>
      </c>
      <c r="M14" s="84">
        <v>279.83</v>
      </c>
      <c r="N14" s="84">
        <v>7.83814</v>
      </c>
    </row>
    <row r="15">
      <c r="D15" s="76"/>
      <c r="E15" s="83">
        <v>291.2017</v>
      </c>
      <c r="F15" s="84">
        <v>5509.0</v>
      </c>
      <c r="G15" s="84">
        <v>286.5</v>
      </c>
      <c r="H15" s="84">
        <v>4.70174</v>
      </c>
      <c r="J15" s="76"/>
      <c r="K15" s="83">
        <v>287.7231</v>
      </c>
      <c r="L15" s="84">
        <v>5508.0</v>
      </c>
      <c r="M15" s="84">
        <v>279.89</v>
      </c>
      <c r="N15" s="84">
        <v>7.83312</v>
      </c>
    </row>
    <row r="16">
      <c r="D16" s="76"/>
      <c r="E16" s="76"/>
      <c r="F16" s="76"/>
      <c r="G16" s="76"/>
      <c r="H16" s="76"/>
      <c r="J16" s="76"/>
      <c r="K16" s="83">
        <v>287.7779</v>
      </c>
      <c r="L16" s="84">
        <v>5981.0</v>
      </c>
      <c r="M16" s="84">
        <v>279.56</v>
      </c>
      <c r="N16" s="84">
        <v>8.21792</v>
      </c>
    </row>
    <row r="17">
      <c r="D17" s="76"/>
      <c r="E17" s="76"/>
      <c r="F17" s="76"/>
      <c r="G17" s="76"/>
      <c r="H17" s="76"/>
      <c r="J17" s="76"/>
      <c r="K17" s="83">
        <v>287.7471</v>
      </c>
      <c r="L17" s="84">
        <v>6456.0</v>
      </c>
      <c r="M17" s="84">
        <v>280.4</v>
      </c>
      <c r="N17" s="84">
        <v>7.3471</v>
      </c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197</v>
      </c>
      <c r="D1" s="76"/>
      <c r="E1" s="77" t="s">
        <v>198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143</v>
      </c>
      <c r="E4" s="83">
        <v>52.31652</v>
      </c>
      <c r="F4" s="84">
        <v>301.0</v>
      </c>
      <c r="G4" s="84">
        <v>47.57</v>
      </c>
      <c r="H4" s="84">
        <v>4.74652</v>
      </c>
    </row>
    <row r="5">
      <c r="D5" s="76"/>
      <c r="E5" s="83">
        <v>51.76106</v>
      </c>
      <c r="F5" s="84">
        <v>775.0</v>
      </c>
      <c r="G5" s="84">
        <v>47.07</v>
      </c>
      <c r="H5" s="84">
        <v>4.69106</v>
      </c>
    </row>
    <row r="6">
      <c r="D6" s="76"/>
      <c r="E6" s="83">
        <v>51.51978</v>
      </c>
      <c r="F6" s="84">
        <v>1241.0</v>
      </c>
      <c r="G6" s="84">
        <v>47.05</v>
      </c>
      <c r="H6" s="84">
        <v>4.46978</v>
      </c>
    </row>
    <row r="7">
      <c r="D7" s="76"/>
      <c r="E7" s="83">
        <v>51.40565</v>
      </c>
      <c r="F7" s="84">
        <v>1723.0</v>
      </c>
      <c r="G7" s="84">
        <v>46.27</v>
      </c>
      <c r="H7" s="84">
        <v>5.13565</v>
      </c>
    </row>
    <row r="8">
      <c r="D8" s="76"/>
      <c r="E8" s="83">
        <v>51.02109</v>
      </c>
      <c r="F8" s="84">
        <v>2192.0</v>
      </c>
      <c r="G8" s="84">
        <v>46.21</v>
      </c>
      <c r="H8" s="84">
        <v>4.81109</v>
      </c>
    </row>
    <row r="9">
      <c r="D9" s="76"/>
      <c r="E9" s="83">
        <v>50.91739</v>
      </c>
      <c r="F9" s="84">
        <v>2670.0</v>
      </c>
      <c r="G9" s="84">
        <v>46.12</v>
      </c>
      <c r="H9" s="84">
        <v>4.79739</v>
      </c>
    </row>
    <row r="10">
      <c r="D10" s="82" t="s">
        <v>114</v>
      </c>
      <c r="E10" s="83">
        <v>50.52319</v>
      </c>
      <c r="F10" s="84">
        <v>3141.0</v>
      </c>
      <c r="G10" s="84">
        <v>45.7</v>
      </c>
      <c r="H10" s="84">
        <v>4.82319</v>
      </c>
    </row>
    <row r="11">
      <c r="D11" s="76"/>
      <c r="E11" s="24">
        <v>50.55435</v>
      </c>
      <c r="F11" s="25">
        <v>3606.0</v>
      </c>
      <c r="G11" s="25">
        <v>46.63</v>
      </c>
      <c r="H11" s="25">
        <v>3.92435</v>
      </c>
    </row>
    <row r="12">
      <c r="D12" s="76"/>
      <c r="E12" s="24">
        <v>50.53435</v>
      </c>
      <c r="F12" s="25">
        <v>4081.0</v>
      </c>
      <c r="G12" s="25">
        <v>47.55</v>
      </c>
      <c r="H12" s="25">
        <v>2.98435</v>
      </c>
    </row>
    <row r="13">
      <c r="D13" s="76"/>
      <c r="E13" s="24">
        <v>50.50319</v>
      </c>
      <c r="F13" s="25">
        <v>4560.0</v>
      </c>
      <c r="G13" s="25">
        <v>47.6</v>
      </c>
      <c r="H13" s="25">
        <v>2.90319</v>
      </c>
    </row>
    <row r="14">
      <c r="D14" s="76"/>
      <c r="E14" s="24">
        <v>50.25468</v>
      </c>
      <c r="F14" s="25">
        <v>5035.0</v>
      </c>
      <c r="G14" s="25">
        <v>47.79</v>
      </c>
      <c r="H14" s="25">
        <v>2.46468</v>
      </c>
    </row>
    <row r="15">
      <c r="D15" s="76"/>
      <c r="E15" s="83">
        <v>49.97085</v>
      </c>
      <c r="F15" s="84">
        <v>5508.0</v>
      </c>
      <c r="G15" s="84">
        <v>47.24</v>
      </c>
      <c r="H15" s="84">
        <v>2.73085</v>
      </c>
    </row>
    <row r="16">
      <c r="D16" s="76"/>
      <c r="E16" s="83">
        <v>49.7763</v>
      </c>
      <c r="F16" s="84">
        <v>5980.0</v>
      </c>
      <c r="G16" s="84">
        <v>46.82</v>
      </c>
      <c r="H16" s="84">
        <v>2.9563</v>
      </c>
    </row>
    <row r="17">
      <c r="D17" s="76"/>
      <c r="E17" s="83">
        <v>49.74565</v>
      </c>
      <c r="F17" s="84">
        <v>6454.0</v>
      </c>
      <c r="G17" s="84">
        <v>46.71</v>
      </c>
      <c r="H17" s="84">
        <v>3.03565</v>
      </c>
    </row>
    <row r="18">
      <c r="D18" s="76"/>
      <c r="E18" s="83">
        <v>49.57913</v>
      </c>
      <c r="F18" s="84">
        <v>6928.0</v>
      </c>
      <c r="G18" s="84">
        <v>47.01</v>
      </c>
      <c r="H18" s="84">
        <v>2.56913</v>
      </c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36" t="s">
        <v>199</v>
      </c>
      <c r="D1" s="21" t="s">
        <v>200</v>
      </c>
    </row>
    <row r="2">
      <c r="A2" s="137" t="s">
        <v>90</v>
      </c>
    </row>
    <row r="3">
      <c r="A3" s="138" t="s">
        <v>111</v>
      </c>
      <c r="D3" s="87"/>
      <c r="E3" s="79" t="s">
        <v>10</v>
      </c>
      <c r="F3" s="79" t="s">
        <v>11</v>
      </c>
      <c r="G3" s="79" t="s">
        <v>12</v>
      </c>
      <c r="H3" s="139" t="s">
        <v>152</v>
      </c>
    </row>
    <row r="4">
      <c r="A4" s="138" t="s">
        <v>118</v>
      </c>
      <c r="D4" s="140" t="s">
        <v>69</v>
      </c>
      <c r="E4" s="40">
        <v>292.8795</v>
      </c>
      <c r="F4" s="40">
        <v>386.0</v>
      </c>
      <c r="G4" s="40">
        <v>281.4</v>
      </c>
      <c r="H4" s="40">
        <v>11.47952</v>
      </c>
      <c r="I4" s="110"/>
    </row>
    <row r="5">
      <c r="D5" s="87"/>
      <c r="E5" s="40">
        <v>292.7141</v>
      </c>
      <c r="F5" s="40">
        <v>856.0</v>
      </c>
      <c r="G5" s="40">
        <v>281.21</v>
      </c>
      <c r="H5" s="40">
        <v>11.50405</v>
      </c>
      <c r="I5" s="76"/>
    </row>
    <row r="6">
      <c r="D6" s="87"/>
      <c r="E6" s="40">
        <v>292.4938</v>
      </c>
      <c r="F6" s="40">
        <v>1334.0</v>
      </c>
      <c r="G6" s="40">
        <v>280.31</v>
      </c>
      <c r="H6" s="40">
        <v>12.18381</v>
      </c>
      <c r="I6" s="76"/>
    </row>
    <row r="7">
      <c r="D7" s="87"/>
      <c r="E7" s="40">
        <v>292.2159</v>
      </c>
      <c r="F7" s="40">
        <v>1805.0</v>
      </c>
      <c r="G7" s="40">
        <v>280.12</v>
      </c>
      <c r="H7" s="40">
        <v>12.0959</v>
      </c>
      <c r="I7" s="76"/>
    </row>
    <row r="8">
      <c r="D8" s="87"/>
      <c r="E8" s="40">
        <v>291.9243</v>
      </c>
      <c r="F8" s="40">
        <v>2278.0</v>
      </c>
      <c r="G8" s="40">
        <v>279.81</v>
      </c>
      <c r="H8" s="40">
        <v>12.11429</v>
      </c>
      <c r="I8" s="76"/>
    </row>
    <row r="9">
      <c r="D9" s="87"/>
      <c r="E9" s="40">
        <v>291.6972</v>
      </c>
      <c r="F9" s="40">
        <v>2751.0</v>
      </c>
      <c r="G9" s="40">
        <v>279.96</v>
      </c>
      <c r="H9" s="40">
        <v>11.73723</v>
      </c>
      <c r="I9" s="76"/>
    </row>
    <row r="10">
      <c r="D10" s="140" t="s">
        <v>67</v>
      </c>
      <c r="E10" s="40">
        <v>291.2425</v>
      </c>
      <c r="F10" s="40">
        <v>3220.0</v>
      </c>
      <c r="G10" s="40">
        <v>280.67</v>
      </c>
      <c r="H10" s="40">
        <v>10.5725</v>
      </c>
      <c r="I10" s="110"/>
    </row>
    <row r="11">
      <c r="D11" s="87"/>
      <c r="E11" s="40">
        <v>290.8848</v>
      </c>
      <c r="F11" s="40">
        <v>3696.0</v>
      </c>
      <c r="G11" s="40">
        <v>280.38</v>
      </c>
      <c r="H11" s="40">
        <v>10.50476</v>
      </c>
      <c r="I11" s="76"/>
    </row>
    <row r="12">
      <c r="D12" s="87"/>
      <c r="E12" s="40">
        <v>290.4569</v>
      </c>
      <c r="F12" s="40">
        <v>4170.0</v>
      </c>
      <c r="G12" s="40">
        <v>280.27</v>
      </c>
      <c r="H12" s="40">
        <v>10.18687</v>
      </c>
      <c r="I12" s="76"/>
    </row>
    <row r="13">
      <c r="D13" s="87"/>
      <c r="E13" s="40">
        <v>290.2854</v>
      </c>
      <c r="F13" s="40">
        <v>4644.0</v>
      </c>
      <c r="G13" s="40">
        <v>279.39</v>
      </c>
      <c r="H13" s="40">
        <v>10.89542</v>
      </c>
      <c r="I13" s="76"/>
    </row>
    <row r="14">
      <c r="D14" s="87"/>
      <c r="E14" s="40">
        <v>290.259</v>
      </c>
      <c r="F14" s="40">
        <v>5117.0</v>
      </c>
      <c r="G14" s="40">
        <v>279.66</v>
      </c>
      <c r="H14" s="40">
        <v>10.59904</v>
      </c>
      <c r="I14" s="76"/>
    </row>
    <row r="15">
      <c r="D15" s="87"/>
      <c r="E15" s="40">
        <v>290.2363</v>
      </c>
      <c r="F15" s="40">
        <v>5589.0</v>
      </c>
      <c r="G15" s="40">
        <v>279.25</v>
      </c>
      <c r="H15" s="40">
        <v>10.98627</v>
      </c>
      <c r="I15" s="76"/>
    </row>
    <row r="16">
      <c r="D16" s="87"/>
      <c r="E16" s="40">
        <v>290.0245</v>
      </c>
      <c r="F16" s="40">
        <v>6065.0</v>
      </c>
      <c r="G16" s="40">
        <v>279.54</v>
      </c>
      <c r="H16" s="40">
        <v>10.48452</v>
      </c>
      <c r="I16" s="76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37" t="s">
        <v>201</v>
      </c>
      <c r="D1" s="21" t="s">
        <v>202</v>
      </c>
    </row>
    <row r="2">
      <c r="A2" s="137" t="s">
        <v>90</v>
      </c>
    </row>
    <row r="3">
      <c r="A3" s="138" t="s">
        <v>111</v>
      </c>
      <c r="D3" s="87"/>
      <c r="E3" s="79" t="s">
        <v>10</v>
      </c>
      <c r="F3" s="79" t="s">
        <v>11</v>
      </c>
      <c r="G3" s="79" t="s">
        <v>12</v>
      </c>
      <c r="H3" s="139" t="s">
        <v>152</v>
      </c>
    </row>
    <row r="4">
      <c r="A4" s="138" t="s">
        <v>118</v>
      </c>
      <c r="D4" s="140" t="s">
        <v>159</v>
      </c>
      <c r="E4" s="122">
        <v>49.60575</v>
      </c>
      <c r="F4" s="122">
        <v>345.0</v>
      </c>
      <c r="G4" s="122">
        <v>46.44</v>
      </c>
      <c r="H4" s="122">
        <v>3.16575</v>
      </c>
    </row>
    <row r="5">
      <c r="D5" s="92"/>
      <c r="E5" s="123">
        <v>49.34047</v>
      </c>
      <c r="F5" s="123">
        <v>818.0</v>
      </c>
      <c r="G5" s="123">
        <v>46.17</v>
      </c>
      <c r="H5" s="123">
        <v>3.17047</v>
      </c>
    </row>
    <row r="6">
      <c r="D6" s="92"/>
      <c r="E6" s="123">
        <v>49.15331</v>
      </c>
      <c r="F6" s="123">
        <v>1287.0</v>
      </c>
      <c r="G6" s="123">
        <v>46.33</v>
      </c>
      <c r="H6" s="123">
        <v>2.82331</v>
      </c>
    </row>
    <row r="7">
      <c r="D7" s="92"/>
      <c r="E7" s="123">
        <v>48.91882</v>
      </c>
      <c r="F7" s="123">
        <v>1766.0</v>
      </c>
      <c r="G7" s="123">
        <v>45.89</v>
      </c>
      <c r="H7" s="123">
        <v>3.02882</v>
      </c>
    </row>
    <row r="8">
      <c r="D8" s="92"/>
      <c r="E8" s="123">
        <v>48.69952</v>
      </c>
      <c r="F8" s="123">
        <v>2234.0</v>
      </c>
      <c r="G8" s="123">
        <v>45.81</v>
      </c>
      <c r="H8" s="123">
        <v>2.88952</v>
      </c>
    </row>
    <row r="9">
      <c r="D9" s="92"/>
      <c r="E9" s="123">
        <v>48.59953</v>
      </c>
      <c r="F9" s="123">
        <v>2713.0</v>
      </c>
      <c r="G9" s="123">
        <v>45.52</v>
      </c>
      <c r="H9" s="123">
        <v>3.07953</v>
      </c>
    </row>
    <row r="10">
      <c r="D10" s="141" t="s">
        <v>148</v>
      </c>
      <c r="E10" s="123">
        <v>48.53417</v>
      </c>
      <c r="F10" s="123">
        <v>3181.0</v>
      </c>
      <c r="G10" s="123">
        <v>46.04</v>
      </c>
      <c r="H10" s="123">
        <v>2.49417</v>
      </c>
    </row>
    <row r="11">
      <c r="D11" s="92"/>
      <c r="E11" s="123">
        <v>48.27677</v>
      </c>
      <c r="F11" s="123">
        <v>3655.0</v>
      </c>
      <c r="G11" s="123">
        <v>45.75</v>
      </c>
      <c r="H11" s="123">
        <v>2.52677</v>
      </c>
    </row>
    <row r="12">
      <c r="D12" s="92"/>
      <c r="E12" s="123">
        <v>48.13762</v>
      </c>
      <c r="F12" s="123">
        <v>4128.0</v>
      </c>
      <c r="G12" s="123">
        <v>45.58</v>
      </c>
      <c r="H12" s="123">
        <v>2.55762</v>
      </c>
    </row>
    <row r="13">
      <c r="D13" s="92"/>
      <c r="E13" s="123">
        <v>47.95181</v>
      </c>
      <c r="F13" s="123">
        <v>4601.0</v>
      </c>
      <c r="G13" s="123">
        <v>45.6</v>
      </c>
      <c r="H13" s="123">
        <v>2.35181</v>
      </c>
    </row>
    <row r="14">
      <c r="D14" s="92"/>
      <c r="E14" s="123">
        <v>47.98016</v>
      </c>
      <c r="F14" s="123">
        <v>5074.0</v>
      </c>
      <c r="G14" s="123">
        <v>45.31</v>
      </c>
      <c r="H14" s="123">
        <v>2.67016</v>
      </c>
    </row>
    <row r="15">
      <c r="D15" s="92"/>
      <c r="E15" s="123">
        <v>47.8237</v>
      </c>
      <c r="F15" s="123">
        <v>5548.0</v>
      </c>
      <c r="G15" s="123">
        <v>45.43</v>
      </c>
      <c r="H15" s="123">
        <v>2.3937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203</v>
      </c>
      <c r="D1" s="76"/>
      <c r="E1" s="77" t="s">
        <v>204</v>
      </c>
      <c r="J1" s="76"/>
      <c r="K1" s="77" t="s">
        <v>205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127</v>
      </c>
      <c r="D4" s="82" t="s">
        <v>143</v>
      </c>
      <c r="E4" s="83">
        <v>288.6289</v>
      </c>
      <c r="F4" s="84">
        <v>301.0</v>
      </c>
      <c r="G4" s="84">
        <v>278.93</v>
      </c>
      <c r="H4" s="84">
        <v>9.69892</v>
      </c>
      <c r="J4" s="82" t="s">
        <v>95</v>
      </c>
      <c r="K4" s="83">
        <v>285.4443</v>
      </c>
      <c r="L4" s="84">
        <v>301.0</v>
      </c>
      <c r="M4" s="84">
        <v>276.15</v>
      </c>
      <c r="N4" s="84">
        <v>9.2943</v>
      </c>
    </row>
    <row r="5">
      <c r="D5" s="76"/>
      <c r="E5" s="83">
        <v>288.6765</v>
      </c>
      <c r="F5" s="84">
        <v>775.0</v>
      </c>
      <c r="G5" s="84">
        <v>278.68</v>
      </c>
      <c r="H5" s="84">
        <v>9.99653</v>
      </c>
      <c r="J5" s="76"/>
      <c r="K5" s="83">
        <v>285.4837</v>
      </c>
      <c r="L5" s="84">
        <v>774.0</v>
      </c>
      <c r="M5" s="84">
        <v>275.59</v>
      </c>
      <c r="N5" s="84">
        <v>9.89372</v>
      </c>
    </row>
    <row r="6">
      <c r="D6" s="76"/>
      <c r="E6" s="83">
        <v>288.6628</v>
      </c>
      <c r="F6" s="84">
        <v>1248.0</v>
      </c>
      <c r="G6" s="84">
        <v>278.64</v>
      </c>
      <c r="H6" s="84">
        <v>10.02282</v>
      </c>
      <c r="J6" s="76"/>
      <c r="K6" s="83">
        <v>285.5822</v>
      </c>
      <c r="L6" s="84">
        <v>1247.0</v>
      </c>
      <c r="M6" s="84">
        <v>276.21</v>
      </c>
      <c r="N6" s="84">
        <v>9.37223</v>
      </c>
    </row>
    <row r="7">
      <c r="D7" s="76"/>
      <c r="E7" s="83">
        <v>288.5247</v>
      </c>
      <c r="F7" s="84">
        <v>1721.0</v>
      </c>
      <c r="G7" s="84">
        <v>277.18</v>
      </c>
      <c r="H7" s="84">
        <v>11.34469</v>
      </c>
      <c r="J7" s="76"/>
      <c r="K7" s="83">
        <v>285.4729</v>
      </c>
      <c r="L7" s="84">
        <v>1722.0</v>
      </c>
      <c r="M7" s="84">
        <v>275.98</v>
      </c>
      <c r="N7" s="84">
        <v>9.49285</v>
      </c>
    </row>
    <row r="8">
      <c r="D8" s="76"/>
      <c r="E8" s="83">
        <v>288.4285</v>
      </c>
      <c r="F8" s="84">
        <v>2197.0</v>
      </c>
      <c r="G8" s="84">
        <v>277.47</v>
      </c>
      <c r="H8" s="84">
        <v>10.95848</v>
      </c>
      <c r="J8" s="76"/>
      <c r="K8" s="83">
        <v>285.3342</v>
      </c>
      <c r="L8" s="84">
        <v>2192.0</v>
      </c>
      <c r="M8" s="84">
        <v>275.42</v>
      </c>
      <c r="N8" s="84">
        <v>9.91414</v>
      </c>
    </row>
    <row r="9">
      <c r="D9" s="76"/>
      <c r="E9" s="83">
        <v>288.1789</v>
      </c>
      <c r="F9" s="84">
        <v>2669.0</v>
      </c>
      <c r="G9" s="84">
        <v>277.24</v>
      </c>
      <c r="H9" s="84">
        <v>10.93895</v>
      </c>
      <c r="J9" s="82" t="s">
        <v>114</v>
      </c>
      <c r="K9" s="83">
        <v>285.2924</v>
      </c>
      <c r="L9" s="84">
        <v>2666.0</v>
      </c>
      <c r="M9" s="84">
        <v>277.2</v>
      </c>
      <c r="N9" s="84">
        <v>8.09237</v>
      </c>
    </row>
    <row r="10">
      <c r="D10" s="82" t="s">
        <v>120</v>
      </c>
      <c r="E10" s="24">
        <v>288.6758</v>
      </c>
      <c r="F10" s="25">
        <v>3142.0</v>
      </c>
      <c r="G10" s="25">
        <v>277.01</v>
      </c>
      <c r="H10" s="25">
        <v>11.66574</v>
      </c>
      <c r="J10" s="76"/>
      <c r="K10" s="83">
        <v>285.4559</v>
      </c>
      <c r="L10" s="84">
        <v>3141.0</v>
      </c>
      <c r="M10" s="84">
        <v>277.05</v>
      </c>
      <c r="N10" s="84">
        <v>8.40586</v>
      </c>
    </row>
    <row r="11">
      <c r="D11" s="76"/>
      <c r="E11" s="83">
        <v>288.6498</v>
      </c>
      <c r="F11" s="84">
        <v>3614.0</v>
      </c>
      <c r="G11" s="84">
        <v>279.0</v>
      </c>
      <c r="H11" s="84">
        <v>9.64979</v>
      </c>
      <c r="J11" s="76"/>
      <c r="K11" s="83">
        <v>285.4043</v>
      </c>
      <c r="L11" s="84">
        <v>3614.0</v>
      </c>
      <c r="M11" s="84">
        <v>277.91</v>
      </c>
      <c r="N11" s="84">
        <v>7.49429</v>
      </c>
    </row>
    <row r="12">
      <c r="D12" s="76"/>
      <c r="E12" s="83">
        <v>288.495</v>
      </c>
      <c r="F12" s="84">
        <v>4087.0</v>
      </c>
      <c r="G12" s="84">
        <v>278.87</v>
      </c>
      <c r="H12" s="84">
        <v>9.625</v>
      </c>
      <c r="J12" s="76"/>
      <c r="K12" s="83">
        <v>285.4854</v>
      </c>
      <c r="L12" s="84">
        <v>4086.0</v>
      </c>
      <c r="M12" s="84">
        <v>277.8</v>
      </c>
      <c r="N12" s="84">
        <v>7.68538</v>
      </c>
    </row>
    <row r="13">
      <c r="D13" s="76"/>
      <c r="E13" s="83">
        <v>288.4626</v>
      </c>
      <c r="F13" s="84">
        <v>4562.0</v>
      </c>
      <c r="G13" s="84">
        <v>279.37</v>
      </c>
      <c r="H13" s="84">
        <v>9.09261</v>
      </c>
      <c r="J13" s="76"/>
      <c r="K13" s="83">
        <v>285.6029</v>
      </c>
      <c r="L13" s="84">
        <v>4562.0</v>
      </c>
      <c r="M13" s="84">
        <v>278.26</v>
      </c>
      <c r="N13" s="84">
        <v>7.34292</v>
      </c>
    </row>
    <row r="14">
      <c r="D14" s="76"/>
      <c r="E14" s="83">
        <v>288.3745</v>
      </c>
      <c r="F14" s="84">
        <v>5036.0</v>
      </c>
      <c r="G14" s="84">
        <v>278.74</v>
      </c>
      <c r="H14" s="84">
        <v>9.63448</v>
      </c>
      <c r="J14" s="76"/>
      <c r="K14" s="83">
        <v>285.8569</v>
      </c>
      <c r="L14" s="84">
        <v>5034.0</v>
      </c>
      <c r="M14" s="84">
        <v>278.79</v>
      </c>
      <c r="N14" s="84">
        <v>7.06689</v>
      </c>
    </row>
    <row r="15">
      <c r="D15" s="76"/>
      <c r="E15" s="83">
        <v>288.3026</v>
      </c>
      <c r="F15" s="84">
        <v>5509.0</v>
      </c>
      <c r="G15" s="84">
        <v>278.7</v>
      </c>
      <c r="H15" s="84">
        <v>9.6026</v>
      </c>
      <c r="J15" s="76"/>
      <c r="K15" s="76"/>
      <c r="L15" s="76"/>
      <c r="M15" s="76"/>
      <c r="N15" s="76"/>
    </row>
    <row r="16">
      <c r="D16" s="76"/>
      <c r="E16" s="76"/>
      <c r="F16" s="76"/>
      <c r="G16" s="76"/>
      <c r="H16" s="76"/>
      <c r="J16" s="76"/>
      <c r="K16" s="76"/>
      <c r="L16" s="76"/>
      <c r="M16" s="76"/>
      <c r="N16" s="76"/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206</v>
      </c>
      <c r="D1" s="76"/>
      <c r="E1" s="77" t="s">
        <v>207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127</v>
      </c>
      <c r="D4" s="82" t="s">
        <v>143</v>
      </c>
      <c r="E4" s="83">
        <v>58.73386</v>
      </c>
      <c r="F4" s="84">
        <v>301.0</v>
      </c>
      <c r="G4" s="84">
        <v>55.0</v>
      </c>
      <c r="H4" s="84">
        <v>3.73386</v>
      </c>
    </row>
    <row r="5">
      <c r="D5" s="76"/>
      <c r="E5" s="83">
        <v>58.84178</v>
      </c>
      <c r="F5" s="84">
        <v>779.0</v>
      </c>
      <c r="G5" s="84">
        <v>55.35</v>
      </c>
      <c r="H5" s="84">
        <v>3.49178</v>
      </c>
    </row>
    <row r="6">
      <c r="D6" s="76"/>
      <c r="E6" s="83">
        <v>58.71067</v>
      </c>
      <c r="F6" s="84">
        <v>1247.0</v>
      </c>
      <c r="G6" s="84">
        <v>55.25</v>
      </c>
      <c r="H6" s="84">
        <v>3.46067</v>
      </c>
    </row>
    <row r="7">
      <c r="D7" s="76"/>
      <c r="E7" s="83">
        <v>58.18091</v>
      </c>
      <c r="F7" s="84">
        <v>1726.0</v>
      </c>
      <c r="G7" s="84">
        <v>54.95</v>
      </c>
      <c r="H7" s="84">
        <v>3.23091</v>
      </c>
    </row>
    <row r="8">
      <c r="D8" s="76"/>
      <c r="E8" s="83">
        <v>58.12409</v>
      </c>
      <c r="F8" s="84">
        <v>2203.0</v>
      </c>
      <c r="G8" s="84">
        <v>54.83</v>
      </c>
      <c r="H8" s="84">
        <v>3.29409</v>
      </c>
    </row>
    <row r="9">
      <c r="D9" s="76"/>
      <c r="E9" s="24">
        <v>58.02818</v>
      </c>
      <c r="F9" s="25">
        <v>2670.0</v>
      </c>
      <c r="G9" s="25">
        <v>54.6</v>
      </c>
      <c r="H9" s="25">
        <v>3.42818</v>
      </c>
    </row>
    <row r="10">
      <c r="D10" s="82" t="s">
        <v>138</v>
      </c>
      <c r="E10" s="83">
        <v>57.85886</v>
      </c>
      <c r="F10" s="84">
        <v>3144.0</v>
      </c>
      <c r="G10" s="84">
        <v>54.7</v>
      </c>
      <c r="H10" s="84">
        <v>3.15886</v>
      </c>
    </row>
    <row r="11">
      <c r="D11" s="76"/>
      <c r="E11" s="83">
        <v>57.74886</v>
      </c>
      <c r="F11" s="84">
        <v>3614.0</v>
      </c>
      <c r="G11" s="84">
        <v>54.76</v>
      </c>
      <c r="H11" s="84">
        <v>2.98886</v>
      </c>
    </row>
    <row r="12">
      <c r="D12" s="76"/>
      <c r="E12" s="83">
        <v>57.74022</v>
      </c>
      <c r="F12" s="84">
        <v>4092.0</v>
      </c>
      <c r="G12" s="84">
        <v>54.62</v>
      </c>
      <c r="H12" s="84">
        <v>3.12022</v>
      </c>
    </row>
    <row r="13">
      <c r="D13" s="76"/>
      <c r="E13" s="83">
        <v>57.41136</v>
      </c>
      <c r="F13" s="84">
        <v>4566.0</v>
      </c>
      <c r="G13" s="84">
        <v>54.45</v>
      </c>
      <c r="H13" s="84">
        <v>2.96136</v>
      </c>
    </row>
    <row r="14">
      <c r="D14" s="76"/>
      <c r="E14" s="83">
        <v>57.16533</v>
      </c>
      <c r="F14" s="84">
        <v>5037.0</v>
      </c>
      <c r="G14" s="84">
        <v>54.07</v>
      </c>
      <c r="H14" s="84">
        <v>3.09533</v>
      </c>
    </row>
    <row r="15">
      <c r="D15" s="76"/>
      <c r="E15" s="83">
        <v>57.06</v>
      </c>
      <c r="F15" s="84">
        <v>5511.0</v>
      </c>
      <c r="G15" s="84">
        <v>54.03</v>
      </c>
      <c r="H15" s="84">
        <v>3.03</v>
      </c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208</v>
      </c>
      <c r="D1" s="76"/>
      <c r="E1" s="77" t="s">
        <v>209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95</v>
      </c>
      <c r="E4" s="112">
        <v>291.3253</v>
      </c>
      <c r="F4" s="142">
        <v>301.0</v>
      </c>
      <c r="G4" s="142">
        <v>279.77</v>
      </c>
      <c r="H4" s="142">
        <v>11.55528</v>
      </c>
    </row>
    <row r="5">
      <c r="D5" s="76"/>
      <c r="E5" s="83">
        <v>291.3626</v>
      </c>
      <c r="F5" s="84">
        <v>774.0</v>
      </c>
      <c r="G5" s="84">
        <v>279.87</v>
      </c>
      <c r="H5" s="84">
        <v>11.49255</v>
      </c>
    </row>
    <row r="6">
      <c r="D6" s="76"/>
      <c r="E6" s="83">
        <v>291.3576</v>
      </c>
      <c r="F6" s="84">
        <v>1247.0</v>
      </c>
      <c r="G6" s="84">
        <v>279.71</v>
      </c>
      <c r="H6" s="84">
        <v>11.64765</v>
      </c>
    </row>
    <row r="7">
      <c r="D7" s="76"/>
      <c r="E7" s="83">
        <v>291.4315</v>
      </c>
      <c r="F7" s="84">
        <v>1721.0</v>
      </c>
      <c r="G7" s="84">
        <v>279.79</v>
      </c>
      <c r="H7" s="84">
        <v>11.64145</v>
      </c>
    </row>
    <row r="8">
      <c r="D8" s="76"/>
      <c r="E8" s="83">
        <v>291.6289</v>
      </c>
      <c r="F8" s="84">
        <v>2194.0</v>
      </c>
      <c r="G8" s="84">
        <v>279.06</v>
      </c>
      <c r="H8" s="84">
        <v>12.56891</v>
      </c>
    </row>
    <row r="9">
      <c r="D9" s="76"/>
      <c r="E9" s="83">
        <v>291.5456</v>
      </c>
      <c r="F9" s="84">
        <v>2668.0</v>
      </c>
      <c r="G9" s="84">
        <v>279.39</v>
      </c>
      <c r="H9" s="84">
        <v>12.15563</v>
      </c>
    </row>
    <row r="10">
      <c r="D10" s="76"/>
      <c r="E10" s="83">
        <v>291.5426</v>
      </c>
      <c r="F10" s="84">
        <v>3140.0</v>
      </c>
      <c r="G10" s="84">
        <v>279.5</v>
      </c>
      <c r="H10" s="84">
        <v>12.04259</v>
      </c>
    </row>
    <row r="11">
      <c r="D11" s="82" t="s">
        <v>114</v>
      </c>
      <c r="E11" s="24">
        <v>291.3138</v>
      </c>
      <c r="F11" s="25">
        <v>3617.0</v>
      </c>
      <c r="G11" s="25">
        <v>280.25</v>
      </c>
      <c r="H11" s="25">
        <v>11.06382</v>
      </c>
    </row>
    <row r="12">
      <c r="D12" s="76"/>
      <c r="E12" s="83">
        <v>291.2673</v>
      </c>
      <c r="F12" s="84">
        <v>4090.0</v>
      </c>
      <c r="G12" s="84">
        <v>281.76</v>
      </c>
      <c r="H12" s="84">
        <v>9.50726</v>
      </c>
    </row>
    <row r="13">
      <c r="D13" s="76"/>
      <c r="E13" s="83">
        <v>291.2756</v>
      </c>
      <c r="F13" s="84">
        <v>4562.0</v>
      </c>
      <c r="G13" s="84">
        <v>282.09</v>
      </c>
      <c r="H13" s="84">
        <v>9.18564</v>
      </c>
    </row>
    <row r="14">
      <c r="D14" s="76"/>
      <c r="E14" s="83">
        <v>291.3911</v>
      </c>
      <c r="F14" s="84">
        <v>5036.0</v>
      </c>
      <c r="G14" s="84">
        <v>282.36</v>
      </c>
      <c r="H14" s="84">
        <v>9.0311</v>
      </c>
    </row>
    <row r="15">
      <c r="D15" s="76"/>
      <c r="E15" s="83">
        <v>291.5102</v>
      </c>
      <c r="F15" s="84">
        <v>5510.0</v>
      </c>
      <c r="G15" s="84">
        <v>282.7</v>
      </c>
      <c r="H15" s="84">
        <v>8.81017</v>
      </c>
    </row>
    <row r="16">
      <c r="D16" s="76"/>
      <c r="E16" s="83">
        <v>291.6296</v>
      </c>
      <c r="F16" s="84">
        <v>5983.0</v>
      </c>
      <c r="G16" s="84">
        <v>283.09</v>
      </c>
      <c r="H16" s="84">
        <v>8.53963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</row>
    <row r="23">
      <c r="D23" s="76"/>
    </row>
    <row r="24">
      <c r="D24" s="76"/>
    </row>
    <row r="25">
      <c r="D25" s="76"/>
    </row>
    <row r="26">
      <c r="D26" s="76"/>
    </row>
  </sheetData>
  <mergeCells count="1">
    <mergeCell ref="E1:H1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210</v>
      </c>
      <c r="D1" s="76"/>
      <c r="E1" s="77" t="s">
        <v>211</v>
      </c>
      <c r="J1" s="76"/>
      <c r="K1" s="77" t="s">
        <v>212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94</v>
      </c>
      <c r="E4" s="83">
        <v>57.25154</v>
      </c>
      <c r="F4" s="84">
        <v>301.0</v>
      </c>
      <c r="G4" s="84">
        <v>51.95</v>
      </c>
      <c r="H4" s="84">
        <v>5.14154</v>
      </c>
      <c r="J4" s="82" t="s">
        <v>113</v>
      </c>
      <c r="K4" s="83">
        <v>60.94058</v>
      </c>
      <c r="L4" s="84">
        <v>301.0</v>
      </c>
      <c r="M4" s="84">
        <v>53.97</v>
      </c>
      <c r="N4" s="84">
        <v>6.97058</v>
      </c>
    </row>
    <row r="5">
      <c r="D5" s="76"/>
      <c r="E5" s="83">
        <v>57.24941</v>
      </c>
      <c r="F5" s="84">
        <v>782.0</v>
      </c>
      <c r="G5" s="84">
        <v>52.11</v>
      </c>
      <c r="H5" s="84">
        <v>5.27941</v>
      </c>
      <c r="J5" s="76"/>
      <c r="K5" s="83">
        <v>60.68769</v>
      </c>
      <c r="L5" s="84">
        <v>770.0</v>
      </c>
      <c r="M5" s="84">
        <v>54.2</v>
      </c>
      <c r="N5" s="84">
        <v>6.48769</v>
      </c>
    </row>
    <row r="6">
      <c r="D6" s="76"/>
      <c r="E6" s="83">
        <v>57.14462</v>
      </c>
      <c r="F6" s="84">
        <v>1246.0</v>
      </c>
      <c r="G6" s="84">
        <v>51.97</v>
      </c>
      <c r="H6" s="84">
        <v>5.11462</v>
      </c>
      <c r="J6" s="76"/>
      <c r="K6" s="83">
        <v>60.36058</v>
      </c>
      <c r="L6" s="84">
        <v>1245.0</v>
      </c>
      <c r="M6" s="84">
        <v>53.52</v>
      </c>
      <c r="N6" s="84">
        <v>6.84058</v>
      </c>
    </row>
    <row r="7">
      <c r="D7" s="76"/>
      <c r="E7" s="83">
        <v>57.14865</v>
      </c>
      <c r="F7" s="84">
        <v>1723.0</v>
      </c>
      <c r="G7" s="84">
        <v>52.03</v>
      </c>
      <c r="H7" s="84">
        <v>5.21865</v>
      </c>
      <c r="J7" s="76"/>
      <c r="K7" s="83">
        <v>60.33038</v>
      </c>
      <c r="L7" s="84">
        <v>1721.0</v>
      </c>
      <c r="M7" s="84">
        <v>53.96</v>
      </c>
      <c r="N7" s="84">
        <v>6.37038</v>
      </c>
    </row>
    <row r="8">
      <c r="D8" s="76"/>
      <c r="E8" s="83">
        <v>56.99731</v>
      </c>
      <c r="F8" s="84">
        <v>2197.0</v>
      </c>
      <c r="G8" s="84">
        <v>51.93</v>
      </c>
      <c r="H8" s="84">
        <v>5.55731</v>
      </c>
      <c r="J8" s="76"/>
      <c r="K8" s="83">
        <v>59.8675</v>
      </c>
      <c r="L8" s="84">
        <v>2193.0</v>
      </c>
      <c r="M8" s="84">
        <v>53.29</v>
      </c>
      <c r="N8" s="84">
        <v>6.5775</v>
      </c>
    </row>
    <row r="9">
      <c r="D9" s="76"/>
      <c r="E9" s="83">
        <v>56.89769</v>
      </c>
      <c r="F9" s="84">
        <v>2674.0</v>
      </c>
      <c r="G9" s="84">
        <v>51.44</v>
      </c>
      <c r="H9" s="84">
        <v>5.47769</v>
      </c>
      <c r="J9" s="76"/>
      <c r="K9" s="83">
        <v>59.98673</v>
      </c>
      <c r="L9" s="84">
        <v>2662.0</v>
      </c>
      <c r="M9" s="84">
        <v>53.8</v>
      </c>
      <c r="N9" s="84">
        <v>6.18673</v>
      </c>
    </row>
    <row r="10">
      <c r="D10" s="82" t="s">
        <v>114</v>
      </c>
      <c r="E10" s="24">
        <v>56.80077</v>
      </c>
      <c r="F10" s="25">
        <v>3144.0</v>
      </c>
      <c r="G10" s="25">
        <v>51.42</v>
      </c>
      <c r="H10" s="25">
        <v>4.56077</v>
      </c>
      <c r="J10" s="82" t="s">
        <v>138</v>
      </c>
      <c r="K10" s="83">
        <v>59.88519</v>
      </c>
      <c r="L10" s="84">
        <v>3139.0</v>
      </c>
      <c r="M10" s="84">
        <v>54.13</v>
      </c>
      <c r="N10" s="84">
        <v>5.75519</v>
      </c>
    </row>
    <row r="11">
      <c r="D11" s="76"/>
      <c r="E11" s="83">
        <v>56.83784</v>
      </c>
      <c r="F11" s="84">
        <v>3611.0</v>
      </c>
      <c r="G11" s="84">
        <v>52.24</v>
      </c>
      <c r="H11" s="84">
        <v>4.59784</v>
      </c>
      <c r="J11" s="76"/>
      <c r="K11" s="83">
        <v>59.75558</v>
      </c>
      <c r="L11" s="84">
        <v>3622.0</v>
      </c>
      <c r="M11" s="84">
        <v>53.9</v>
      </c>
      <c r="N11" s="84">
        <v>5.85558</v>
      </c>
    </row>
    <row r="12">
      <c r="D12" s="76"/>
      <c r="E12" s="83">
        <v>56.95765</v>
      </c>
      <c r="F12" s="84">
        <v>4092.0</v>
      </c>
      <c r="G12" s="84">
        <v>52.41</v>
      </c>
      <c r="H12" s="84">
        <v>4.54765</v>
      </c>
      <c r="J12" s="76"/>
      <c r="K12" s="83">
        <v>59.37269</v>
      </c>
      <c r="L12" s="84">
        <v>4088.0</v>
      </c>
      <c r="M12" s="84">
        <v>53.48</v>
      </c>
      <c r="N12" s="84">
        <v>5.89269</v>
      </c>
    </row>
    <row r="13">
      <c r="D13" s="76"/>
      <c r="E13" s="83">
        <v>57.01769</v>
      </c>
      <c r="F13" s="84">
        <v>4566.0</v>
      </c>
      <c r="G13" s="84">
        <v>52.89</v>
      </c>
      <c r="H13" s="84">
        <v>4.12769</v>
      </c>
      <c r="J13" s="76"/>
      <c r="K13" s="83">
        <v>59.30731</v>
      </c>
      <c r="L13" s="84">
        <v>4559.0</v>
      </c>
      <c r="M13" s="84">
        <v>53.1</v>
      </c>
      <c r="N13" s="84">
        <v>6.20731</v>
      </c>
    </row>
    <row r="14">
      <c r="D14" s="76"/>
      <c r="E14" s="83">
        <v>56.95038</v>
      </c>
      <c r="F14" s="84">
        <v>5041.0</v>
      </c>
      <c r="G14" s="84">
        <v>52.62</v>
      </c>
      <c r="H14" s="84">
        <v>4.33038</v>
      </c>
      <c r="J14" s="76"/>
      <c r="K14" s="83">
        <v>59.3825</v>
      </c>
      <c r="L14" s="84">
        <v>5026.0</v>
      </c>
      <c r="M14" s="84">
        <v>53.54</v>
      </c>
      <c r="N14" s="84">
        <v>5.8425</v>
      </c>
    </row>
    <row r="15">
      <c r="D15" s="76"/>
      <c r="E15" s="83">
        <v>57.20942</v>
      </c>
      <c r="F15" s="84">
        <v>5518.0</v>
      </c>
      <c r="G15" s="84">
        <v>53.1</v>
      </c>
      <c r="H15" s="84">
        <v>4.10942</v>
      </c>
      <c r="J15" s="76"/>
      <c r="K15" s="83">
        <v>59.19962</v>
      </c>
      <c r="L15" s="84">
        <v>5509.0</v>
      </c>
      <c r="M15" s="84">
        <v>53.04</v>
      </c>
      <c r="N15" s="84">
        <v>6.15962</v>
      </c>
    </row>
    <row r="16">
      <c r="D16" s="76"/>
      <c r="E16" s="83">
        <v>57.31308</v>
      </c>
      <c r="F16" s="84">
        <v>6002.0</v>
      </c>
      <c r="G16" s="84">
        <v>53.27</v>
      </c>
      <c r="H16" s="84">
        <v>4.04308</v>
      </c>
      <c r="J16" s="76"/>
      <c r="K16" s="83">
        <v>58.88173</v>
      </c>
      <c r="L16" s="84">
        <v>5978.0</v>
      </c>
      <c r="M16" s="84">
        <v>53.31</v>
      </c>
      <c r="N16" s="84">
        <v>5.57173</v>
      </c>
    </row>
    <row r="17">
      <c r="D17" s="76"/>
      <c r="E17" s="83">
        <v>57.39942</v>
      </c>
      <c r="F17" s="84">
        <v>6467.0</v>
      </c>
      <c r="G17" s="84">
        <v>53.31</v>
      </c>
      <c r="H17" s="84">
        <v>4.08942</v>
      </c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  <row r="27">
      <c r="J27" s="76"/>
      <c r="K27" s="76"/>
      <c r="L27" s="76"/>
      <c r="M27" s="76"/>
      <c r="N27" s="76"/>
    </row>
    <row r="28">
      <c r="J28" s="76"/>
      <c r="K28" s="76"/>
      <c r="L28" s="76"/>
      <c r="M28" s="76"/>
      <c r="N28" s="76"/>
    </row>
    <row r="29">
      <c r="J29" s="76"/>
      <c r="K29" s="76"/>
      <c r="L29" s="76"/>
      <c r="M29" s="76"/>
      <c r="N29" s="76"/>
    </row>
    <row r="30">
      <c r="J30" s="76"/>
      <c r="K30" s="76"/>
      <c r="L30" s="76"/>
      <c r="M30" s="76"/>
      <c r="N30" s="76"/>
    </row>
    <row r="31">
      <c r="J31" s="76"/>
      <c r="K31" s="76"/>
      <c r="L31" s="76"/>
      <c r="M31" s="76"/>
      <c r="N31" s="76"/>
    </row>
    <row r="32">
      <c r="J32" s="76"/>
      <c r="K32" s="76"/>
      <c r="L32" s="76"/>
      <c r="M32" s="76"/>
      <c r="N32" s="76"/>
    </row>
    <row r="33">
      <c r="J33" s="76"/>
      <c r="K33" s="76"/>
      <c r="L33" s="76"/>
      <c r="M33" s="76"/>
      <c r="N33" s="76"/>
    </row>
    <row r="34">
      <c r="J34" s="76"/>
      <c r="K34" s="76"/>
      <c r="L34" s="76"/>
      <c r="M34" s="76"/>
      <c r="N34" s="76"/>
    </row>
    <row r="35">
      <c r="J35" s="76"/>
      <c r="K35" s="76"/>
      <c r="L35" s="76"/>
      <c r="M35" s="76"/>
      <c r="N35" s="76"/>
    </row>
    <row r="36">
      <c r="J36" s="76"/>
      <c r="K36" s="76"/>
      <c r="L36" s="76"/>
      <c r="M36" s="76"/>
      <c r="N36" s="76"/>
    </row>
    <row r="37">
      <c r="J37" s="76"/>
      <c r="K37" s="76"/>
      <c r="L37" s="76"/>
      <c r="M37" s="76"/>
      <c r="N37" s="76"/>
    </row>
    <row r="38">
      <c r="J38" s="76"/>
      <c r="K38" s="76"/>
      <c r="L38" s="76"/>
      <c r="M38" s="76"/>
      <c r="N38" s="76"/>
    </row>
    <row r="39">
      <c r="J39" s="76"/>
      <c r="K39" s="76"/>
      <c r="L39" s="76"/>
      <c r="M39" s="76"/>
      <c r="N39" s="76"/>
    </row>
    <row r="40">
      <c r="J40" s="76"/>
      <c r="K40" s="76"/>
      <c r="L40" s="76"/>
      <c r="M40" s="76"/>
      <c r="N40" s="76"/>
    </row>
  </sheetData>
  <mergeCells count="2">
    <mergeCell ref="E1:H1"/>
    <mergeCell ref="K1:N1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213</v>
      </c>
      <c r="D1" s="76"/>
      <c r="E1" s="77" t="s">
        <v>214</v>
      </c>
      <c r="J1" s="76"/>
      <c r="K1" s="77" t="s">
        <v>215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143</v>
      </c>
      <c r="E4" s="83">
        <v>290.9182</v>
      </c>
      <c r="F4" s="84">
        <v>301.0</v>
      </c>
      <c r="G4" s="84">
        <v>277.26</v>
      </c>
      <c r="H4" s="84">
        <v>13.65814</v>
      </c>
      <c r="J4" s="82" t="s">
        <v>95</v>
      </c>
      <c r="K4" s="83">
        <v>287.5153</v>
      </c>
      <c r="L4" s="84">
        <v>301.0</v>
      </c>
      <c r="M4" s="84">
        <v>274.31</v>
      </c>
      <c r="N4" s="84">
        <v>13.20532</v>
      </c>
    </row>
    <row r="5">
      <c r="D5" s="76"/>
      <c r="E5" s="83">
        <v>290.8642</v>
      </c>
      <c r="F5" s="84">
        <v>773.0</v>
      </c>
      <c r="G5" s="84">
        <v>277.47</v>
      </c>
      <c r="H5" s="84">
        <v>13.39418</v>
      </c>
      <c r="J5" s="76"/>
      <c r="K5" s="83">
        <v>287.5871</v>
      </c>
      <c r="L5" s="84">
        <v>776.0</v>
      </c>
      <c r="M5" s="84">
        <v>273.81</v>
      </c>
      <c r="N5" s="84">
        <v>13.77714</v>
      </c>
    </row>
    <row r="6">
      <c r="D6" s="76"/>
      <c r="E6" s="83">
        <v>290.9063</v>
      </c>
      <c r="F6" s="84">
        <v>1247.0</v>
      </c>
      <c r="G6" s="84">
        <v>277.3</v>
      </c>
      <c r="H6" s="84">
        <v>13.60631</v>
      </c>
      <c r="J6" s="76"/>
      <c r="K6" s="83">
        <v>287.7369</v>
      </c>
      <c r="L6" s="84">
        <v>1247.0</v>
      </c>
      <c r="M6" s="84">
        <v>274.27</v>
      </c>
      <c r="N6" s="84">
        <v>13.46695</v>
      </c>
    </row>
    <row r="7">
      <c r="D7" s="76"/>
      <c r="E7" s="83">
        <v>290.5291</v>
      </c>
      <c r="F7" s="84">
        <v>1719.0</v>
      </c>
      <c r="G7" s="84">
        <v>276.92</v>
      </c>
      <c r="H7" s="84">
        <v>13.60906</v>
      </c>
      <c r="J7" s="76"/>
      <c r="K7" s="83">
        <v>287.664</v>
      </c>
      <c r="L7" s="84">
        <v>1723.0</v>
      </c>
      <c r="M7" s="84">
        <v>274.37</v>
      </c>
      <c r="N7" s="84">
        <v>13.29403</v>
      </c>
    </row>
    <row r="8">
      <c r="D8" s="76"/>
      <c r="E8" s="83">
        <v>290.3806</v>
      </c>
      <c r="F8" s="84">
        <v>2193.0</v>
      </c>
      <c r="G8" s="84">
        <v>276.44</v>
      </c>
      <c r="H8" s="84">
        <v>13.94056</v>
      </c>
      <c r="J8" s="76"/>
      <c r="K8" s="83">
        <v>287.3781</v>
      </c>
      <c r="L8" s="84">
        <v>2198.0</v>
      </c>
      <c r="M8" s="84">
        <v>274.02</v>
      </c>
      <c r="N8" s="84">
        <v>13.35807</v>
      </c>
    </row>
    <row r="9">
      <c r="D9" s="76"/>
      <c r="E9" s="83">
        <v>290.1541</v>
      </c>
      <c r="F9" s="84">
        <v>2667.0</v>
      </c>
      <c r="G9" s="84">
        <v>276.72</v>
      </c>
      <c r="H9" s="84">
        <v>13.43407</v>
      </c>
      <c r="J9" s="82" t="s">
        <v>114</v>
      </c>
      <c r="K9" s="83">
        <v>287.4094</v>
      </c>
      <c r="L9" s="84">
        <v>2670.0</v>
      </c>
      <c r="M9" s="84">
        <v>277.24</v>
      </c>
      <c r="N9" s="84">
        <v>10.16936</v>
      </c>
    </row>
    <row r="10">
      <c r="D10" s="82" t="s">
        <v>114</v>
      </c>
      <c r="E10" s="24">
        <v>290.815</v>
      </c>
      <c r="F10" s="25">
        <v>3142.0</v>
      </c>
      <c r="G10" s="25">
        <v>280.48</v>
      </c>
      <c r="H10" s="25">
        <v>10.33499</v>
      </c>
      <c r="J10" s="76"/>
      <c r="K10" s="83">
        <v>287.3631</v>
      </c>
      <c r="L10" s="84">
        <v>3144.0</v>
      </c>
      <c r="M10" s="84">
        <v>277.3</v>
      </c>
      <c r="N10" s="84">
        <v>10.06307</v>
      </c>
    </row>
    <row r="11">
      <c r="D11" s="76"/>
      <c r="E11" s="83">
        <v>290.687</v>
      </c>
      <c r="F11" s="84">
        <v>3616.0</v>
      </c>
      <c r="G11" s="84">
        <v>281.23</v>
      </c>
      <c r="H11" s="84">
        <v>9.45703</v>
      </c>
      <c r="J11" s="76"/>
      <c r="K11" s="83">
        <v>287.2989</v>
      </c>
      <c r="L11" s="84">
        <v>3616.0</v>
      </c>
      <c r="M11" s="84">
        <v>277.18</v>
      </c>
      <c r="N11" s="84">
        <v>10.1189</v>
      </c>
    </row>
    <row r="12">
      <c r="D12" s="76"/>
      <c r="E12" s="83">
        <v>290.3141</v>
      </c>
      <c r="F12" s="84">
        <v>4091.0</v>
      </c>
      <c r="G12" s="84">
        <v>281.32</v>
      </c>
      <c r="H12" s="84">
        <v>8.99406</v>
      </c>
      <c r="J12" s="76"/>
      <c r="K12" s="83">
        <v>287.4557</v>
      </c>
      <c r="L12" s="84">
        <v>4090.0</v>
      </c>
      <c r="M12" s="84">
        <v>277.3</v>
      </c>
      <c r="N12" s="84">
        <v>10.15573</v>
      </c>
    </row>
    <row r="13">
      <c r="D13" s="76"/>
      <c r="E13" s="83">
        <v>290.4422</v>
      </c>
      <c r="F13" s="84">
        <v>4565.0</v>
      </c>
      <c r="G13" s="84">
        <v>280.94</v>
      </c>
      <c r="H13" s="84">
        <v>9.50222</v>
      </c>
      <c r="J13" s="76"/>
      <c r="K13" s="83">
        <v>287.6563</v>
      </c>
      <c r="L13" s="84">
        <v>4565.0</v>
      </c>
      <c r="M13" s="84">
        <v>277.78</v>
      </c>
      <c r="N13" s="84">
        <v>9.87629</v>
      </c>
    </row>
    <row r="14">
      <c r="D14" s="76"/>
      <c r="E14" s="83">
        <v>290.7185</v>
      </c>
      <c r="F14" s="84">
        <v>5035.0</v>
      </c>
      <c r="G14" s="84">
        <v>281.55</v>
      </c>
      <c r="H14" s="84">
        <v>9.16853</v>
      </c>
      <c r="J14" s="76"/>
      <c r="K14" s="83">
        <v>287.7284</v>
      </c>
      <c r="L14" s="84">
        <v>5036.0</v>
      </c>
      <c r="M14" s="84">
        <v>278.08</v>
      </c>
      <c r="N14" s="84">
        <v>9.6484</v>
      </c>
    </row>
    <row r="15">
      <c r="D15" s="76"/>
      <c r="E15" s="83">
        <v>290.8126</v>
      </c>
      <c r="F15" s="84">
        <v>5508.0</v>
      </c>
      <c r="G15" s="84">
        <v>281.55</v>
      </c>
      <c r="H15" s="84">
        <v>9.26259</v>
      </c>
      <c r="J15" s="76"/>
      <c r="K15" s="76"/>
      <c r="L15" s="76"/>
      <c r="M15" s="76"/>
      <c r="N15" s="76"/>
    </row>
    <row r="16">
      <c r="D16" s="76"/>
      <c r="E16" s="83">
        <v>290.5695</v>
      </c>
      <c r="F16" s="84">
        <v>5980.0</v>
      </c>
      <c r="G16" s="84">
        <v>281.04</v>
      </c>
      <c r="H16" s="84">
        <v>9.52951</v>
      </c>
      <c r="J16" s="76"/>
      <c r="K16" s="76"/>
      <c r="L16" s="76"/>
      <c r="M16" s="76"/>
      <c r="N16" s="76"/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216</v>
      </c>
      <c r="D1" s="76"/>
      <c r="E1" s="77" t="s">
        <v>217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143</v>
      </c>
      <c r="E4" s="83">
        <v>61.94071</v>
      </c>
      <c r="F4" s="84">
        <v>301.0</v>
      </c>
      <c r="G4" s="84">
        <v>57.69</v>
      </c>
      <c r="H4" s="84">
        <v>4.25071</v>
      </c>
    </row>
    <row r="5">
      <c r="D5" s="76"/>
      <c r="E5" s="83">
        <v>61.64018</v>
      </c>
      <c r="F5" s="84">
        <v>773.0</v>
      </c>
      <c r="G5" s="84">
        <v>57.18</v>
      </c>
      <c r="H5" s="84">
        <v>4.46018</v>
      </c>
    </row>
    <row r="6">
      <c r="D6" s="76"/>
      <c r="E6" s="83">
        <v>61.48661</v>
      </c>
      <c r="F6" s="84">
        <v>1250.0</v>
      </c>
      <c r="G6" s="84">
        <v>57.29</v>
      </c>
      <c r="H6" s="84">
        <v>4.19661</v>
      </c>
    </row>
    <row r="7">
      <c r="D7" s="76"/>
      <c r="E7" s="83">
        <v>61.47804</v>
      </c>
      <c r="F7" s="84">
        <v>1719.0</v>
      </c>
      <c r="G7" s="84">
        <v>57.45</v>
      </c>
      <c r="H7" s="84">
        <v>4.02804</v>
      </c>
    </row>
    <row r="8">
      <c r="D8" s="76"/>
      <c r="E8" s="83">
        <v>61.30821</v>
      </c>
      <c r="F8" s="84">
        <v>2190.0</v>
      </c>
      <c r="G8" s="84">
        <v>56.82</v>
      </c>
      <c r="H8" s="84">
        <v>4.48821</v>
      </c>
    </row>
    <row r="9">
      <c r="D9" s="76"/>
      <c r="E9" s="83">
        <v>60.93903</v>
      </c>
      <c r="F9" s="84">
        <v>2665.0</v>
      </c>
      <c r="G9" s="84">
        <v>56.7</v>
      </c>
      <c r="H9" s="84">
        <v>4.23903</v>
      </c>
    </row>
    <row r="10">
      <c r="D10" s="82" t="s">
        <v>120</v>
      </c>
      <c r="E10" s="24">
        <v>60.79236</v>
      </c>
      <c r="F10" s="25">
        <v>3147.0</v>
      </c>
      <c r="G10" s="25">
        <v>57.03</v>
      </c>
      <c r="H10" s="25">
        <v>3.76236</v>
      </c>
    </row>
    <row r="11">
      <c r="D11" s="76"/>
      <c r="E11" s="83">
        <v>60.54931</v>
      </c>
      <c r="F11" s="84">
        <v>3611.0</v>
      </c>
      <c r="G11" s="84">
        <v>57.37</v>
      </c>
      <c r="H11" s="84">
        <v>3.17931</v>
      </c>
    </row>
    <row r="12">
      <c r="D12" s="76"/>
      <c r="E12" s="83">
        <v>60.39736</v>
      </c>
      <c r="F12" s="84">
        <v>4087.0</v>
      </c>
      <c r="G12" s="84">
        <v>57.27</v>
      </c>
      <c r="H12" s="84">
        <v>3.12736</v>
      </c>
    </row>
    <row r="13">
      <c r="D13" s="76"/>
      <c r="E13" s="83">
        <v>59.91514</v>
      </c>
      <c r="F13" s="84">
        <v>4561.0</v>
      </c>
      <c r="G13" s="84">
        <v>56.42</v>
      </c>
      <c r="H13" s="84">
        <v>3.49514</v>
      </c>
    </row>
    <row r="14">
      <c r="D14" s="76"/>
      <c r="E14" s="83">
        <v>59.66139</v>
      </c>
      <c r="F14" s="84">
        <v>5038.0</v>
      </c>
      <c r="G14" s="84">
        <v>56.44</v>
      </c>
      <c r="H14" s="84">
        <v>3.22139</v>
      </c>
    </row>
    <row r="15">
      <c r="D15" s="76"/>
      <c r="E15" s="83">
        <v>59.72431</v>
      </c>
      <c r="F15" s="84">
        <v>5507.0</v>
      </c>
      <c r="G15" s="84">
        <v>56.38</v>
      </c>
      <c r="H15" s="84">
        <v>3.34431</v>
      </c>
    </row>
    <row r="16">
      <c r="D16" s="76"/>
      <c r="E16" s="83">
        <v>59.75</v>
      </c>
      <c r="F16" s="84">
        <v>5983.0</v>
      </c>
      <c r="G16" s="84">
        <v>56.38</v>
      </c>
      <c r="H16" s="84">
        <v>3.37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218</v>
      </c>
      <c r="D1" s="76"/>
      <c r="E1" s="77" t="s">
        <v>219</v>
      </c>
      <c r="J1" s="76"/>
      <c r="K1" s="77" t="s">
        <v>220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113</v>
      </c>
      <c r="E4" s="83">
        <v>291.8246</v>
      </c>
      <c r="F4" s="84">
        <v>302.0</v>
      </c>
      <c r="G4" s="84">
        <v>277.32</v>
      </c>
      <c r="H4" s="84">
        <v>14.50463</v>
      </c>
      <c r="J4" s="82" t="s">
        <v>113</v>
      </c>
      <c r="K4" s="83">
        <v>293.8047</v>
      </c>
      <c r="L4" s="84">
        <v>301.0</v>
      </c>
      <c r="M4" s="84">
        <v>277.7</v>
      </c>
      <c r="N4" s="84">
        <v>16.10472</v>
      </c>
    </row>
    <row r="5">
      <c r="D5" s="76"/>
      <c r="E5" s="83">
        <v>291.7698</v>
      </c>
      <c r="F5" s="84">
        <v>775.0</v>
      </c>
      <c r="G5" s="84">
        <v>277.43</v>
      </c>
      <c r="H5" s="84">
        <v>14.33983</v>
      </c>
      <c r="J5" s="76"/>
      <c r="K5" s="83">
        <v>293.623</v>
      </c>
      <c r="L5" s="84">
        <v>774.0</v>
      </c>
      <c r="M5" s="84">
        <v>277.59</v>
      </c>
      <c r="N5" s="84">
        <v>16.03303</v>
      </c>
    </row>
    <row r="6">
      <c r="D6" s="76"/>
      <c r="E6" s="83">
        <v>291.725</v>
      </c>
      <c r="F6" s="84">
        <v>1250.0</v>
      </c>
      <c r="G6" s="84">
        <v>277.01</v>
      </c>
      <c r="H6" s="84">
        <v>14.71499</v>
      </c>
      <c r="J6" s="76"/>
      <c r="K6" s="83">
        <v>293.5649</v>
      </c>
      <c r="L6" s="84">
        <v>1249.0</v>
      </c>
      <c r="M6" s="84">
        <v>276.21</v>
      </c>
      <c r="N6" s="84">
        <v>17.35492</v>
      </c>
    </row>
    <row r="7">
      <c r="D7" s="76"/>
      <c r="E7" s="83">
        <v>292.177</v>
      </c>
      <c r="F7" s="84">
        <v>1722.0</v>
      </c>
      <c r="G7" s="84">
        <v>277.53</v>
      </c>
      <c r="H7" s="84">
        <v>14.64697</v>
      </c>
      <c r="J7" s="76"/>
      <c r="K7" s="83">
        <v>293.3863</v>
      </c>
      <c r="L7" s="84">
        <v>1722.0</v>
      </c>
      <c r="M7" s="84">
        <v>275.9</v>
      </c>
      <c r="N7" s="84">
        <v>17.48626</v>
      </c>
    </row>
    <row r="8">
      <c r="D8" s="76"/>
      <c r="E8" s="83">
        <v>292.7768</v>
      </c>
      <c r="F8" s="84">
        <v>2196.0</v>
      </c>
      <c r="G8" s="84">
        <v>277.11</v>
      </c>
      <c r="H8" s="84">
        <v>15.66679</v>
      </c>
      <c r="J8" s="76"/>
      <c r="K8" s="83">
        <v>293.4705</v>
      </c>
      <c r="L8" s="84">
        <v>2194.0</v>
      </c>
      <c r="M8" s="84">
        <v>276.34</v>
      </c>
      <c r="N8" s="84">
        <v>17.13054</v>
      </c>
    </row>
    <row r="9">
      <c r="D9" s="76"/>
      <c r="E9" s="83">
        <v>293.0355</v>
      </c>
      <c r="F9" s="84">
        <v>2668.0</v>
      </c>
      <c r="G9" s="84">
        <v>277.97</v>
      </c>
      <c r="H9" s="84">
        <v>15.06553</v>
      </c>
      <c r="J9" s="76"/>
      <c r="K9" s="83">
        <v>293.4507</v>
      </c>
      <c r="L9" s="84">
        <v>2666.0</v>
      </c>
      <c r="M9" s="84">
        <v>276.13</v>
      </c>
      <c r="N9" s="84">
        <v>17.32073</v>
      </c>
    </row>
    <row r="10">
      <c r="D10" s="82" t="s">
        <v>120</v>
      </c>
      <c r="E10" s="24">
        <v>292.3379</v>
      </c>
      <c r="F10" s="25">
        <v>3143.0</v>
      </c>
      <c r="G10" s="25">
        <v>279.39</v>
      </c>
      <c r="H10" s="25">
        <v>12.94784</v>
      </c>
      <c r="J10" s="76"/>
      <c r="K10" s="83">
        <v>293.1764</v>
      </c>
      <c r="L10" s="84">
        <v>3141.0</v>
      </c>
      <c r="M10" s="84">
        <v>275.15</v>
      </c>
      <c r="N10" s="84">
        <v>18.02644</v>
      </c>
    </row>
    <row r="11">
      <c r="D11" s="76"/>
      <c r="E11" s="83">
        <v>292.6623</v>
      </c>
      <c r="F11" s="84">
        <v>3617.0</v>
      </c>
      <c r="G11" s="84">
        <v>280.27</v>
      </c>
      <c r="H11" s="84">
        <v>12.39233</v>
      </c>
      <c r="J11" s="82" t="s">
        <v>138</v>
      </c>
      <c r="K11" s="24">
        <v>292.9493</v>
      </c>
      <c r="L11" s="25">
        <v>3621.0</v>
      </c>
      <c r="M11" s="25">
        <v>277.66</v>
      </c>
      <c r="N11" s="25">
        <v>15.28927</v>
      </c>
    </row>
    <row r="12">
      <c r="D12" s="76"/>
      <c r="E12" s="83">
        <v>292.6979</v>
      </c>
      <c r="F12" s="84">
        <v>4089.0</v>
      </c>
      <c r="G12" s="84">
        <v>280.31</v>
      </c>
      <c r="H12" s="84">
        <v>12.38785</v>
      </c>
      <c r="J12" s="76"/>
      <c r="K12" s="24">
        <v>293.2593</v>
      </c>
      <c r="L12" s="25">
        <v>4093.0</v>
      </c>
      <c r="M12" s="25">
        <v>278.81</v>
      </c>
      <c r="N12" s="25">
        <v>14.44927</v>
      </c>
    </row>
    <row r="13">
      <c r="D13" s="76"/>
      <c r="E13" s="83">
        <v>292.6755</v>
      </c>
      <c r="F13" s="84">
        <v>4563.0</v>
      </c>
      <c r="G13" s="84">
        <v>280.21</v>
      </c>
      <c r="H13" s="84">
        <v>12.46554</v>
      </c>
      <c r="J13" s="76"/>
      <c r="K13" s="24">
        <v>293.0948</v>
      </c>
      <c r="L13" s="25">
        <v>4565.0</v>
      </c>
      <c r="M13" s="25">
        <v>278.12</v>
      </c>
      <c r="N13" s="25">
        <v>14.97482</v>
      </c>
    </row>
    <row r="14">
      <c r="D14" s="76"/>
      <c r="E14" s="83">
        <v>292.8186</v>
      </c>
      <c r="F14" s="84">
        <v>5037.0</v>
      </c>
      <c r="G14" s="84">
        <v>280.38</v>
      </c>
      <c r="H14" s="84">
        <v>12.43857</v>
      </c>
      <c r="J14" s="76"/>
      <c r="K14" s="83">
        <v>292.787</v>
      </c>
      <c r="L14" s="84">
        <v>5040.0</v>
      </c>
      <c r="M14" s="84">
        <v>277.13</v>
      </c>
      <c r="N14" s="84">
        <v>15.65696</v>
      </c>
    </row>
    <row r="15">
      <c r="D15" s="76"/>
      <c r="E15" s="83">
        <v>293.1418</v>
      </c>
      <c r="F15" s="84">
        <v>5509.0</v>
      </c>
      <c r="G15" s="84">
        <v>280.17</v>
      </c>
      <c r="H15" s="84">
        <v>12.97178</v>
      </c>
      <c r="J15" s="76"/>
      <c r="K15" s="83">
        <v>293.3145</v>
      </c>
      <c r="L15" s="84">
        <v>5511.0</v>
      </c>
      <c r="M15" s="84">
        <v>278.05</v>
      </c>
      <c r="N15" s="84">
        <v>15.26447</v>
      </c>
    </row>
    <row r="16">
      <c r="D16" s="76"/>
      <c r="E16" s="83">
        <v>293.2573</v>
      </c>
      <c r="F16" s="84">
        <v>5983.0</v>
      </c>
      <c r="G16" s="84">
        <v>280.86</v>
      </c>
      <c r="H16" s="84">
        <v>12.39733</v>
      </c>
      <c r="J16" s="76"/>
      <c r="K16" s="83">
        <v>293.5302</v>
      </c>
      <c r="L16" s="84">
        <v>5986.0</v>
      </c>
      <c r="M16" s="84">
        <v>278.26</v>
      </c>
      <c r="N16" s="84">
        <v>15.27017</v>
      </c>
    </row>
    <row r="17">
      <c r="D17" s="76"/>
      <c r="E17" s="76"/>
      <c r="F17" s="76"/>
      <c r="G17" s="76"/>
      <c r="H17" s="76"/>
      <c r="J17" s="76"/>
      <c r="K17" s="83">
        <v>293.6418</v>
      </c>
      <c r="L17" s="84">
        <v>6458.0</v>
      </c>
      <c r="M17" s="84">
        <v>278.14</v>
      </c>
      <c r="N17" s="84">
        <v>15.50178</v>
      </c>
    </row>
    <row r="18">
      <c r="D18" s="76"/>
      <c r="E18" s="76"/>
      <c r="F18" s="76"/>
      <c r="G18" s="76"/>
      <c r="H18" s="76"/>
      <c r="J18" s="76"/>
      <c r="K18" s="83">
        <v>293.7107</v>
      </c>
      <c r="L18" s="84">
        <v>6934.0</v>
      </c>
      <c r="M18" s="84">
        <v>277.55</v>
      </c>
      <c r="N18" s="84">
        <v>16.16072</v>
      </c>
    </row>
    <row r="19">
      <c r="D19" s="76"/>
      <c r="E19" s="76"/>
      <c r="F19" s="76"/>
      <c r="G19" s="76"/>
      <c r="H19" s="76"/>
      <c r="J19" s="76"/>
      <c r="K19" s="83">
        <v>293.5688</v>
      </c>
      <c r="L19" s="84">
        <v>7404.0</v>
      </c>
      <c r="M19" s="84">
        <v>277.43</v>
      </c>
      <c r="N19" s="84">
        <v>16.13876</v>
      </c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  <row r="27">
      <c r="J27" s="76"/>
      <c r="K27" s="76"/>
      <c r="L27" s="76"/>
      <c r="M27" s="76"/>
      <c r="N27" s="76"/>
    </row>
    <row r="28">
      <c r="J28" s="76"/>
      <c r="K28" s="76"/>
      <c r="L28" s="76"/>
      <c r="M28" s="76"/>
      <c r="N28" s="76"/>
    </row>
    <row r="29">
      <c r="J29" s="76"/>
      <c r="K29" s="76"/>
      <c r="L29" s="76"/>
      <c r="M29" s="76"/>
      <c r="N29" s="76"/>
    </row>
    <row r="30">
      <c r="J30" s="76"/>
      <c r="K30" s="76"/>
      <c r="L30" s="76"/>
      <c r="M30" s="76"/>
      <c r="N30" s="76"/>
    </row>
    <row r="31">
      <c r="J31" s="76"/>
      <c r="K31" s="76"/>
      <c r="L31" s="76"/>
      <c r="M31" s="76"/>
      <c r="N31" s="76"/>
    </row>
    <row r="32">
      <c r="J32" s="76"/>
      <c r="K32" s="76"/>
      <c r="L32" s="76"/>
      <c r="M32" s="76"/>
      <c r="N32" s="76"/>
    </row>
    <row r="33">
      <c r="J33" s="76"/>
      <c r="K33" s="76"/>
      <c r="L33" s="76"/>
      <c r="M33" s="76"/>
      <c r="N33" s="76"/>
    </row>
    <row r="34">
      <c r="J34" s="76"/>
      <c r="K34" s="76"/>
      <c r="L34" s="76"/>
      <c r="M34" s="76"/>
      <c r="N34" s="76"/>
    </row>
    <row r="35">
      <c r="J35" s="76"/>
      <c r="K35" s="76"/>
      <c r="L35" s="76"/>
      <c r="M35" s="76"/>
      <c r="N35" s="76"/>
    </row>
    <row r="36">
      <c r="J36" s="76"/>
      <c r="K36" s="76"/>
      <c r="L36" s="76"/>
      <c r="M36" s="76"/>
      <c r="N36" s="76"/>
    </row>
    <row r="37">
      <c r="J37" s="76"/>
      <c r="K37" s="76"/>
      <c r="L37" s="76"/>
      <c r="M37" s="76"/>
      <c r="N37" s="76"/>
    </row>
    <row r="38">
      <c r="J38" s="76"/>
      <c r="K38" s="76"/>
      <c r="L38" s="76"/>
      <c r="M38" s="76"/>
      <c r="N38" s="76"/>
    </row>
    <row r="39">
      <c r="J39" s="76"/>
      <c r="K39" s="76"/>
      <c r="L39" s="76"/>
      <c r="M39" s="76"/>
      <c r="N39" s="76"/>
    </row>
    <row r="40">
      <c r="J40" s="76"/>
      <c r="K40" s="76"/>
      <c r="L40" s="76"/>
      <c r="M40" s="76"/>
      <c r="N40" s="76"/>
    </row>
    <row r="41">
      <c r="J41" s="76"/>
      <c r="K41" s="76"/>
      <c r="L41" s="76"/>
      <c r="M41" s="76"/>
      <c r="N41" s="76"/>
    </row>
    <row r="42">
      <c r="J42" s="76"/>
      <c r="K42" s="76"/>
      <c r="L42" s="76"/>
      <c r="M42" s="76"/>
      <c r="N42" s="76"/>
    </row>
  </sheetData>
  <mergeCells count="2">
    <mergeCell ref="E1:H1"/>
    <mergeCell ref="K1:N1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221</v>
      </c>
      <c r="D1" s="76"/>
      <c r="E1" s="77" t="s">
        <v>222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143</v>
      </c>
      <c r="E4" s="112">
        <v>60.57196</v>
      </c>
      <c r="F4" s="142">
        <v>277.0</v>
      </c>
      <c r="G4" s="142">
        <v>55.86</v>
      </c>
      <c r="H4" s="142">
        <v>4.71196</v>
      </c>
    </row>
    <row r="5">
      <c r="D5" s="76"/>
      <c r="E5" s="83">
        <v>60.37714</v>
      </c>
      <c r="F5" s="84">
        <v>750.0</v>
      </c>
      <c r="G5" s="84">
        <v>55.65</v>
      </c>
      <c r="H5" s="84">
        <v>4.72714</v>
      </c>
    </row>
    <row r="6">
      <c r="D6" s="76"/>
      <c r="E6" s="83">
        <v>60.08145</v>
      </c>
      <c r="F6" s="84">
        <v>1224.0</v>
      </c>
      <c r="G6" s="84">
        <v>55.23</v>
      </c>
      <c r="H6" s="84">
        <v>4.85145</v>
      </c>
    </row>
    <row r="7">
      <c r="D7" s="76"/>
      <c r="E7" s="83">
        <v>59.72732</v>
      </c>
      <c r="F7" s="84">
        <v>1701.0</v>
      </c>
      <c r="G7" s="84">
        <v>54.78</v>
      </c>
      <c r="H7" s="84">
        <v>4.94732</v>
      </c>
    </row>
    <row r="8">
      <c r="D8" s="76"/>
      <c r="E8" s="83">
        <v>59.39339</v>
      </c>
      <c r="F8" s="84">
        <v>2169.0</v>
      </c>
      <c r="G8" s="84">
        <v>54.72</v>
      </c>
      <c r="H8" s="84">
        <v>4.67339</v>
      </c>
    </row>
    <row r="9">
      <c r="D9" s="76"/>
      <c r="E9" s="83">
        <v>59.46161</v>
      </c>
      <c r="F9" s="84">
        <v>2646.0</v>
      </c>
      <c r="G9" s="84">
        <v>54.87</v>
      </c>
      <c r="H9" s="84">
        <v>4.59161</v>
      </c>
    </row>
    <row r="10">
      <c r="D10" s="82" t="s">
        <v>120</v>
      </c>
      <c r="E10" s="83">
        <v>59.17929</v>
      </c>
      <c r="F10" s="84">
        <v>3126.0</v>
      </c>
      <c r="G10" s="84">
        <v>55.5</v>
      </c>
      <c r="H10" s="84">
        <v>3.67929</v>
      </c>
    </row>
    <row r="11">
      <c r="D11" s="76"/>
      <c r="E11" s="83">
        <v>58.89464</v>
      </c>
      <c r="F11" s="84">
        <v>3595.0</v>
      </c>
      <c r="G11" s="84">
        <v>54.91</v>
      </c>
      <c r="H11" s="84">
        <v>3.98464</v>
      </c>
    </row>
    <row r="12">
      <c r="D12" s="76"/>
      <c r="E12" s="83">
        <v>58.51821</v>
      </c>
      <c r="F12" s="84">
        <v>4067.0</v>
      </c>
      <c r="G12" s="84">
        <v>54.95</v>
      </c>
      <c r="H12" s="84">
        <v>3.56821</v>
      </c>
    </row>
    <row r="13">
      <c r="D13" s="76"/>
      <c r="E13" s="83">
        <v>58.27926</v>
      </c>
      <c r="F13" s="84">
        <v>4538.0</v>
      </c>
      <c r="G13" s="84">
        <v>54.62</v>
      </c>
      <c r="H13" s="84">
        <v>3.65926</v>
      </c>
    </row>
    <row r="14">
      <c r="D14" s="76"/>
      <c r="E14" s="83">
        <v>58.10441</v>
      </c>
      <c r="F14" s="84">
        <v>5013.0</v>
      </c>
      <c r="G14" s="84">
        <v>54.28</v>
      </c>
      <c r="H14" s="84">
        <v>3.82441</v>
      </c>
    </row>
    <row r="15">
      <c r="D15" s="76"/>
      <c r="E15" s="83">
        <v>58.06235</v>
      </c>
      <c r="F15" s="84">
        <v>5487.0</v>
      </c>
      <c r="G15" s="84">
        <v>54.22</v>
      </c>
      <c r="H15" s="84">
        <v>3.84235</v>
      </c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</row>
    <row r="22">
      <c r="D22" s="76"/>
    </row>
    <row r="23">
      <c r="D23" s="76"/>
    </row>
    <row r="24">
      <c r="D24" s="76"/>
    </row>
    <row r="25">
      <c r="D25" s="76"/>
    </row>
    <row r="26">
      <c r="D26" s="76"/>
    </row>
  </sheetData>
  <mergeCells count="1">
    <mergeCell ref="E1:H1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223</v>
      </c>
      <c r="D1" s="76"/>
      <c r="E1" s="77" t="s">
        <v>224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113</v>
      </c>
      <c r="E4" s="83">
        <v>296.1368</v>
      </c>
      <c r="F4" s="84">
        <v>301.0</v>
      </c>
      <c r="G4" s="84">
        <v>277.95</v>
      </c>
      <c r="H4" s="84">
        <v>18.18677</v>
      </c>
    </row>
    <row r="5">
      <c r="D5" s="76"/>
      <c r="E5" s="83">
        <v>295.8251</v>
      </c>
      <c r="F5" s="84">
        <v>774.0</v>
      </c>
      <c r="G5" s="84">
        <v>278.12</v>
      </c>
      <c r="H5" s="84">
        <v>17.70508</v>
      </c>
    </row>
    <row r="6">
      <c r="D6" s="76"/>
      <c r="E6" s="83">
        <v>295.7359</v>
      </c>
      <c r="F6" s="84">
        <v>1249.0</v>
      </c>
      <c r="G6" s="84">
        <v>277.74</v>
      </c>
      <c r="H6" s="84">
        <v>17.99594</v>
      </c>
    </row>
    <row r="7">
      <c r="D7" s="76"/>
      <c r="E7" s="83">
        <v>295.4864</v>
      </c>
      <c r="F7" s="84">
        <v>1724.0</v>
      </c>
      <c r="G7" s="84">
        <v>276.88</v>
      </c>
      <c r="H7" s="84">
        <v>18.60644</v>
      </c>
    </row>
    <row r="8">
      <c r="D8" s="76"/>
      <c r="E8" s="83">
        <v>295.1707</v>
      </c>
      <c r="F8" s="84">
        <v>2197.0</v>
      </c>
      <c r="G8" s="84">
        <v>277.26</v>
      </c>
      <c r="H8" s="84">
        <v>17.91067</v>
      </c>
    </row>
    <row r="9">
      <c r="D9" s="76"/>
      <c r="E9" s="83">
        <v>295.1264</v>
      </c>
      <c r="F9" s="84">
        <v>2670.0</v>
      </c>
      <c r="G9" s="84">
        <v>280.84</v>
      </c>
      <c r="H9" s="84">
        <v>14.28644</v>
      </c>
    </row>
    <row r="10">
      <c r="D10" s="82" t="s">
        <v>120</v>
      </c>
      <c r="E10" s="83">
        <v>294.8787</v>
      </c>
      <c r="F10" s="84">
        <v>3142.0</v>
      </c>
      <c r="G10" s="84">
        <v>280.48</v>
      </c>
      <c r="H10" s="84">
        <v>14.39864</v>
      </c>
    </row>
    <row r="11">
      <c r="D11" s="76"/>
      <c r="E11" s="83">
        <v>294.8485</v>
      </c>
      <c r="F11" s="84">
        <v>3614.0</v>
      </c>
      <c r="G11" s="84">
        <v>280.96</v>
      </c>
      <c r="H11" s="84">
        <v>13.88849</v>
      </c>
    </row>
    <row r="12">
      <c r="D12" s="76"/>
      <c r="E12" s="83">
        <v>294.578</v>
      </c>
      <c r="F12" s="84">
        <v>4092.0</v>
      </c>
      <c r="G12" s="84">
        <v>280.48</v>
      </c>
      <c r="H12" s="84">
        <v>14.09796</v>
      </c>
    </row>
    <row r="13">
      <c r="D13" s="76"/>
      <c r="E13" s="83">
        <v>294.4048</v>
      </c>
      <c r="F13" s="84">
        <v>4564.0</v>
      </c>
      <c r="G13" s="84">
        <v>280.27</v>
      </c>
      <c r="H13" s="84">
        <v>14.13476</v>
      </c>
    </row>
    <row r="14">
      <c r="D14" s="76"/>
      <c r="E14" s="83">
        <v>294.3173</v>
      </c>
      <c r="F14" s="84">
        <v>5038.0</v>
      </c>
      <c r="G14" s="84">
        <v>280.46</v>
      </c>
      <c r="H14" s="84">
        <v>13.8573</v>
      </c>
    </row>
    <row r="15">
      <c r="D15" s="76"/>
      <c r="E15" s="76"/>
      <c r="F15" s="76"/>
      <c r="G15" s="76"/>
      <c r="H15" s="76"/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225</v>
      </c>
      <c r="D1" s="76"/>
      <c r="E1" s="77" t="s">
        <v>226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127</v>
      </c>
      <c r="D4" s="82" t="s">
        <v>113</v>
      </c>
      <c r="E4" s="83">
        <v>60.20136</v>
      </c>
      <c r="F4" s="84">
        <v>301.0</v>
      </c>
      <c r="G4" s="84">
        <v>50.85</v>
      </c>
      <c r="H4" s="84">
        <v>9.35136</v>
      </c>
    </row>
    <row r="5">
      <c r="D5" s="76"/>
      <c r="E5" s="83">
        <v>59.95102</v>
      </c>
      <c r="F5" s="84">
        <v>773.0</v>
      </c>
      <c r="G5" s="84">
        <v>50.41</v>
      </c>
      <c r="H5" s="84">
        <v>9.54102</v>
      </c>
    </row>
    <row r="6">
      <c r="D6" s="76"/>
      <c r="E6" s="83">
        <v>59.75746</v>
      </c>
      <c r="F6" s="84">
        <v>1248.0</v>
      </c>
      <c r="G6" s="84">
        <v>50.64</v>
      </c>
      <c r="H6" s="84">
        <v>9.11746</v>
      </c>
    </row>
    <row r="7">
      <c r="D7" s="76"/>
      <c r="E7" s="83">
        <v>59.51441</v>
      </c>
      <c r="F7" s="84">
        <v>1723.0</v>
      </c>
      <c r="G7" s="84">
        <v>50.24</v>
      </c>
      <c r="H7" s="84">
        <v>9.27441</v>
      </c>
    </row>
    <row r="8">
      <c r="D8" s="76"/>
      <c r="E8" s="83">
        <v>59.22508</v>
      </c>
      <c r="F8" s="84">
        <v>2195.0</v>
      </c>
      <c r="G8" s="84">
        <v>50.16</v>
      </c>
      <c r="H8" s="84">
        <v>9.06508</v>
      </c>
    </row>
    <row r="9">
      <c r="D9" s="76"/>
      <c r="E9" s="83">
        <v>58.9661</v>
      </c>
      <c r="F9" s="84">
        <v>2666.0</v>
      </c>
      <c r="G9" s="84">
        <v>49.95</v>
      </c>
      <c r="H9" s="84">
        <v>9.0161</v>
      </c>
    </row>
    <row r="10">
      <c r="D10" s="76"/>
      <c r="E10" s="24">
        <v>58.5861</v>
      </c>
      <c r="F10" s="25">
        <v>3137.0</v>
      </c>
      <c r="G10" s="25">
        <v>50.08</v>
      </c>
      <c r="H10" s="25">
        <v>8.5061</v>
      </c>
    </row>
    <row r="11">
      <c r="D11" s="76"/>
      <c r="E11" s="24">
        <v>58.26814</v>
      </c>
      <c r="F11" s="25">
        <v>3610.0</v>
      </c>
      <c r="G11" s="25">
        <v>49.55</v>
      </c>
      <c r="H11" s="25">
        <v>8.71814</v>
      </c>
    </row>
    <row r="12">
      <c r="D12" s="76"/>
      <c r="E12" s="24">
        <v>59.01797</v>
      </c>
      <c r="F12" s="25">
        <v>4083.0</v>
      </c>
      <c r="G12" s="25">
        <v>50.2</v>
      </c>
      <c r="H12" s="25">
        <v>8.81797</v>
      </c>
    </row>
    <row r="13">
      <c r="D13" s="82" t="s">
        <v>120</v>
      </c>
      <c r="E13" s="24">
        <v>58.66373</v>
      </c>
      <c r="F13" s="25">
        <v>4556.0</v>
      </c>
      <c r="G13" s="25">
        <v>51.69</v>
      </c>
      <c r="H13" s="25">
        <v>6.97373</v>
      </c>
    </row>
    <row r="14">
      <c r="D14" s="76"/>
      <c r="E14" s="83">
        <v>58.39458</v>
      </c>
      <c r="F14" s="84">
        <v>5035.0</v>
      </c>
      <c r="G14" s="84">
        <v>51.38</v>
      </c>
      <c r="H14" s="84">
        <v>7.01458</v>
      </c>
    </row>
    <row r="15">
      <c r="D15" s="76"/>
      <c r="E15" s="83">
        <v>58.26508</v>
      </c>
      <c r="F15" s="84">
        <v>5507.0</v>
      </c>
      <c r="G15" s="84">
        <v>51.49</v>
      </c>
      <c r="H15" s="84">
        <v>6.77508</v>
      </c>
    </row>
    <row r="16">
      <c r="D16" s="76"/>
      <c r="E16" s="83">
        <v>58.10051</v>
      </c>
      <c r="F16" s="84">
        <v>5980.0</v>
      </c>
      <c r="G16" s="84">
        <v>51.09</v>
      </c>
      <c r="H16" s="84">
        <v>7.01051</v>
      </c>
    </row>
    <row r="17">
      <c r="D17" s="76"/>
      <c r="E17" s="83">
        <v>58.03305</v>
      </c>
      <c r="F17" s="84">
        <v>6451.0</v>
      </c>
      <c r="G17" s="84">
        <v>51.06</v>
      </c>
      <c r="H17" s="84">
        <v>6.97305</v>
      </c>
    </row>
    <row r="18">
      <c r="D18" s="76"/>
      <c r="E18" s="83">
        <v>58.01271</v>
      </c>
      <c r="F18" s="84">
        <v>6926.0</v>
      </c>
      <c r="G18" s="84">
        <v>51.21</v>
      </c>
      <c r="H18" s="84">
        <v>6.80271</v>
      </c>
    </row>
    <row r="19">
      <c r="D19" s="76"/>
      <c r="E19" s="83">
        <v>57.84203</v>
      </c>
      <c r="F19" s="84">
        <v>7403.0</v>
      </c>
      <c r="G19" s="84">
        <v>50.9</v>
      </c>
      <c r="H19" s="84">
        <v>6.94203</v>
      </c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227</v>
      </c>
      <c r="D1" s="76"/>
      <c r="E1" s="77" t="s">
        <v>228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112</v>
      </c>
      <c r="D4" s="82" t="s">
        <v>143</v>
      </c>
      <c r="E4" s="83">
        <v>291.3981</v>
      </c>
      <c r="F4" s="84">
        <v>301.0</v>
      </c>
      <c r="G4" s="84">
        <v>277.2</v>
      </c>
      <c r="H4" s="84">
        <v>14.19812</v>
      </c>
    </row>
    <row r="5">
      <c r="D5" s="76"/>
      <c r="E5" s="83">
        <v>291.4692</v>
      </c>
      <c r="F5" s="84">
        <v>775.0</v>
      </c>
      <c r="G5" s="84">
        <v>277.15</v>
      </c>
      <c r="H5" s="84">
        <v>14.31918</v>
      </c>
    </row>
    <row r="6">
      <c r="D6" s="76"/>
      <c r="E6" s="83">
        <v>291.4817</v>
      </c>
      <c r="F6" s="84">
        <v>1247.0</v>
      </c>
      <c r="G6" s="84">
        <v>277.34</v>
      </c>
      <c r="H6" s="84">
        <v>14.14167</v>
      </c>
    </row>
    <row r="7">
      <c r="D7" s="76"/>
      <c r="E7" s="83">
        <v>291.5931</v>
      </c>
      <c r="F7" s="84">
        <v>1721.0</v>
      </c>
      <c r="G7" s="84">
        <v>277.05</v>
      </c>
      <c r="H7" s="84">
        <v>14.54313</v>
      </c>
    </row>
    <row r="8">
      <c r="D8" s="76"/>
      <c r="E8" s="83">
        <v>291.4388</v>
      </c>
      <c r="F8" s="84">
        <v>2194.0</v>
      </c>
      <c r="G8" s="84">
        <v>276.9</v>
      </c>
      <c r="H8" s="84">
        <v>14.53876</v>
      </c>
    </row>
    <row r="9">
      <c r="D9" s="76"/>
      <c r="E9" s="24">
        <v>290.7285</v>
      </c>
      <c r="F9" s="25">
        <v>2666.0</v>
      </c>
      <c r="G9" s="25">
        <v>280.0</v>
      </c>
      <c r="H9" s="25">
        <v>10.72854</v>
      </c>
    </row>
    <row r="10">
      <c r="D10" s="82" t="s">
        <v>107</v>
      </c>
      <c r="E10" s="24">
        <v>290.9419</v>
      </c>
      <c r="F10" s="25">
        <v>3140.0</v>
      </c>
      <c r="G10" s="25">
        <v>282.28</v>
      </c>
      <c r="H10" s="25">
        <v>8.66188</v>
      </c>
    </row>
    <row r="11">
      <c r="D11" s="76"/>
      <c r="E11" s="83">
        <v>291.0596</v>
      </c>
      <c r="F11" s="84">
        <v>3612.0</v>
      </c>
      <c r="G11" s="84">
        <v>283.3</v>
      </c>
      <c r="H11" s="84">
        <v>7.75959</v>
      </c>
    </row>
    <row r="12">
      <c r="D12" s="76"/>
      <c r="E12" s="83">
        <v>290.9967</v>
      </c>
      <c r="F12" s="84">
        <v>4089.0</v>
      </c>
      <c r="G12" s="84">
        <v>283.26</v>
      </c>
      <c r="H12" s="84">
        <v>7.73666</v>
      </c>
    </row>
    <row r="13">
      <c r="D13" s="76"/>
      <c r="E13" s="83">
        <v>291.1824</v>
      </c>
      <c r="F13" s="84">
        <v>4559.0</v>
      </c>
      <c r="G13" s="84">
        <v>283.66</v>
      </c>
      <c r="H13" s="84">
        <v>7.52238</v>
      </c>
    </row>
    <row r="14">
      <c r="D14" s="76"/>
      <c r="E14" s="83">
        <v>291.2388</v>
      </c>
      <c r="F14" s="84">
        <v>5034.0</v>
      </c>
      <c r="G14" s="84">
        <v>283.99</v>
      </c>
      <c r="H14" s="84">
        <v>7.24885</v>
      </c>
    </row>
    <row r="15">
      <c r="D15" s="76"/>
      <c r="E15" s="83">
        <v>291.261</v>
      </c>
      <c r="F15" s="84">
        <v>5506.0</v>
      </c>
      <c r="G15" s="84">
        <v>283.51</v>
      </c>
      <c r="H15" s="84">
        <v>7.75094</v>
      </c>
    </row>
    <row r="16">
      <c r="D16" s="76"/>
      <c r="E16" s="83">
        <v>291.5583</v>
      </c>
      <c r="F16" s="84">
        <v>5979.0</v>
      </c>
      <c r="G16" s="84">
        <v>283.74</v>
      </c>
      <c r="H16" s="84">
        <v>7.81834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229</v>
      </c>
      <c r="D1" s="76"/>
      <c r="E1" s="77" t="s">
        <v>230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127</v>
      </c>
      <c r="D4" s="82" t="s">
        <v>119</v>
      </c>
      <c r="E4" s="83">
        <v>319.1188</v>
      </c>
      <c r="F4" s="84">
        <v>301.0</v>
      </c>
      <c r="G4" s="84">
        <v>292.1</v>
      </c>
      <c r="H4" s="84">
        <v>27.01874</v>
      </c>
    </row>
    <row r="5">
      <c r="D5" s="76"/>
      <c r="E5" s="83">
        <v>319.2792</v>
      </c>
      <c r="F5" s="84">
        <v>776.0</v>
      </c>
      <c r="G5" s="84">
        <v>292.9</v>
      </c>
      <c r="H5" s="84">
        <v>26.37916</v>
      </c>
    </row>
    <row r="6">
      <c r="D6" s="76"/>
      <c r="E6" s="83">
        <v>318.8167</v>
      </c>
      <c r="F6" s="84">
        <v>1248.0</v>
      </c>
      <c r="G6" s="84">
        <v>291.7</v>
      </c>
      <c r="H6" s="84">
        <v>27.11666</v>
      </c>
    </row>
    <row r="7">
      <c r="D7" s="76"/>
      <c r="E7" s="83">
        <v>318.3708</v>
      </c>
      <c r="F7" s="84">
        <v>1722.0</v>
      </c>
      <c r="G7" s="84">
        <v>290.4</v>
      </c>
      <c r="H7" s="84">
        <v>27.97083</v>
      </c>
    </row>
    <row r="8">
      <c r="D8" s="76"/>
      <c r="E8" s="83">
        <v>316.9833</v>
      </c>
      <c r="F8" s="84">
        <v>2196.0</v>
      </c>
      <c r="G8" s="84">
        <v>289.3</v>
      </c>
      <c r="H8" s="84">
        <v>27.68334</v>
      </c>
    </row>
    <row r="9">
      <c r="D9" s="76"/>
      <c r="E9" s="83">
        <v>317.0729</v>
      </c>
      <c r="F9" s="84">
        <v>2670.0</v>
      </c>
      <c r="G9" s="84">
        <v>289.2</v>
      </c>
      <c r="H9" s="84">
        <v>27.87291</v>
      </c>
    </row>
    <row r="10">
      <c r="D10" s="82" t="s">
        <v>138</v>
      </c>
      <c r="E10" s="24">
        <v>319.4313</v>
      </c>
      <c r="F10" s="25">
        <v>3143.0</v>
      </c>
      <c r="G10" s="25">
        <v>291.3</v>
      </c>
      <c r="H10" s="25">
        <v>28.13125</v>
      </c>
    </row>
    <row r="11">
      <c r="D11" s="76"/>
      <c r="E11" s="83">
        <v>318.0958</v>
      </c>
      <c r="F11" s="84">
        <v>3618.0</v>
      </c>
      <c r="G11" s="84">
        <v>291.0</v>
      </c>
      <c r="H11" s="84">
        <v>27.09582</v>
      </c>
    </row>
    <row r="12">
      <c r="D12" s="76"/>
      <c r="E12" s="83">
        <v>317.2125</v>
      </c>
      <c r="F12" s="84">
        <v>4089.0</v>
      </c>
      <c r="G12" s="84">
        <v>291.4</v>
      </c>
      <c r="H12" s="84">
        <v>25.81251</v>
      </c>
    </row>
    <row r="13">
      <c r="D13" s="76"/>
      <c r="E13" s="83">
        <v>317.3875</v>
      </c>
      <c r="F13" s="84">
        <v>4561.0</v>
      </c>
      <c r="G13" s="84">
        <v>290.9</v>
      </c>
      <c r="H13" s="84">
        <v>26.48751</v>
      </c>
    </row>
    <row r="14">
      <c r="D14" s="76"/>
      <c r="E14" s="83">
        <v>316.4333</v>
      </c>
      <c r="F14" s="84">
        <v>5036.0</v>
      </c>
      <c r="G14" s="84">
        <v>289.6</v>
      </c>
      <c r="H14" s="84">
        <v>26.83332</v>
      </c>
    </row>
    <row r="15">
      <c r="D15" s="76"/>
      <c r="E15" s="83">
        <v>315.6813</v>
      </c>
      <c r="F15" s="84">
        <v>5509.0</v>
      </c>
      <c r="G15" s="84">
        <v>289.9</v>
      </c>
      <c r="H15" s="84">
        <v>25.78125</v>
      </c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231</v>
      </c>
      <c r="D1" s="76"/>
      <c r="E1" s="77" t="s">
        <v>232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112</v>
      </c>
      <c r="D4" s="82" t="s">
        <v>143</v>
      </c>
      <c r="E4" s="83">
        <v>286.1917</v>
      </c>
      <c r="F4" s="84">
        <v>301.0</v>
      </c>
      <c r="G4" s="84">
        <v>273.93</v>
      </c>
      <c r="H4" s="84">
        <v>12.26167</v>
      </c>
    </row>
    <row r="5">
      <c r="D5" s="76"/>
      <c r="E5" s="83">
        <v>286.0838</v>
      </c>
      <c r="F5" s="84">
        <v>778.0</v>
      </c>
      <c r="G5" s="84">
        <v>274.08</v>
      </c>
      <c r="H5" s="84">
        <v>12.00382</v>
      </c>
    </row>
    <row r="6">
      <c r="D6" s="76"/>
      <c r="E6" s="83">
        <v>286.2024</v>
      </c>
      <c r="F6" s="84">
        <v>1250.0</v>
      </c>
      <c r="G6" s="84">
        <v>273.47</v>
      </c>
      <c r="H6" s="84">
        <v>12.73238</v>
      </c>
    </row>
    <row r="7">
      <c r="D7" s="76"/>
      <c r="E7" s="83">
        <v>286.0695</v>
      </c>
      <c r="F7" s="84">
        <v>1726.0</v>
      </c>
      <c r="G7" s="84">
        <v>273.66</v>
      </c>
      <c r="H7" s="84">
        <v>12.40952</v>
      </c>
    </row>
    <row r="8">
      <c r="D8" s="76"/>
      <c r="E8" s="83">
        <v>286.0502</v>
      </c>
      <c r="F8" s="84">
        <v>2198.0</v>
      </c>
      <c r="G8" s="84">
        <v>273.47</v>
      </c>
      <c r="H8" s="84">
        <v>12.58024</v>
      </c>
    </row>
    <row r="9">
      <c r="D9" s="82" t="s">
        <v>107</v>
      </c>
      <c r="E9" s="24">
        <v>285.795</v>
      </c>
      <c r="F9" s="25">
        <v>2674.0</v>
      </c>
      <c r="G9" s="25">
        <v>275.11</v>
      </c>
      <c r="H9" s="25">
        <v>10.68501</v>
      </c>
    </row>
    <row r="10">
      <c r="D10" s="76"/>
      <c r="E10" s="83">
        <v>285.7376</v>
      </c>
      <c r="F10" s="84">
        <v>3147.0</v>
      </c>
      <c r="G10" s="84">
        <v>276.32</v>
      </c>
      <c r="H10" s="84">
        <v>9.41761</v>
      </c>
    </row>
    <row r="11">
      <c r="D11" s="76"/>
      <c r="E11" s="83">
        <v>285.5962</v>
      </c>
      <c r="F11" s="84">
        <v>3618.0</v>
      </c>
      <c r="G11" s="84">
        <v>276.44</v>
      </c>
      <c r="H11" s="84">
        <v>9.15619</v>
      </c>
    </row>
    <row r="12">
      <c r="D12" s="76"/>
      <c r="E12" s="83">
        <v>286.0074</v>
      </c>
      <c r="F12" s="111">
        <v>4091.0</v>
      </c>
      <c r="G12" s="83">
        <v>277.07</v>
      </c>
      <c r="H12" s="84">
        <v>8.93737</v>
      </c>
    </row>
    <row r="13">
      <c r="D13" s="76"/>
      <c r="E13" s="83">
        <v>285.8029</v>
      </c>
      <c r="F13" s="142">
        <v>4565.0</v>
      </c>
      <c r="G13" s="84">
        <v>276.8</v>
      </c>
      <c r="H13" s="84">
        <v>9.00287</v>
      </c>
    </row>
    <row r="14">
      <c r="D14" s="76"/>
      <c r="E14" s="83">
        <v>286.0941</v>
      </c>
      <c r="F14" s="84">
        <v>5038.0</v>
      </c>
      <c r="G14" s="84">
        <v>277.13</v>
      </c>
      <c r="H14" s="84">
        <v>8.96405</v>
      </c>
    </row>
    <row r="15">
      <c r="D15" s="76"/>
      <c r="E15" s="76"/>
      <c r="F15" s="76"/>
      <c r="G15" s="76"/>
      <c r="H15" s="76"/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233</v>
      </c>
      <c r="D1" s="76"/>
      <c r="E1" s="77" t="s">
        <v>234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119</v>
      </c>
      <c r="E4" s="112">
        <v>289.2091</v>
      </c>
      <c r="F4" s="142">
        <v>301.0</v>
      </c>
      <c r="G4" s="142">
        <v>276.07</v>
      </c>
      <c r="H4" s="142">
        <v>13.13908</v>
      </c>
    </row>
    <row r="5">
      <c r="D5" s="76"/>
      <c r="E5" s="83">
        <v>288.2289</v>
      </c>
      <c r="F5" s="84">
        <v>780.0</v>
      </c>
      <c r="G5" s="84">
        <v>275.77</v>
      </c>
      <c r="H5" s="84">
        <v>12.45887</v>
      </c>
    </row>
    <row r="6">
      <c r="D6" s="76"/>
      <c r="E6" s="83">
        <v>288.233</v>
      </c>
      <c r="F6" s="84">
        <v>1254.0</v>
      </c>
      <c r="G6" s="84">
        <v>274.96</v>
      </c>
      <c r="H6" s="84">
        <v>13.27296</v>
      </c>
    </row>
    <row r="7">
      <c r="D7" s="76"/>
      <c r="E7" s="83">
        <v>288.2974</v>
      </c>
      <c r="F7" s="84">
        <v>1724.0</v>
      </c>
      <c r="G7" s="84">
        <v>275.0</v>
      </c>
      <c r="H7" s="84">
        <v>13.29744</v>
      </c>
    </row>
    <row r="8">
      <c r="D8" s="76"/>
      <c r="E8" s="83">
        <v>288.3627</v>
      </c>
      <c r="F8" s="84">
        <v>2198.0</v>
      </c>
      <c r="G8" s="84">
        <v>274.71</v>
      </c>
      <c r="H8" s="84">
        <v>13.65274</v>
      </c>
    </row>
    <row r="9">
      <c r="D9" s="76"/>
      <c r="E9" s="83">
        <v>288.4496</v>
      </c>
      <c r="F9" s="84">
        <v>2670.0</v>
      </c>
      <c r="G9" s="84">
        <v>274.52</v>
      </c>
      <c r="H9" s="84">
        <v>13.92956</v>
      </c>
    </row>
    <row r="10">
      <c r="D10" s="82" t="s">
        <v>114</v>
      </c>
      <c r="E10" s="24">
        <v>288.9836</v>
      </c>
      <c r="F10" s="25">
        <v>3148.0</v>
      </c>
      <c r="G10" s="25">
        <v>276.28</v>
      </c>
      <c r="H10" s="25">
        <v>12.70364</v>
      </c>
    </row>
    <row r="11">
      <c r="D11" s="76"/>
      <c r="E11" s="83">
        <v>288.8279</v>
      </c>
      <c r="F11" s="84">
        <v>3616.0</v>
      </c>
      <c r="G11" s="84">
        <v>278.68</v>
      </c>
      <c r="H11" s="84">
        <v>10.14792</v>
      </c>
    </row>
    <row r="12">
      <c r="D12" s="76"/>
      <c r="E12" s="83">
        <v>289.1458</v>
      </c>
      <c r="F12" s="84">
        <v>4091.0</v>
      </c>
      <c r="G12" s="84">
        <v>279.29</v>
      </c>
      <c r="H12" s="84">
        <v>9.85581</v>
      </c>
    </row>
    <row r="13">
      <c r="D13" s="76"/>
      <c r="E13" s="83">
        <v>288.8395</v>
      </c>
      <c r="F13" s="84">
        <v>4565.0</v>
      </c>
      <c r="G13" s="84">
        <v>278.64</v>
      </c>
      <c r="H13" s="84">
        <v>10.19953</v>
      </c>
    </row>
    <row r="14">
      <c r="D14" s="76"/>
      <c r="E14" s="83">
        <v>288.5573</v>
      </c>
      <c r="F14" s="84">
        <v>5038.0</v>
      </c>
      <c r="G14" s="84">
        <v>278.43</v>
      </c>
      <c r="H14" s="84">
        <v>10.12735</v>
      </c>
    </row>
    <row r="15">
      <c r="D15" s="76"/>
      <c r="E15" s="83">
        <v>288.4086</v>
      </c>
      <c r="F15" s="84">
        <v>5513.0</v>
      </c>
      <c r="G15" s="84">
        <v>278.33</v>
      </c>
      <c r="H15" s="84">
        <v>10.0786</v>
      </c>
    </row>
    <row r="16">
      <c r="D16" s="76"/>
      <c r="E16" s="83">
        <v>288.2856</v>
      </c>
      <c r="F16" s="84">
        <v>5984.0</v>
      </c>
      <c r="G16" s="84">
        <v>278.6</v>
      </c>
      <c r="H16" s="84">
        <v>9.68561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235</v>
      </c>
      <c r="D1" s="76"/>
      <c r="E1" s="77" t="s">
        <v>236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119</v>
      </c>
      <c r="E4" s="83">
        <v>289.5419</v>
      </c>
      <c r="F4" s="84">
        <v>301.0</v>
      </c>
      <c r="G4" s="84">
        <v>274.67</v>
      </c>
      <c r="H4" s="84">
        <v>14.8719</v>
      </c>
    </row>
    <row r="5">
      <c r="D5" s="76"/>
      <c r="E5" s="83">
        <v>289.7207</v>
      </c>
      <c r="F5" s="84">
        <v>773.0</v>
      </c>
      <c r="G5" s="84">
        <v>274.48</v>
      </c>
      <c r="H5" s="84">
        <v>15.24071</v>
      </c>
    </row>
    <row r="6">
      <c r="D6" s="76"/>
      <c r="E6" s="83">
        <v>289.5712</v>
      </c>
      <c r="F6" s="84">
        <v>1248.0</v>
      </c>
      <c r="G6" s="84">
        <v>274.39</v>
      </c>
      <c r="H6" s="84">
        <v>15.18118</v>
      </c>
    </row>
    <row r="7">
      <c r="D7" s="76"/>
      <c r="E7" s="83">
        <v>289.4255</v>
      </c>
      <c r="F7" s="84">
        <v>1722.0</v>
      </c>
      <c r="G7" s="84">
        <v>273.52</v>
      </c>
      <c r="H7" s="84">
        <v>15.90549</v>
      </c>
    </row>
    <row r="8">
      <c r="D8" s="76"/>
      <c r="E8" s="83">
        <v>289.1757</v>
      </c>
      <c r="F8" s="84">
        <v>2194.0</v>
      </c>
      <c r="G8" s="84">
        <v>273.58</v>
      </c>
      <c r="H8" s="84">
        <v>15.59573</v>
      </c>
    </row>
    <row r="9">
      <c r="D9" s="76"/>
      <c r="E9" s="24">
        <v>289.7841</v>
      </c>
      <c r="F9" s="25">
        <v>2663.0</v>
      </c>
      <c r="G9" s="25">
        <v>277.89</v>
      </c>
      <c r="H9" s="25">
        <v>11.89404</v>
      </c>
    </row>
    <row r="10">
      <c r="D10" s="82" t="s">
        <v>114</v>
      </c>
      <c r="E10" s="24">
        <v>289.8705</v>
      </c>
      <c r="F10" s="25">
        <v>3138.0</v>
      </c>
      <c r="G10" s="25">
        <v>279.41</v>
      </c>
      <c r="H10" s="25">
        <v>10.46047</v>
      </c>
    </row>
    <row r="11">
      <c r="D11" s="76"/>
      <c r="E11" s="83">
        <v>289.9855</v>
      </c>
      <c r="F11" s="84">
        <v>3614.0</v>
      </c>
      <c r="G11" s="84">
        <v>278.64</v>
      </c>
      <c r="H11" s="84">
        <v>11.34552</v>
      </c>
    </row>
    <row r="12">
      <c r="D12" s="76"/>
      <c r="E12" s="83">
        <v>290.349</v>
      </c>
      <c r="F12" s="84">
        <v>4082.0</v>
      </c>
      <c r="G12" s="84">
        <v>279.73</v>
      </c>
      <c r="H12" s="84">
        <v>10.61894</v>
      </c>
    </row>
    <row r="13">
      <c r="D13" s="76"/>
      <c r="E13" s="83">
        <v>290.6555</v>
      </c>
      <c r="F13" s="84">
        <v>4557.0</v>
      </c>
      <c r="G13" s="84">
        <v>279.66</v>
      </c>
      <c r="H13" s="84">
        <v>10.99553</v>
      </c>
    </row>
    <row r="14">
      <c r="D14" s="76"/>
      <c r="E14" s="83">
        <v>290.5384</v>
      </c>
      <c r="F14" s="84">
        <v>5030.0</v>
      </c>
      <c r="G14" s="84">
        <v>279.62</v>
      </c>
      <c r="H14" s="84">
        <v>10.91842</v>
      </c>
    </row>
    <row r="15">
      <c r="D15" s="76"/>
      <c r="E15" s="83">
        <v>290.3833</v>
      </c>
      <c r="F15" s="84">
        <v>5503.0</v>
      </c>
      <c r="G15" s="84">
        <v>279.08</v>
      </c>
      <c r="H15" s="84">
        <v>11.3033</v>
      </c>
    </row>
    <row r="16">
      <c r="D16" s="76"/>
      <c r="E16" s="83">
        <v>290.4236</v>
      </c>
      <c r="F16" s="84">
        <v>5976.0</v>
      </c>
      <c r="G16" s="84">
        <v>279.6</v>
      </c>
      <c r="H16" s="84">
        <v>10.82354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237</v>
      </c>
      <c r="D1" s="76"/>
      <c r="E1" s="77" t="s">
        <v>238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119</v>
      </c>
      <c r="E4" s="83">
        <v>290.3113</v>
      </c>
      <c r="F4" s="84">
        <v>301.0</v>
      </c>
      <c r="G4" s="84">
        <v>282.93</v>
      </c>
      <c r="H4" s="84">
        <v>7.38133</v>
      </c>
    </row>
    <row r="5">
      <c r="D5" s="76"/>
      <c r="E5" s="83">
        <v>290.0962</v>
      </c>
      <c r="F5" s="84">
        <v>774.0</v>
      </c>
      <c r="G5" s="84">
        <v>282.97</v>
      </c>
      <c r="H5" s="84">
        <v>7.12623</v>
      </c>
    </row>
    <row r="6">
      <c r="D6" s="76"/>
      <c r="E6" s="83">
        <v>289.803</v>
      </c>
      <c r="F6" s="84">
        <v>1247.0</v>
      </c>
      <c r="G6" s="84">
        <v>282.74</v>
      </c>
      <c r="H6" s="84">
        <v>7.06298</v>
      </c>
    </row>
    <row r="7">
      <c r="D7" s="76"/>
      <c r="E7" s="83">
        <v>289.3531</v>
      </c>
      <c r="F7" s="84">
        <v>1722.0</v>
      </c>
      <c r="G7" s="84">
        <v>282.13</v>
      </c>
      <c r="H7" s="84">
        <v>7.22313</v>
      </c>
    </row>
    <row r="8">
      <c r="D8" s="76"/>
      <c r="E8" s="83">
        <v>288.9735</v>
      </c>
      <c r="F8" s="84">
        <v>2195.0</v>
      </c>
      <c r="G8" s="84">
        <v>281.48</v>
      </c>
      <c r="H8" s="84">
        <v>7.49354</v>
      </c>
    </row>
    <row r="9">
      <c r="D9" s="76"/>
      <c r="E9" s="83">
        <v>289.1145</v>
      </c>
      <c r="F9" s="84">
        <v>2666.0</v>
      </c>
      <c r="G9" s="84">
        <v>281.15</v>
      </c>
      <c r="H9" s="84">
        <v>7.96447</v>
      </c>
    </row>
    <row r="10">
      <c r="D10" s="82" t="s">
        <v>120</v>
      </c>
      <c r="E10" s="24">
        <v>289.0723</v>
      </c>
      <c r="F10" s="25">
        <v>3140.0</v>
      </c>
      <c r="G10" s="25">
        <v>281.02</v>
      </c>
      <c r="H10" s="25">
        <v>8.05234</v>
      </c>
    </row>
    <row r="11">
      <c r="D11" s="76"/>
      <c r="E11" s="24">
        <v>289.4321</v>
      </c>
      <c r="F11" s="25">
        <v>3613.0</v>
      </c>
      <c r="G11" s="25">
        <v>282.59</v>
      </c>
      <c r="H11" s="25">
        <v>6.84213</v>
      </c>
    </row>
    <row r="12">
      <c r="D12" s="76"/>
      <c r="E12" s="83">
        <v>288.2742</v>
      </c>
      <c r="F12" s="84">
        <v>4092.0</v>
      </c>
      <c r="G12" s="84">
        <v>282.03</v>
      </c>
      <c r="H12" s="84">
        <v>6.2442</v>
      </c>
    </row>
    <row r="13">
      <c r="D13" s="76"/>
      <c r="E13" s="83">
        <v>288.7081</v>
      </c>
      <c r="F13" s="84">
        <v>4571.0</v>
      </c>
      <c r="G13" s="84">
        <v>282.99</v>
      </c>
      <c r="H13" s="84">
        <v>5.71814</v>
      </c>
    </row>
    <row r="14">
      <c r="D14" s="76"/>
      <c r="E14" s="83">
        <v>288.6053</v>
      </c>
      <c r="F14" s="84">
        <v>5043.0</v>
      </c>
      <c r="G14" s="84">
        <v>282.78</v>
      </c>
      <c r="H14" s="84">
        <v>5.82531</v>
      </c>
    </row>
    <row r="15">
      <c r="D15" s="76"/>
      <c r="E15" s="83">
        <v>288.7076</v>
      </c>
      <c r="F15" s="84">
        <v>5517.0</v>
      </c>
      <c r="G15" s="84">
        <v>282.91</v>
      </c>
      <c r="H15" s="84">
        <v>5.79761</v>
      </c>
    </row>
    <row r="16">
      <c r="D16" s="76"/>
      <c r="E16" s="83">
        <v>288.9348</v>
      </c>
      <c r="F16" s="84">
        <v>5991.0</v>
      </c>
      <c r="G16" s="84">
        <v>283.05</v>
      </c>
      <c r="H16" s="84">
        <v>5.88479</v>
      </c>
    </row>
    <row r="17">
      <c r="D17" s="76"/>
      <c r="E17" s="83">
        <v>288.8739</v>
      </c>
      <c r="F17" s="84">
        <v>6472.0</v>
      </c>
      <c r="G17" s="84">
        <v>282.89</v>
      </c>
      <c r="H17" s="84">
        <v>5.98393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239</v>
      </c>
      <c r="D1" s="76"/>
      <c r="E1" s="77" t="s">
        <v>240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143</v>
      </c>
      <c r="E4" s="83">
        <v>321.9125</v>
      </c>
      <c r="F4" s="84">
        <v>303.0</v>
      </c>
      <c r="G4" s="84">
        <v>297.4</v>
      </c>
      <c r="H4" s="84">
        <v>24.5125</v>
      </c>
    </row>
    <row r="5">
      <c r="D5" s="76"/>
      <c r="E5" s="83">
        <v>321.2396</v>
      </c>
      <c r="F5" s="84">
        <v>776.0</v>
      </c>
      <c r="G5" s="84">
        <v>296.7</v>
      </c>
      <c r="H5" s="84">
        <v>24.53959</v>
      </c>
    </row>
    <row r="6">
      <c r="D6" s="76"/>
      <c r="E6" s="83">
        <v>320.7132</v>
      </c>
      <c r="F6" s="84">
        <v>1250.0</v>
      </c>
      <c r="G6" s="84">
        <v>295.9</v>
      </c>
      <c r="H6" s="84">
        <v>24.81324</v>
      </c>
    </row>
    <row r="7">
      <c r="D7" s="76"/>
      <c r="E7" s="83">
        <v>320.3441</v>
      </c>
      <c r="F7" s="84">
        <v>1722.0</v>
      </c>
      <c r="G7" s="84">
        <v>295.4</v>
      </c>
      <c r="H7" s="84">
        <v>24.94413</v>
      </c>
    </row>
    <row r="8">
      <c r="D8" s="76"/>
      <c r="E8" s="83">
        <v>320.2706</v>
      </c>
      <c r="F8" s="84">
        <v>2194.0</v>
      </c>
      <c r="G8" s="84">
        <v>295.5</v>
      </c>
      <c r="H8" s="84">
        <v>24.77058</v>
      </c>
    </row>
    <row r="9">
      <c r="D9" s="76"/>
      <c r="E9" s="83">
        <v>322.2406</v>
      </c>
      <c r="F9" s="84">
        <v>2673.0</v>
      </c>
      <c r="G9" s="84">
        <v>300.1</v>
      </c>
      <c r="H9" s="84">
        <v>22.14058</v>
      </c>
    </row>
    <row r="10">
      <c r="D10" s="76"/>
      <c r="E10" s="83">
        <v>323.25</v>
      </c>
      <c r="F10" s="84">
        <v>3147.0</v>
      </c>
      <c r="G10" s="84">
        <v>304.2</v>
      </c>
      <c r="H10" s="84">
        <v>19.05001</v>
      </c>
    </row>
    <row r="11">
      <c r="D11" s="82" t="s">
        <v>107</v>
      </c>
      <c r="E11" s="83">
        <v>322.9304</v>
      </c>
      <c r="F11" s="84">
        <v>3620.0</v>
      </c>
      <c r="G11" s="84">
        <v>304.8</v>
      </c>
      <c r="H11" s="84">
        <v>18.13043</v>
      </c>
    </row>
    <row r="12">
      <c r="D12" s="76"/>
      <c r="E12" s="83">
        <v>323.2779</v>
      </c>
      <c r="F12" s="84">
        <v>4094.0</v>
      </c>
      <c r="G12" s="84">
        <v>305.5</v>
      </c>
      <c r="H12" s="84">
        <v>17.77794</v>
      </c>
    </row>
    <row r="13">
      <c r="D13" s="76"/>
      <c r="E13" s="83">
        <v>322.4485</v>
      </c>
      <c r="F13" s="84">
        <v>4567.0</v>
      </c>
      <c r="G13" s="84">
        <v>303.5</v>
      </c>
      <c r="H13" s="84">
        <v>18.94853</v>
      </c>
    </row>
    <row r="14">
      <c r="D14" s="76"/>
      <c r="E14" s="83">
        <v>323.0897</v>
      </c>
      <c r="F14" s="84">
        <v>5038.0</v>
      </c>
      <c r="G14" s="84">
        <v>304.4</v>
      </c>
      <c r="H14" s="84">
        <v>18.6897</v>
      </c>
    </row>
    <row r="15">
      <c r="D15" s="76"/>
      <c r="E15" s="76"/>
      <c r="F15" s="76"/>
      <c r="G15" s="76"/>
      <c r="H15" s="76"/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241</v>
      </c>
      <c r="D1" s="76"/>
      <c r="E1" s="77" t="s">
        <v>242</v>
      </c>
      <c r="J1" s="76"/>
      <c r="K1" s="77" t="s">
        <v>243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112</v>
      </c>
      <c r="D4" s="82" t="s">
        <v>119</v>
      </c>
      <c r="E4" s="83">
        <v>296.6048</v>
      </c>
      <c r="F4" s="84">
        <v>301.0</v>
      </c>
      <c r="G4" s="84">
        <v>289.68</v>
      </c>
      <c r="H4" s="84">
        <v>6.92484</v>
      </c>
      <c r="J4" s="82" t="s">
        <v>143</v>
      </c>
      <c r="K4" s="83">
        <v>293.6465</v>
      </c>
      <c r="L4" s="84">
        <v>301.0</v>
      </c>
      <c r="M4" s="84">
        <v>283.51</v>
      </c>
      <c r="N4" s="84">
        <v>10.13649</v>
      </c>
    </row>
    <row r="5">
      <c r="D5" s="76"/>
      <c r="E5" s="83">
        <v>296.7871</v>
      </c>
      <c r="F5" s="84">
        <v>775.0</v>
      </c>
      <c r="G5" s="84">
        <v>289.87</v>
      </c>
      <c r="H5" s="84">
        <v>6.91707</v>
      </c>
      <c r="J5" s="76"/>
      <c r="K5" s="83">
        <v>293.5763</v>
      </c>
      <c r="L5" s="84">
        <v>770.0</v>
      </c>
      <c r="M5" s="84">
        <v>282.97</v>
      </c>
      <c r="N5" s="84">
        <v>10.60634</v>
      </c>
    </row>
    <row r="6">
      <c r="D6" s="76"/>
      <c r="E6" s="83">
        <v>297.0124</v>
      </c>
      <c r="F6" s="84">
        <v>1247.0</v>
      </c>
      <c r="G6" s="84">
        <v>289.97</v>
      </c>
      <c r="H6" s="84">
        <v>7.04241</v>
      </c>
      <c r="J6" s="76"/>
      <c r="K6" s="83">
        <v>293.9478</v>
      </c>
      <c r="L6" s="84">
        <v>1243.0</v>
      </c>
      <c r="M6" s="84">
        <v>283.24</v>
      </c>
      <c r="N6" s="84">
        <v>10.70781</v>
      </c>
    </row>
    <row r="7">
      <c r="D7" s="76"/>
      <c r="E7" s="83">
        <v>297.271</v>
      </c>
      <c r="F7" s="84">
        <v>1724.0</v>
      </c>
      <c r="G7" s="84">
        <v>289.87</v>
      </c>
      <c r="H7" s="84">
        <v>7.40095</v>
      </c>
      <c r="J7" s="76"/>
      <c r="K7" s="83">
        <v>294.07</v>
      </c>
      <c r="L7" s="84">
        <v>1716.0</v>
      </c>
      <c r="M7" s="84">
        <v>283.89</v>
      </c>
      <c r="N7" s="84">
        <v>10.17999</v>
      </c>
    </row>
    <row r="8">
      <c r="D8" s="76"/>
      <c r="E8" s="83">
        <v>296.9374</v>
      </c>
      <c r="F8" s="84">
        <v>2197.0</v>
      </c>
      <c r="G8" s="84">
        <v>289.54</v>
      </c>
      <c r="H8" s="84">
        <v>7.39743</v>
      </c>
      <c r="J8" s="76"/>
      <c r="K8" s="83">
        <v>294.0643</v>
      </c>
      <c r="L8" s="84">
        <v>2190.0</v>
      </c>
      <c r="M8" s="84">
        <v>283.78</v>
      </c>
      <c r="N8" s="84">
        <v>10.28425</v>
      </c>
    </row>
    <row r="9">
      <c r="D9" s="76"/>
      <c r="E9" s="83">
        <v>297.3636</v>
      </c>
      <c r="F9" s="84">
        <v>2667.0</v>
      </c>
      <c r="G9" s="84">
        <v>289.62</v>
      </c>
      <c r="H9" s="84">
        <v>7.74357</v>
      </c>
      <c r="J9" s="76"/>
      <c r="K9" s="83">
        <v>293.7176</v>
      </c>
      <c r="L9" s="84">
        <v>2662.0</v>
      </c>
      <c r="M9" s="84">
        <v>285.52</v>
      </c>
      <c r="N9" s="84">
        <v>8.19757</v>
      </c>
    </row>
    <row r="10">
      <c r="D10" s="82" t="s">
        <v>138</v>
      </c>
      <c r="E10" s="24">
        <v>297.4462</v>
      </c>
      <c r="F10" s="25">
        <v>3143.0</v>
      </c>
      <c r="G10" s="25">
        <v>289.18</v>
      </c>
      <c r="H10" s="25">
        <v>8.2662</v>
      </c>
      <c r="J10" s="82" t="s">
        <v>107</v>
      </c>
      <c r="K10" s="83">
        <v>294.1473</v>
      </c>
      <c r="L10" s="84">
        <v>3136.0</v>
      </c>
      <c r="M10" s="84">
        <v>286.86</v>
      </c>
      <c r="N10" s="84">
        <v>7.28733</v>
      </c>
    </row>
    <row r="11">
      <c r="D11" s="76"/>
      <c r="E11" s="24">
        <v>296.7914</v>
      </c>
      <c r="F11" s="25">
        <v>3614.0</v>
      </c>
      <c r="G11" s="25">
        <v>289.56</v>
      </c>
      <c r="H11" s="25">
        <v>7.2314</v>
      </c>
      <c r="J11" s="76"/>
      <c r="K11" s="83">
        <v>294.5872</v>
      </c>
      <c r="L11" s="84">
        <v>3607.0</v>
      </c>
      <c r="M11" s="84">
        <v>287.8</v>
      </c>
      <c r="N11" s="84">
        <v>6.78721</v>
      </c>
    </row>
    <row r="12">
      <c r="D12" s="76"/>
      <c r="E12" s="24">
        <v>296.7074</v>
      </c>
      <c r="F12" s="25">
        <v>4084.0</v>
      </c>
      <c r="G12" s="25">
        <v>290.62</v>
      </c>
      <c r="H12" s="25">
        <v>6.08738</v>
      </c>
      <c r="J12" s="76"/>
      <c r="K12" s="83">
        <v>295.076</v>
      </c>
      <c r="L12" s="84">
        <v>4081.0</v>
      </c>
      <c r="M12" s="84">
        <v>288.24</v>
      </c>
      <c r="N12" s="84">
        <v>6.83601</v>
      </c>
    </row>
    <row r="13">
      <c r="D13" s="76"/>
      <c r="E13" s="24">
        <v>296.5845</v>
      </c>
      <c r="F13" s="25">
        <v>4562.0</v>
      </c>
      <c r="G13" s="25">
        <v>290.79</v>
      </c>
      <c r="H13" s="25">
        <v>5.79451</v>
      </c>
      <c r="J13" s="76"/>
      <c r="K13" s="83">
        <v>295.4848</v>
      </c>
      <c r="L13" s="84">
        <v>4555.0</v>
      </c>
      <c r="M13" s="84">
        <v>288.28</v>
      </c>
      <c r="N13" s="84">
        <v>7.2048</v>
      </c>
    </row>
    <row r="14">
      <c r="D14" s="76"/>
      <c r="E14" s="24">
        <v>296.5669</v>
      </c>
      <c r="F14" s="25">
        <v>5033.0</v>
      </c>
      <c r="G14" s="25">
        <v>290.79</v>
      </c>
      <c r="H14" s="25">
        <v>5.77689</v>
      </c>
      <c r="J14" s="76"/>
      <c r="K14" s="83">
        <v>296.2824</v>
      </c>
      <c r="L14" s="84">
        <v>5028.0</v>
      </c>
      <c r="M14" s="84">
        <v>288.82</v>
      </c>
      <c r="N14" s="84">
        <v>7.46238</v>
      </c>
    </row>
    <row r="15">
      <c r="D15" s="76"/>
      <c r="E15" s="83">
        <v>296.5584</v>
      </c>
      <c r="F15" s="84">
        <v>5505.0</v>
      </c>
      <c r="G15" s="84">
        <v>290.43</v>
      </c>
      <c r="H15" s="84">
        <v>6.12838</v>
      </c>
      <c r="J15" s="76"/>
      <c r="K15" s="76"/>
      <c r="L15" s="76"/>
      <c r="M15" s="76"/>
      <c r="N15" s="76"/>
    </row>
    <row r="16">
      <c r="D16" s="76"/>
      <c r="E16" s="83">
        <v>296.745</v>
      </c>
      <c r="F16" s="84">
        <v>5983.0</v>
      </c>
      <c r="G16" s="84">
        <v>290.27</v>
      </c>
      <c r="H16" s="84">
        <v>6.47501</v>
      </c>
      <c r="J16" s="76"/>
      <c r="K16" s="76"/>
      <c r="L16" s="76"/>
      <c r="M16" s="76"/>
      <c r="N16" s="76"/>
    </row>
    <row r="17">
      <c r="D17" s="76"/>
      <c r="E17" s="83">
        <v>295.9967</v>
      </c>
      <c r="F17" s="84">
        <v>6454.0</v>
      </c>
      <c r="G17" s="84">
        <v>289.85</v>
      </c>
      <c r="H17" s="84">
        <v>6.14673</v>
      </c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J24" s="76"/>
      <c r="K24" s="76"/>
      <c r="L24" s="76"/>
      <c r="M24" s="76"/>
      <c r="N24" s="76"/>
    </row>
    <row r="25">
      <c r="D25" s="76"/>
      <c r="J25" s="76"/>
      <c r="K25" s="76"/>
      <c r="L25" s="76"/>
      <c r="M25" s="76"/>
      <c r="N25" s="76"/>
    </row>
    <row r="26">
      <c r="D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244</v>
      </c>
      <c r="D1" s="98"/>
      <c r="E1" s="102" t="s">
        <v>245</v>
      </c>
      <c r="I1" s="98"/>
      <c r="J1" s="98"/>
      <c r="K1" s="102" t="s">
        <v>246</v>
      </c>
    </row>
    <row r="2">
      <c r="A2" s="95" t="s">
        <v>90</v>
      </c>
      <c r="D2" s="98"/>
      <c r="E2" s="143"/>
      <c r="F2" s="143"/>
      <c r="G2" s="143"/>
      <c r="H2" s="143"/>
      <c r="I2" s="98"/>
      <c r="J2" s="98"/>
      <c r="K2" s="143"/>
      <c r="L2" s="143"/>
      <c r="M2" s="143"/>
      <c r="N2" s="143"/>
    </row>
    <row r="3">
      <c r="A3" s="96" t="s">
        <v>111</v>
      </c>
      <c r="D3" s="104"/>
      <c r="E3" s="105" t="s">
        <v>10</v>
      </c>
      <c r="F3" s="105" t="s">
        <v>11</v>
      </c>
      <c r="G3" s="105" t="s">
        <v>12</v>
      </c>
      <c r="H3" s="106" t="s">
        <v>85</v>
      </c>
      <c r="I3" s="98"/>
      <c r="J3" s="104"/>
      <c r="K3" s="105" t="s">
        <v>10</v>
      </c>
      <c r="L3" s="105" t="s">
        <v>11</v>
      </c>
      <c r="M3" s="105" t="s">
        <v>12</v>
      </c>
      <c r="N3" s="106" t="s">
        <v>85</v>
      </c>
    </row>
    <row r="4">
      <c r="A4" s="96" t="s">
        <v>112</v>
      </c>
      <c r="D4" s="107" t="s">
        <v>143</v>
      </c>
      <c r="E4" s="108">
        <v>296.8163</v>
      </c>
      <c r="F4" s="108">
        <v>301.0</v>
      </c>
      <c r="G4" s="108">
        <v>284.04</v>
      </c>
      <c r="H4" s="108">
        <v>12.77633</v>
      </c>
      <c r="I4" s="98"/>
      <c r="J4" s="107" t="s">
        <v>113</v>
      </c>
      <c r="K4" s="108">
        <v>293.4246</v>
      </c>
      <c r="L4" s="108">
        <v>301.0</v>
      </c>
      <c r="M4" s="108">
        <v>280.02</v>
      </c>
      <c r="N4" s="108">
        <v>13.40459</v>
      </c>
    </row>
    <row r="5">
      <c r="D5" s="104"/>
      <c r="E5" s="108">
        <v>296.851</v>
      </c>
      <c r="F5" s="108">
        <v>776.0</v>
      </c>
      <c r="G5" s="108">
        <v>284.14</v>
      </c>
      <c r="H5" s="108">
        <v>12.71095</v>
      </c>
      <c r="I5" s="98"/>
      <c r="J5" s="104"/>
      <c r="K5" s="108">
        <v>293.3641</v>
      </c>
      <c r="L5" s="108">
        <v>775.0</v>
      </c>
      <c r="M5" s="108">
        <v>280.08</v>
      </c>
      <c r="N5" s="108">
        <v>13.28408</v>
      </c>
    </row>
    <row r="6">
      <c r="D6" s="104"/>
      <c r="E6" s="108">
        <v>296.4885</v>
      </c>
      <c r="F6" s="108">
        <v>1248.0</v>
      </c>
      <c r="G6" s="108">
        <v>283.26</v>
      </c>
      <c r="H6" s="108">
        <v>13.22848</v>
      </c>
      <c r="I6" s="98"/>
      <c r="J6" s="104"/>
      <c r="K6" s="108">
        <v>293.4554</v>
      </c>
      <c r="L6" s="108">
        <v>1247.0</v>
      </c>
      <c r="M6" s="108">
        <v>280.04</v>
      </c>
      <c r="N6" s="108">
        <v>13.41541</v>
      </c>
    </row>
    <row r="7">
      <c r="D7" s="104"/>
      <c r="E7" s="108">
        <v>296.2894</v>
      </c>
      <c r="F7" s="108">
        <v>1722.0</v>
      </c>
      <c r="G7" s="108">
        <v>283.22</v>
      </c>
      <c r="H7" s="108">
        <v>13.06943</v>
      </c>
      <c r="I7" s="98"/>
      <c r="J7" s="104"/>
      <c r="K7" s="108">
        <v>293.5103</v>
      </c>
      <c r="L7" s="108">
        <v>1720.0</v>
      </c>
      <c r="M7" s="108">
        <v>279.73</v>
      </c>
      <c r="N7" s="108">
        <v>13.78033</v>
      </c>
    </row>
    <row r="8">
      <c r="D8" s="104"/>
      <c r="E8" s="108">
        <v>296.0272</v>
      </c>
      <c r="F8" s="108">
        <v>2197.0</v>
      </c>
      <c r="G8" s="108">
        <v>282.89</v>
      </c>
      <c r="H8" s="108">
        <v>13.13716</v>
      </c>
      <c r="I8" s="98"/>
      <c r="J8" s="104"/>
      <c r="K8" s="108">
        <v>293.3998</v>
      </c>
      <c r="L8" s="108">
        <v>2194.0</v>
      </c>
      <c r="M8" s="108">
        <v>279.52</v>
      </c>
      <c r="N8" s="108">
        <v>13.87984</v>
      </c>
    </row>
    <row r="9">
      <c r="D9" s="104"/>
      <c r="E9" s="108">
        <v>296.55</v>
      </c>
      <c r="F9" s="108">
        <v>2676.0</v>
      </c>
      <c r="G9" s="108">
        <v>284.56</v>
      </c>
      <c r="H9" s="108">
        <v>11.99</v>
      </c>
      <c r="I9" s="98"/>
      <c r="J9" s="104"/>
      <c r="K9" s="108">
        <v>293.6788</v>
      </c>
      <c r="L9" s="108">
        <v>2667.0</v>
      </c>
      <c r="M9" s="108">
        <v>280.25</v>
      </c>
      <c r="N9" s="108">
        <v>13.42879</v>
      </c>
    </row>
    <row r="10">
      <c r="D10" s="107" t="s">
        <v>120</v>
      </c>
      <c r="E10" s="108">
        <v>296.5733</v>
      </c>
      <c r="F10" s="108">
        <v>3148.0</v>
      </c>
      <c r="G10" s="108">
        <v>285.0</v>
      </c>
      <c r="H10" s="108">
        <v>11.57327</v>
      </c>
      <c r="I10" s="98"/>
      <c r="J10" s="107" t="s">
        <v>107</v>
      </c>
      <c r="K10" s="109">
        <v>293.3841</v>
      </c>
      <c r="L10" s="109">
        <v>3142.0</v>
      </c>
      <c r="M10" s="109">
        <v>281.04</v>
      </c>
      <c r="N10" s="109">
        <v>12.34413</v>
      </c>
    </row>
    <row r="11">
      <c r="D11" s="104"/>
      <c r="E11" s="108">
        <v>296.3136</v>
      </c>
      <c r="F11" s="108">
        <v>3622.0</v>
      </c>
      <c r="G11" s="108">
        <v>285.02</v>
      </c>
      <c r="H11" s="108">
        <v>11.2936</v>
      </c>
      <c r="I11" s="98"/>
      <c r="J11" s="104"/>
      <c r="K11" s="109">
        <v>293.0226</v>
      </c>
      <c r="L11" s="109">
        <v>3617.0</v>
      </c>
      <c r="M11" s="109">
        <v>284.12</v>
      </c>
      <c r="N11" s="109">
        <v>8.90259</v>
      </c>
    </row>
    <row r="12">
      <c r="D12" s="104"/>
      <c r="E12" s="108">
        <v>296.1217</v>
      </c>
      <c r="F12" s="108">
        <v>4097.0</v>
      </c>
      <c r="G12" s="108">
        <v>284.47</v>
      </c>
      <c r="H12" s="108">
        <v>11.6517</v>
      </c>
      <c r="I12" s="98"/>
      <c r="J12" s="104"/>
      <c r="K12" s="109">
        <v>293.3046</v>
      </c>
      <c r="L12" s="109">
        <v>4088.0</v>
      </c>
      <c r="M12" s="109">
        <v>285.1</v>
      </c>
      <c r="N12" s="109">
        <v>8.20456</v>
      </c>
    </row>
    <row r="13">
      <c r="D13" s="104"/>
      <c r="E13" s="108">
        <v>295.8708</v>
      </c>
      <c r="F13" s="108">
        <v>4569.0</v>
      </c>
      <c r="G13" s="108">
        <v>284.35</v>
      </c>
      <c r="H13" s="108">
        <v>11.52076</v>
      </c>
      <c r="I13" s="98"/>
      <c r="J13" s="104"/>
      <c r="K13" s="108">
        <v>293.5409</v>
      </c>
      <c r="L13" s="108">
        <v>4562.0</v>
      </c>
      <c r="M13" s="108">
        <v>285.77</v>
      </c>
      <c r="N13" s="108">
        <v>7.77087</v>
      </c>
    </row>
    <row r="14">
      <c r="D14" s="104"/>
      <c r="E14" s="108">
        <v>295.8742</v>
      </c>
      <c r="F14" s="108">
        <v>5042.0</v>
      </c>
      <c r="G14" s="108">
        <v>284.04</v>
      </c>
      <c r="H14" s="108">
        <v>11.83422</v>
      </c>
      <c r="I14" s="98"/>
      <c r="J14" s="104"/>
      <c r="K14" s="108">
        <v>293.5585</v>
      </c>
      <c r="L14" s="108">
        <v>5036.0</v>
      </c>
      <c r="M14" s="108">
        <v>285.94</v>
      </c>
      <c r="N14" s="108">
        <v>7.61847</v>
      </c>
    </row>
    <row r="15">
      <c r="D15" s="98"/>
      <c r="E15" s="98"/>
      <c r="F15" s="98"/>
      <c r="G15" s="98"/>
      <c r="H15" s="98"/>
      <c r="I15" s="98"/>
      <c r="J15" s="104"/>
      <c r="K15" s="108">
        <v>293.8164</v>
      </c>
      <c r="L15" s="108">
        <v>5508.0</v>
      </c>
      <c r="M15" s="108">
        <v>286.23</v>
      </c>
      <c r="N15" s="108">
        <v>7.58643</v>
      </c>
    </row>
    <row r="16">
      <c r="D16" s="98"/>
      <c r="E16" s="98"/>
      <c r="F16" s="98"/>
      <c r="G16" s="98"/>
      <c r="H16" s="98"/>
      <c r="I16" s="98"/>
      <c r="J16" s="104"/>
      <c r="K16" s="108">
        <v>293.8939</v>
      </c>
      <c r="L16" s="108">
        <v>5983.0</v>
      </c>
      <c r="M16" s="108">
        <v>286.54</v>
      </c>
      <c r="N16" s="108">
        <v>7.35389</v>
      </c>
    </row>
    <row r="17">
      <c r="D17" s="98"/>
      <c r="E17" s="98"/>
      <c r="F17" s="98"/>
      <c r="G17" s="98"/>
      <c r="H17" s="98"/>
      <c r="I17" s="98"/>
      <c r="J17" s="104"/>
      <c r="K17" s="108">
        <v>293.8717</v>
      </c>
      <c r="L17" s="108">
        <v>6455.0</v>
      </c>
      <c r="M17" s="108">
        <v>286.27</v>
      </c>
      <c r="N17" s="108">
        <v>7.60171</v>
      </c>
    </row>
    <row r="18"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</row>
    <row r="19"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</row>
    <row r="20"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</row>
    <row r="24"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5"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</row>
    <row r="26"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</row>
    <row r="27"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</row>
    <row r="28"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</row>
    <row r="29"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</row>
    <row r="30"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</row>
    <row r="31"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</row>
    <row r="32"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</row>
    <row r="33"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</row>
    <row r="34"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</row>
    <row r="35"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</row>
    <row r="36"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</row>
    <row r="37"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</row>
    <row r="38"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</row>
    <row r="39"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</row>
    <row r="40"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</row>
    <row r="41"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</row>
    <row r="42"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</row>
    <row r="43"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</row>
    <row r="44"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</row>
    <row r="45"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</row>
    <row r="46"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</row>
    <row r="47"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</row>
    <row r="48"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</row>
    <row r="49"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</row>
    <row r="50"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</row>
    <row r="51"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</row>
    <row r="52"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</row>
    <row r="53"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</row>
    <row r="54"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</row>
    <row r="55"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</row>
    <row r="56"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</row>
    <row r="57"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</row>
    <row r="58"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</row>
    <row r="59"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</row>
    <row r="60"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</row>
    <row r="61"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</row>
    <row r="62"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</row>
    <row r="63"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</row>
    <row r="64"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</row>
    <row r="65"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</row>
    <row r="66"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</row>
    <row r="67"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</row>
    <row r="68"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</row>
    <row r="69"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</row>
    <row r="70"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</row>
    <row r="71"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</row>
    <row r="72"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</row>
    <row r="73"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</row>
    <row r="74"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</row>
    <row r="75"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</row>
    <row r="76"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</row>
    <row r="77"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</row>
    <row r="78"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</row>
    <row r="79"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</row>
    <row r="80"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</row>
    <row r="81"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</row>
    <row r="82"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</row>
    <row r="83"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</row>
    <row r="84"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</row>
    <row r="85"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</row>
    <row r="86"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</row>
    <row r="87"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</row>
    <row r="88"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</row>
    <row r="89"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</row>
    <row r="90"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</row>
    <row r="91"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</row>
    <row r="92"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</row>
    <row r="93"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</row>
    <row r="94"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</row>
    <row r="95"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</row>
    <row r="96"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</row>
    <row r="97"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</row>
    <row r="98"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</row>
    <row r="99"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</row>
    <row r="100"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</row>
    <row r="101"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</row>
    <row r="102"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</row>
    <row r="103"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</row>
    <row r="104"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</row>
    <row r="105"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</row>
    <row r="106"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</row>
    <row r="107"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</row>
    <row r="108"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</row>
    <row r="109"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</row>
    <row r="110"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</row>
    <row r="111"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</row>
    <row r="112"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</row>
    <row r="113"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</row>
    <row r="114"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</row>
    <row r="115"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</row>
    <row r="116"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</row>
    <row r="117"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</row>
    <row r="118"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</row>
    <row r="119"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</row>
    <row r="120"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</row>
    <row r="121"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</row>
    <row r="122"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</row>
    <row r="123"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</row>
    <row r="124"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</row>
    <row r="125"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</row>
    <row r="126"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</row>
    <row r="127"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</row>
    <row r="128"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</row>
    <row r="129"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</row>
    <row r="130"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</row>
    <row r="131"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</row>
    <row r="132"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</row>
    <row r="133"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</row>
    <row r="134"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</row>
    <row r="135"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</row>
    <row r="136"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</row>
    <row r="137"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</row>
    <row r="138"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</row>
    <row r="139"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</row>
    <row r="140"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</row>
    <row r="141"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</row>
    <row r="142"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</row>
    <row r="143"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</row>
    <row r="144"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</row>
    <row r="145"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</row>
    <row r="146"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</row>
    <row r="147"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</row>
    <row r="148"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</row>
    <row r="149"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</row>
    <row r="150"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</row>
    <row r="151"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</row>
    <row r="152"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</row>
    <row r="153"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</row>
    <row r="154"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</row>
    <row r="155"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</row>
    <row r="156"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</row>
    <row r="157"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</row>
    <row r="158"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</row>
    <row r="159"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</row>
    <row r="160"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</row>
    <row r="161"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</row>
    <row r="162"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</row>
    <row r="163"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</row>
    <row r="164"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</row>
    <row r="165"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</row>
    <row r="166"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</row>
    <row r="167"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</row>
    <row r="168"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</row>
    <row r="169"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</row>
    <row r="170"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</row>
    <row r="171"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</row>
    <row r="172"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</row>
    <row r="173"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</row>
    <row r="174"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</row>
    <row r="175"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</row>
    <row r="176"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</row>
    <row r="177"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</row>
    <row r="178"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</row>
    <row r="179"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</row>
    <row r="180"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</row>
    <row r="181"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</row>
    <row r="182"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</row>
    <row r="183"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</row>
    <row r="184"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</row>
    <row r="185"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</row>
    <row r="186"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</row>
    <row r="187"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</row>
    <row r="188"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</row>
    <row r="189"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</row>
    <row r="190"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</row>
    <row r="191"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</row>
    <row r="192"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</row>
    <row r="193"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</row>
    <row r="194"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</row>
    <row r="195"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</row>
    <row r="196"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</row>
    <row r="197"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</row>
    <row r="198"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</row>
    <row r="199"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</row>
    <row r="200"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</row>
    <row r="201"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</row>
    <row r="202"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</row>
    <row r="203"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</row>
    <row r="204"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</row>
    <row r="205"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</row>
    <row r="206"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</row>
    <row r="207"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</row>
    <row r="208"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</row>
    <row r="209"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</row>
    <row r="210"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</row>
    <row r="211"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</row>
    <row r="212"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</row>
    <row r="213"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</row>
    <row r="214"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</row>
    <row r="215"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</row>
    <row r="216"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</row>
    <row r="217"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</row>
    <row r="218"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</row>
    <row r="219"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</row>
    <row r="220"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</row>
    <row r="221"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</row>
    <row r="222"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</row>
    <row r="223"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</row>
    <row r="224"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</row>
    <row r="225"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</row>
    <row r="226"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</row>
    <row r="227"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</row>
    <row r="228"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</row>
    <row r="229"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</row>
    <row r="230"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</row>
    <row r="231"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</row>
    <row r="232"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</row>
    <row r="233"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</row>
    <row r="234"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</row>
    <row r="235"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</row>
    <row r="236"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</row>
    <row r="237"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</row>
    <row r="238"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</row>
    <row r="239"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</row>
    <row r="240"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</row>
    <row r="241"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</row>
    <row r="242"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</row>
    <row r="243"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</row>
    <row r="244"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</row>
    <row r="245"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</row>
    <row r="246"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</row>
    <row r="247"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</row>
    <row r="248"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</row>
    <row r="249"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</row>
    <row r="250"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</row>
    <row r="251"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</row>
    <row r="252"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</row>
    <row r="253"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</row>
    <row r="254"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</row>
    <row r="255"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</row>
    <row r="256"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</row>
    <row r="257"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</row>
    <row r="258"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</row>
    <row r="259"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</row>
    <row r="260"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</row>
    <row r="261"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</row>
    <row r="262"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</row>
    <row r="263"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</row>
    <row r="264"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</row>
    <row r="265"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</row>
    <row r="266"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</row>
    <row r="267"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</row>
    <row r="268"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</row>
    <row r="269"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</row>
    <row r="270"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</row>
    <row r="271"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</row>
    <row r="272"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</row>
    <row r="273"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</row>
    <row r="274"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</row>
    <row r="275"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</row>
    <row r="276"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</row>
    <row r="277"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</row>
    <row r="278"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</row>
    <row r="279"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</row>
    <row r="280"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</row>
    <row r="281"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</row>
    <row r="282"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</row>
    <row r="283"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</row>
    <row r="284"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</row>
    <row r="285"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</row>
    <row r="286"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</row>
    <row r="287"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</row>
    <row r="288"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</row>
    <row r="289"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</row>
    <row r="290"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</row>
    <row r="291"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</row>
    <row r="292"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</row>
    <row r="293"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</row>
    <row r="294"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</row>
    <row r="295"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</row>
    <row r="296"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</row>
    <row r="297"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</row>
    <row r="298"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</row>
    <row r="299"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</row>
    <row r="300"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</row>
    <row r="301"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</row>
    <row r="302"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</row>
    <row r="303"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</row>
    <row r="304"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</row>
    <row r="305"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</row>
    <row r="306"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</row>
    <row r="307"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</row>
    <row r="308"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</row>
    <row r="309"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</row>
    <row r="310"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</row>
    <row r="311"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</row>
    <row r="312"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</row>
    <row r="313"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</row>
    <row r="314"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</row>
    <row r="315"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</row>
    <row r="316"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</row>
    <row r="317"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</row>
    <row r="318"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</row>
    <row r="319"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</row>
    <row r="320"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</row>
    <row r="321"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</row>
    <row r="322"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</row>
    <row r="323"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</row>
    <row r="324"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</row>
    <row r="325"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</row>
    <row r="326"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</row>
    <row r="327"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</row>
    <row r="328"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</row>
    <row r="329"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</row>
    <row r="330"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</row>
    <row r="331"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</row>
    <row r="332"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</row>
    <row r="333"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</row>
    <row r="334"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</row>
    <row r="335"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</row>
    <row r="336"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</row>
    <row r="337"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</row>
    <row r="338"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</row>
    <row r="339"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</row>
    <row r="340"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</row>
    <row r="341"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</row>
    <row r="342"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</row>
    <row r="343"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</row>
    <row r="344"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</row>
    <row r="345"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</row>
    <row r="346"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</row>
    <row r="347"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</row>
    <row r="348"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</row>
    <row r="349"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</row>
    <row r="350"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</row>
    <row r="351"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</row>
    <row r="352"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</row>
    <row r="353"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</row>
    <row r="354"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</row>
    <row r="355"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</row>
    <row r="356"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</row>
    <row r="357"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</row>
    <row r="358"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</row>
    <row r="359"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</row>
    <row r="360"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</row>
    <row r="361"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</row>
    <row r="362"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</row>
    <row r="363"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</row>
    <row r="364"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</row>
    <row r="365"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</row>
    <row r="366"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</row>
    <row r="367"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</row>
    <row r="368"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</row>
    <row r="369"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</row>
    <row r="370"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</row>
    <row r="371"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</row>
    <row r="372"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</row>
    <row r="373"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</row>
    <row r="374"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</row>
    <row r="375"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</row>
    <row r="376"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</row>
    <row r="377"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</row>
    <row r="378"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</row>
    <row r="379"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</row>
    <row r="380"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</row>
    <row r="381"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</row>
    <row r="382"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</row>
    <row r="383"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</row>
    <row r="384"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</row>
    <row r="385"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</row>
    <row r="386"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</row>
    <row r="387"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</row>
    <row r="388"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</row>
    <row r="389"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</row>
    <row r="390"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</row>
    <row r="391"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</row>
    <row r="392"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</row>
    <row r="393"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</row>
    <row r="394"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</row>
    <row r="395"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</row>
    <row r="396"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</row>
    <row r="397"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</row>
    <row r="398"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</row>
    <row r="399"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</row>
    <row r="400"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</row>
    <row r="401"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</row>
    <row r="402"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</row>
    <row r="403"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</row>
    <row r="404"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</row>
    <row r="405"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</row>
    <row r="406"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</row>
    <row r="407"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</row>
    <row r="408"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</row>
    <row r="409"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</row>
    <row r="410"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</row>
    <row r="411"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</row>
    <row r="412"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</row>
    <row r="413"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</row>
    <row r="414"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</row>
    <row r="415"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</row>
    <row r="416"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</row>
    <row r="417"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</row>
    <row r="418"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</row>
    <row r="419"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</row>
    <row r="420"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</row>
    <row r="421"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</row>
    <row r="422"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</row>
    <row r="423"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</row>
    <row r="424"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</row>
    <row r="425"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</row>
    <row r="426"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</row>
    <row r="427"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</row>
    <row r="428"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</row>
    <row r="429"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</row>
    <row r="430"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</row>
    <row r="431"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</row>
    <row r="432"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</row>
    <row r="433"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</row>
    <row r="434"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</row>
    <row r="435"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</row>
    <row r="436"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</row>
    <row r="437"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</row>
    <row r="438"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</row>
    <row r="439"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</row>
    <row r="440"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</row>
    <row r="441"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</row>
    <row r="442"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</row>
    <row r="443"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</row>
    <row r="444"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</row>
    <row r="445"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</row>
    <row r="446"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</row>
    <row r="447"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</row>
    <row r="448"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</row>
    <row r="449"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</row>
    <row r="450"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</row>
    <row r="451"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</row>
    <row r="452"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</row>
    <row r="453"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</row>
    <row r="454"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</row>
    <row r="455"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</row>
    <row r="456"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</row>
    <row r="457"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</row>
    <row r="458"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</row>
    <row r="459"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</row>
    <row r="460"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</row>
    <row r="461"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</row>
    <row r="462"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</row>
    <row r="463"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</row>
    <row r="464"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</row>
    <row r="465"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</row>
    <row r="466"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</row>
    <row r="467"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</row>
    <row r="468"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</row>
    <row r="469"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</row>
    <row r="470"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</row>
    <row r="471"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</row>
    <row r="472"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</row>
    <row r="473"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</row>
    <row r="474"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</row>
    <row r="475"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</row>
    <row r="476"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</row>
    <row r="477"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</row>
    <row r="478"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</row>
    <row r="479"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</row>
    <row r="480"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</row>
    <row r="481"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</row>
    <row r="482"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</row>
    <row r="483"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</row>
    <row r="484"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</row>
    <row r="485"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</row>
    <row r="486"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</row>
    <row r="487"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</row>
    <row r="488"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</row>
    <row r="489"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</row>
    <row r="490"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</row>
    <row r="491"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</row>
    <row r="492"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</row>
    <row r="493"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</row>
    <row r="494"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</row>
    <row r="495"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</row>
    <row r="496"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</row>
    <row r="497"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</row>
    <row r="498"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</row>
    <row r="499"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</row>
    <row r="500"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</row>
    <row r="501"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</row>
    <row r="502"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</row>
    <row r="503"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</row>
    <row r="504"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</row>
    <row r="505"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</row>
    <row r="506"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</row>
    <row r="507"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</row>
    <row r="508"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</row>
    <row r="509"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</row>
    <row r="510"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</row>
    <row r="511"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</row>
    <row r="512"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</row>
    <row r="513"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</row>
    <row r="514"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</row>
    <row r="515"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</row>
    <row r="516"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</row>
    <row r="517"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</row>
    <row r="518"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</row>
    <row r="519"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</row>
    <row r="520"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</row>
    <row r="521"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</row>
    <row r="522"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</row>
    <row r="523"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</row>
    <row r="524"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</row>
    <row r="525"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</row>
    <row r="526"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</row>
    <row r="527"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</row>
    <row r="528"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</row>
    <row r="529"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</row>
    <row r="530"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</row>
    <row r="531"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</row>
    <row r="532"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</row>
    <row r="533"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</row>
    <row r="534"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</row>
    <row r="535"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</row>
    <row r="536"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</row>
    <row r="537"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</row>
    <row r="538"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</row>
    <row r="539"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</row>
    <row r="540"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</row>
    <row r="541"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</row>
    <row r="542"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</row>
    <row r="543"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</row>
    <row r="544"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</row>
    <row r="545"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</row>
    <row r="546"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</row>
    <row r="547"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</row>
    <row r="548"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</row>
    <row r="549"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</row>
    <row r="550"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</row>
    <row r="551"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</row>
    <row r="552"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</row>
    <row r="553"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</row>
    <row r="554"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</row>
    <row r="555"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</row>
    <row r="556"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</row>
    <row r="557"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</row>
    <row r="558"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</row>
    <row r="559"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</row>
    <row r="560"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</row>
    <row r="561"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</row>
    <row r="562"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</row>
    <row r="563"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</row>
    <row r="564"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</row>
    <row r="565"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</row>
    <row r="566"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</row>
    <row r="567"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</row>
    <row r="568"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</row>
    <row r="569"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</row>
    <row r="570"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</row>
    <row r="571"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</row>
    <row r="572"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</row>
    <row r="573"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</row>
    <row r="574"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</row>
    <row r="575"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</row>
    <row r="576"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</row>
    <row r="577"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</row>
    <row r="578"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</row>
    <row r="579"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</row>
    <row r="580"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</row>
    <row r="581"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</row>
    <row r="582"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</row>
    <row r="583"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</row>
    <row r="584"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</row>
    <row r="585"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</row>
    <row r="586"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</row>
    <row r="587"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</row>
    <row r="588"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</row>
    <row r="589"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</row>
    <row r="590"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</row>
    <row r="591"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</row>
    <row r="592"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</row>
    <row r="593"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</row>
    <row r="594"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</row>
    <row r="595"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</row>
    <row r="596"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</row>
    <row r="597"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</row>
    <row r="598"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</row>
    <row r="599"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</row>
    <row r="600"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</row>
    <row r="601"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</row>
    <row r="602"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</row>
    <row r="603"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</row>
    <row r="604"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</row>
    <row r="605"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</row>
    <row r="606"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</row>
    <row r="607"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</row>
    <row r="608"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</row>
    <row r="609"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</row>
    <row r="610"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</row>
    <row r="611"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</row>
    <row r="612"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</row>
    <row r="613"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</row>
    <row r="614"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</row>
    <row r="615"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</row>
    <row r="616"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</row>
    <row r="617"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</row>
    <row r="618"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</row>
    <row r="619"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</row>
    <row r="620"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</row>
    <row r="621"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</row>
    <row r="622"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</row>
    <row r="623"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</row>
    <row r="624"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</row>
    <row r="625"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</row>
    <row r="626"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</row>
    <row r="627"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</row>
    <row r="628"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</row>
    <row r="629"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</row>
    <row r="630"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</row>
    <row r="631"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</row>
    <row r="632"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</row>
    <row r="633"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</row>
    <row r="634"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</row>
    <row r="635"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</row>
    <row r="636"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</row>
    <row r="637"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</row>
    <row r="638"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</row>
    <row r="639"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</row>
    <row r="640"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</row>
    <row r="641"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</row>
    <row r="642"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</row>
    <row r="643"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</row>
    <row r="644"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</row>
    <row r="645"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</row>
    <row r="646"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</row>
    <row r="647"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</row>
    <row r="648"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</row>
    <row r="649"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</row>
    <row r="650"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</row>
    <row r="651"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</row>
    <row r="652"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</row>
    <row r="653"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</row>
    <row r="654"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</row>
    <row r="655"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</row>
    <row r="656"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</row>
    <row r="657"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</row>
    <row r="658"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</row>
    <row r="659"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</row>
    <row r="660"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</row>
    <row r="661"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</row>
    <row r="662"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</row>
    <row r="663"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</row>
    <row r="664"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</row>
    <row r="665"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</row>
    <row r="666"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</row>
    <row r="667"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</row>
    <row r="668"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</row>
    <row r="669"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</row>
    <row r="670"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</row>
    <row r="671"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</row>
    <row r="672"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</row>
    <row r="673"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</row>
    <row r="674"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</row>
    <row r="675"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</row>
    <row r="676"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</row>
    <row r="677"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</row>
    <row r="678"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</row>
    <row r="679"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</row>
    <row r="680"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</row>
    <row r="681"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</row>
    <row r="682"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</row>
    <row r="683"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</row>
    <row r="684"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</row>
    <row r="685"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</row>
    <row r="686"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</row>
    <row r="687"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</row>
    <row r="688"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</row>
    <row r="689"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</row>
    <row r="690"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</row>
    <row r="691"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</row>
    <row r="692"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</row>
    <row r="693"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</row>
    <row r="694"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</row>
    <row r="695"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</row>
    <row r="696"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</row>
    <row r="697"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</row>
    <row r="698"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</row>
    <row r="699"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</row>
    <row r="700"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</row>
    <row r="701"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</row>
    <row r="702"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</row>
    <row r="703"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</row>
    <row r="704"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</row>
    <row r="705"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</row>
    <row r="706"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</row>
    <row r="707"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</row>
    <row r="708"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</row>
    <row r="709"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</row>
    <row r="710"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</row>
    <row r="711"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</row>
    <row r="712"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</row>
    <row r="713"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</row>
    <row r="714"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</row>
    <row r="715"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</row>
    <row r="716"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</row>
    <row r="717"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</row>
    <row r="718"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</row>
    <row r="719"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</row>
    <row r="720"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</row>
    <row r="721"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</row>
    <row r="722"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</row>
    <row r="723"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</row>
    <row r="724"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</row>
    <row r="725"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</row>
    <row r="726"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</row>
    <row r="727"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</row>
    <row r="728"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</row>
    <row r="729"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</row>
    <row r="730"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</row>
    <row r="731"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</row>
    <row r="732"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</row>
    <row r="733"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</row>
    <row r="734"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</row>
    <row r="735"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</row>
    <row r="736"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</row>
    <row r="737"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</row>
    <row r="738"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</row>
    <row r="739"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</row>
    <row r="740"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</row>
    <row r="741"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</row>
    <row r="742"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</row>
    <row r="743"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</row>
    <row r="744"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</row>
    <row r="745"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</row>
    <row r="746"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</row>
    <row r="747"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</row>
    <row r="748"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</row>
    <row r="749"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</row>
    <row r="750"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</row>
    <row r="751"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</row>
    <row r="752"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</row>
    <row r="753"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</row>
    <row r="754"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</row>
    <row r="755"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</row>
    <row r="756"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</row>
    <row r="757"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</row>
    <row r="758"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</row>
    <row r="759"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</row>
    <row r="760"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</row>
    <row r="761"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</row>
    <row r="762"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</row>
    <row r="763"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</row>
    <row r="764"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</row>
    <row r="765"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</row>
    <row r="766"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</row>
    <row r="767"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</row>
    <row r="768"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</row>
    <row r="769"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</row>
    <row r="770"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</row>
    <row r="771"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</row>
    <row r="772"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</row>
    <row r="773"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</row>
    <row r="774"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</row>
    <row r="775"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</row>
    <row r="776"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</row>
    <row r="777"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</row>
    <row r="778"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</row>
    <row r="779"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</row>
    <row r="780"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</row>
    <row r="781"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</row>
    <row r="782"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</row>
    <row r="783"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</row>
    <row r="784"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</row>
    <row r="785"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</row>
    <row r="786"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</row>
    <row r="787"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</row>
    <row r="788"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</row>
    <row r="789"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</row>
    <row r="790"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</row>
    <row r="791"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</row>
    <row r="792"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</row>
    <row r="793"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</row>
    <row r="794"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</row>
    <row r="795"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</row>
    <row r="796"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</row>
    <row r="797"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</row>
    <row r="798"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</row>
    <row r="799"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</row>
    <row r="800"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</row>
    <row r="801"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</row>
    <row r="802"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</row>
    <row r="803"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</row>
    <row r="804"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</row>
    <row r="805"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</row>
    <row r="806"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</row>
    <row r="807"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</row>
    <row r="808"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</row>
    <row r="809"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</row>
    <row r="810"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</row>
    <row r="811"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</row>
    <row r="812"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</row>
    <row r="813"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</row>
    <row r="814"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</row>
    <row r="815"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</row>
    <row r="816"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</row>
    <row r="817"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</row>
    <row r="818"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</row>
    <row r="819"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</row>
    <row r="820"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</row>
    <row r="821"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</row>
    <row r="822"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</row>
    <row r="823"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</row>
    <row r="824"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</row>
    <row r="825"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</row>
    <row r="826"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</row>
    <row r="827"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</row>
    <row r="828"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</row>
    <row r="829"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</row>
    <row r="830"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</row>
    <row r="831"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</row>
    <row r="832"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</row>
    <row r="833"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</row>
    <row r="834"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</row>
    <row r="835"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</row>
    <row r="836"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</row>
    <row r="837"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</row>
    <row r="838"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</row>
    <row r="839"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</row>
    <row r="840"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</row>
    <row r="841"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</row>
    <row r="842"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</row>
    <row r="843"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</row>
    <row r="844"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</row>
    <row r="845"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</row>
    <row r="846"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</row>
    <row r="847"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</row>
    <row r="848"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</row>
    <row r="849"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</row>
    <row r="850"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</row>
    <row r="851"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</row>
    <row r="852"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</row>
    <row r="853"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</row>
    <row r="854"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</row>
    <row r="855"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</row>
    <row r="856"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</row>
    <row r="857"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</row>
    <row r="858"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</row>
    <row r="859"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</row>
    <row r="860"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</row>
    <row r="861"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</row>
    <row r="862"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</row>
    <row r="863"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</row>
    <row r="864"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</row>
    <row r="865"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</row>
    <row r="866"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</row>
    <row r="867"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</row>
    <row r="868"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</row>
    <row r="869"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</row>
    <row r="870"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</row>
    <row r="871"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</row>
    <row r="872"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</row>
    <row r="873"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</row>
    <row r="874"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</row>
    <row r="875"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</row>
    <row r="876"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</row>
    <row r="877"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</row>
    <row r="878"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</row>
    <row r="879"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</row>
    <row r="880"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</row>
    <row r="881"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</row>
    <row r="882"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</row>
    <row r="883"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</row>
    <row r="884"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</row>
    <row r="885"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</row>
    <row r="886"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</row>
    <row r="887"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</row>
    <row r="888"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</row>
    <row r="889"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</row>
    <row r="890"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</row>
    <row r="891"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</row>
    <row r="892"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</row>
    <row r="893"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</row>
    <row r="894"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</row>
    <row r="895"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</row>
    <row r="896"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</row>
    <row r="897"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</row>
    <row r="898"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</row>
    <row r="899"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</row>
    <row r="900"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</row>
    <row r="901"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</row>
    <row r="902"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</row>
    <row r="903"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</row>
    <row r="904"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</row>
    <row r="905"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</row>
    <row r="906"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</row>
    <row r="907"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</row>
    <row r="908"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</row>
    <row r="909"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</row>
    <row r="910"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</row>
    <row r="911"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</row>
    <row r="912"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</row>
    <row r="913"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</row>
    <row r="914"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</row>
    <row r="915"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</row>
    <row r="916"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</row>
    <row r="917"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</row>
    <row r="918"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</row>
    <row r="919"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</row>
    <row r="920"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</row>
    <row r="921"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</row>
    <row r="922"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</row>
    <row r="923"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</row>
    <row r="924"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</row>
    <row r="925"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</row>
    <row r="926"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</row>
    <row r="927"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</row>
    <row r="928"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</row>
    <row r="929"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</row>
    <row r="930"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</row>
    <row r="931"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</row>
    <row r="932"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</row>
    <row r="933"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</row>
    <row r="934"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</row>
    <row r="935"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</row>
    <row r="936"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</row>
    <row r="937"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</row>
    <row r="938"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</row>
    <row r="939"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</row>
    <row r="940"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</row>
    <row r="941"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</row>
    <row r="942"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</row>
    <row r="943"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</row>
    <row r="944"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</row>
    <row r="945"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</row>
    <row r="946"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</row>
    <row r="947"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</row>
    <row r="948"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</row>
    <row r="949"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</row>
    <row r="950"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</row>
    <row r="951"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</row>
    <row r="952"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</row>
    <row r="953"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</row>
    <row r="954"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</row>
    <row r="955"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</row>
    <row r="956"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</row>
    <row r="957"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</row>
    <row r="958"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</row>
    <row r="959"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</row>
    <row r="960"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</row>
    <row r="961"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</row>
    <row r="962"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</row>
    <row r="963"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</row>
    <row r="964"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</row>
    <row r="965"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</row>
    <row r="966"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</row>
    <row r="967"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</row>
    <row r="968"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</row>
    <row r="969"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</row>
    <row r="970"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</row>
    <row r="971"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</row>
    <row r="972"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</row>
    <row r="973"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</row>
    <row r="974"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</row>
    <row r="975"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</row>
    <row r="976"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</row>
    <row r="977"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</row>
    <row r="978"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</row>
    <row r="979"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</row>
    <row r="980"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</row>
    <row r="981"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</row>
    <row r="982"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</row>
    <row r="983"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</row>
    <row r="984"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</row>
    <row r="985"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</row>
    <row r="986"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</row>
    <row r="987"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</row>
    <row r="988"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</row>
    <row r="989"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</row>
    <row r="990"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</row>
    <row r="991"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</row>
    <row r="992"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</row>
    <row r="993"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</row>
    <row r="994"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</row>
    <row r="995"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</row>
    <row r="996"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</row>
    <row r="997"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</row>
    <row r="998"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</row>
    <row r="999"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</row>
    <row r="1000"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</row>
  </sheetData>
  <mergeCells count="2">
    <mergeCell ref="E1:H1"/>
    <mergeCell ref="K1:N1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247</v>
      </c>
      <c r="D1" s="76"/>
      <c r="E1" s="77" t="s">
        <v>248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113</v>
      </c>
      <c r="E4" s="83">
        <v>295.3553</v>
      </c>
      <c r="F4" s="84">
        <v>301.0</v>
      </c>
      <c r="G4" s="84">
        <v>285.81</v>
      </c>
      <c r="H4" s="84">
        <v>9.54534</v>
      </c>
    </row>
    <row r="5">
      <c r="D5" s="76"/>
      <c r="E5" s="83">
        <v>295.0769</v>
      </c>
      <c r="F5" s="84">
        <v>775.0</v>
      </c>
      <c r="G5" s="84">
        <v>285.48</v>
      </c>
      <c r="H5" s="84">
        <v>9.59689</v>
      </c>
    </row>
    <row r="6">
      <c r="D6" s="76"/>
      <c r="E6" s="83">
        <v>295.6778</v>
      </c>
      <c r="F6" s="84">
        <v>1247.0</v>
      </c>
      <c r="G6" s="84">
        <v>285.58</v>
      </c>
      <c r="H6" s="84">
        <v>10.09777</v>
      </c>
    </row>
    <row r="7">
      <c r="D7" s="76"/>
      <c r="E7" s="83">
        <v>295.5981</v>
      </c>
      <c r="F7" s="84">
        <v>1722.0</v>
      </c>
      <c r="G7" s="84">
        <v>285.48</v>
      </c>
      <c r="H7" s="84">
        <v>10.1181</v>
      </c>
    </row>
    <row r="8">
      <c r="D8" s="76"/>
      <c r="E8" s="83">
        <v>295.4993</v>
      </c>
      <c r="F8" s="84">
        <v>2194.0</v>
      </c>
      <c r="G8" s="84">
        <v>285.39</v>
      </c>
      <c r="H8" s="84">
        <v>10.1093</v>
      </c>
    </row>
    <row r="9">
      <c r="D9" s="76"/>
      <c r="E9" s="83">
        <v>295.0529</v>
      </c>
      <c r="F9" s="84">
        <v>2669.0</v>
      </c>
      <c r="G9" s="84">
        <v>285.33</v>
      </c>
      <c r="H9" s="84">
        <v>9.72294</v>
      </c>
    </row>
    <row r="10">
      <c r="D10" s="82" t="s">
        <v>114</v>
      </c>
      <c r="E10" s="24">
        <v>294.6759</v>
      </c>
      <c r="F10" s="25">
        <v>3143.0</v>
      </c>
      <c r="G10" s="25">
        <v>287.44</v>
      </c>
      <c r="H10" s="25">
        <v>7.23586</v>
      </c>
    </row>
    <row r="11">
      <c r="D11" s="76"/>
      <c r="E11" s="83">
        <v>294.2329</v>
      </c>
      <c r="F11" s="84">
        <v>3617.0</v>
      </c>
      <c r="G11" s="84">
        <v>288.57</v>
      </c>
      <c r="H11" s="84">
        <v>5.66292</v>
      </c>
    </row>
    <row r="12">
      <c r="D12" s="76"/>
      <c r="E12" s="83">
        <v>294.1621</v>
      </c>
      <c r="F12" s="84">
        <v>4089.0</v>
      </c>
      <c r="G12" s="84">
        <v>288.72</v>
      </c>
      <c r="H12" s="84">
        <v>5.44207</v>
      </c>
    </row>
    <row r="13">
      <c r="D13" s="76"/>
      <c r="E13" s="83">
        <v>293.8358</v>
      </c>
      <c r="F13" s="84">
        <v>4563.0</v>
      </c>
      <c r="G13" s="84">
        <v>288.43</v>
      </c>
      <c r="H13" s="84">
        <v>5.4058</v>
      </c>
    </row>
    <row r="14">
      <c r="D14" s="76"/>
      <c r="E14" s="83">
        <v>293.6793</v>
      </c>
      <c r="F14" s="84">
        <v>5036.0</v>
      </c>
      <c r="G14" s="84">
        <v>288.43</v>
      </c>
      <c r="H14" s="84">
        <v>5.24932</v>
      </c>
    </row>
    <row r="15">
      <c r="D15" s="76"/>
      <c r="E15" s="83">
        <v>293.6543</v>
      </c>
      <c r="F15" s="84">
        <v>5510.0</v>
      </c>
      <c r="G15" s="84">
        <v>288.68</v>
      </c>
      <c r="H15" s="84">
        <v>4.97432</v>
      </c>
    </row>
    <row r="16">
      <c r="D16" s="76"/>
      <c r="E16" s="83">
        <v>293.3598</v>
      </c>
      <c r="F16" s="84">
        <v>5984.0</v>
      </c>
      <c r="G16" s="84">
        <v>288.49</v>
      </c>
      <c r="H16" s="84">
        <v>4.86984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4" t="s">
        <v>249</v>
      </c>
      <c r="B1" s="98"/>
      <c r="C1" s="98"/>
      <c r="D1" s="98"/>
      <c r="E1" s="102" t="s">
        <v>250</v>
      </c>
      <c r="J1" s="76"/>
      <c r="K1" s="77" t="s">
        <v>251</v>
      </c>
    </row>
    <row r="2">
      <c r="A2" s="144" t="s">
        <v>90</v>
      </c>
      <c r="B2" s="98"/>
      <c r="C2" s="98"/>
      <c r="D2" s="98"/>
      <c r="E2" s="143"/>
      <c r="F2" s="143"/>
      <c r="G2" s="143"/>
      <c r="H2" s="143"/>
      <c r="J2" s="76"/>
      <c r="K2" s="76"/>
      <c r="L2" s="76"/>
      <c r="M2" s="76"/>
      <c r="N2" s="76"/>
    </row>
    <row r="3">
      <c r="A3" s="145" t="s">
        <v>111</v>
      </c>
      <c r="B3" s="98"/>
      <c r="C3" s="98"/>
      <c r="D3" s="104"/>
      <c r="E3" s="105" t="s">
        <v>10</v>
      </c>
      <c r="F3" s="105" t="s">
        <v>11</v>
      </c>
      <c r="G3" s="105" t="s">
        <v>12</v>
      </c>
      <c r="H3" s="106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145" t="s">
        <v>118</v>
      </c>
      <c r="B4" s="98"/>
      <c r="C4" s="98"/>
      <c r="D4" s="107" t="s">
        <v>95</v>
      </c>
      <c r="E4" s="108">
        <v>287.9937</v>
      </c>
      <c r="F4" s="108">
        <v>301.0</v>
      </c>
      <c r="G4" s="108">
        <v>278.87</v>
      </c>
      <c r="H4" s="108">
        <v>9.1237</v>
      </c>
      <c r="J4" s="82" t="s">
        <v>113</v>
      </c>
      <c r="K4" s="83">
        <v>285.104</v>
      </c>
      <c r="L4" s="84">
        <v>301.0</v>
      </c>
      <c r="M4" s="84">
        <v>276.69</v>
      </c>
      <c r="N4" s="84">
        <v>8.41404</v>
      </c>
    </row>
    <row r="5">
      <c r="D5" s="104"/>
      <c r="E5" s="108">
        <v>287.9778</v>
      </c>
      <c r="F5" s="108">
        <v>776.0</v>
      </c>
      <c r="G5" s="108">
        <v>279.1</v>
      </c>
      <c r="H5" s="108">
        <v>8.87781</v>
      </c>
      <c r="J5" s="76"/>
      <c r="K5" s="83">
        <v>285.0779</v>
      </c>
      <c r="L5" s="84">
        <v>773.0</v>
      </c>
      <c r="M5" s="84">
        <v>276.51</v>
      </c>
      <c r="N5" s="84">
        <v>8.56791</v>
      </c>
    </row>
    <row r="6">
      <c r="D6" s="104"/>
      <c r="E6" s="108">
        <v>287.5138</v>
      </c>
      <c r="F6" s="108">
        <v>1245.0</v>
      </c>
      <c r="G6" s="108">
        <v>278.79</v>
      </c>
      <c r="H6" s="108">
        <v>8.72377</v>
      </c>
      <c r="J6" s="76"/>
      <c r="K6" s="83">
        <v>284.683</v>
      </c>
      <c r="L6" s="84">
        <v>1247.0</v>
      </c>
      <c r="M6" s="84">
        <v>276.03</v>
      </c>
      <c r="N6" s="84">
        <v>8.65302</v>
      </c>
    </row>
    <row r="7">
      <c r="D7" s="104"/>
      <c r="E7" s="108">
        <v>287.1804</v>
      </c>
      <c r="F7" s="108">
        <v>1720.0</v>
      </c>
      <c r="G7" s="108">
        <v>277.99</v>
      </c>
      <c r="H7" s="108">
        <v>9.19044</v>
      </c>
      <c r="J7" s="76"/>
      <c r="K7" s="83">
        <v>285.024</v>
      </c>
      <c r="L7" s="84">
        <v>1720.0</v>
      </c>
      <c r="M7" s="84">
        <v>275.98</v>
      </c>
      <c r="N7" s="84">
        <v>8.95395</v>
      </c>
    </row>
    <row r="8">
      <c r="D8" s="104"/>
      <c r="E8" s="108">
        <v>287.0731</v>
      </c>
      <c r="F8" s="108">
        <v>2192.0</v>
      </c>
      <c r="G8" s="108">
        <v>278.26</v>
      </c>
      <c r="H8" s="108">
        <v>8.8131</v>
      </c>
      <c r="J8" s="76"/>
      <c r="K8" s="83">
        <v>285.0158</v>
      </c>
      <c r="L8" s="84">
        <v>2195.0</v>
      </c>
      <c r="M8" s="84">
        <v>275.96</v>
      </c>
      <c r="N8" s="84">
        <v>9.05578</v>
      </c>
    </row>
    <row r="9">
      <c r="D9" s="104"/>
      <c r="E9" s="108">
        <v>287.032</v>
      </c>
      <c r="F9" s="108">
        <v>2666.0</v>
      </c>
      <c r="G9" s="108">
        <v>277.82</v>
      </c>
      <c r="H9" s="108">
        <v>9.21195</v>
      </c>
      <c r="J9" s="76"/>
      <c r="K9" s="24">
        <v>285.2202</v>
      </c>
      <c r="L9" s="25">
        <v>2669.0</v>
      </c>
      <c r="M9" s="25">
        <v>276.51</v>
      </c>
      <c r="N9" s="25">
        <v>8.71014</v>
      </c>
    </row>
    <row r="10">
      <c r="D10" s="107" t="s">
        <v>143</v>
      </c>
      <c r="E10" s="146">
        <v>287.4111</v>
      </c>
      <c r="F10" s="146">
        <v>3137.0</v>
      </c>
      <c r="G10" s="146">
        <v>278.03</v>
      </c>
      <c r="H10" s="146">
        <v>9.38109</v>
      </c>
      <c r="J10" s="82" t="s">
        <v>107</v>
      </c>
      <c r="K10" s="83">
        <v>285.0727</v>
      </c>
      <c r="L10" s="84">
        <v>3142.0</v>
      </c>
      <c r="M10" s="84">
        <v>278.14</v>
      </c>
      <c r="N10" s="84">
        <v>6.93272</v>
      </c>
    </row>
    <row r="11">
      <c r="D11" s="104"/>
      <c r="E11" s="108">
        <v>287.323</v>
      </c>
      <c r="F11" s="108">
        <v>3610.0</v>
      </c>
      <c r="G11" s="108">
        <v>278.91</v>
      </c>
      <c r="H11" s="108">
        <v>8.41304</v>
      </c>
      <c r="J11" s="76"/>
      <c r="K11" s="83">
        <v>285.4842</v>
      </c>
      <c r="L11" s="84">
        <v>3617.0</v>
      </c>
      <c r="M11" s="84">
        <v>279.41</v>
      </c>
      <c r="N11" s="84">
        <v>6.07424</v>
      </c>
    </row>
    <row r="12">
      <c r="D12" s="104"/>
      <c r="E12" s="108">
        <v>286.9863</v>
      </c>
      <c r="F12" s="108">
        <v>4085.0</v>
      </c>
      <c r="G12" s="108">
        <v>278.41</v>
      </c>
      <c r="H12" s="108">
        <v>8.57631</v>
      </c>
      <c r="J12" s="76"/>
      <c r="K12" s="83">
        <v>285.5246</v>
      </c>
      <c r="L12" s="84">
        <v>4094.0</v>
      </c>
      <c r="M12" s="84">
        <v>279.64</v>
      </c>
      <c r="N12" s="84">
        <v>5.88454</v>
      </c>
    </row>
    <row r="13">
      <c r="D13" s="104"/>
      <c r="E13" s="108">
        <v>287.2736</v>
      </c>
      <c r="F13" s="108">
        <v>4560.0</v>
      </c>
      <c r="G13" s="108">
        <v>278.74</v>
      </c>
      <c r="H13" s="108">
        <v>8.53357</v>
      </c>
      <c r="J13" s="76"/>
      <c r="K13" s="83">
        <v>285.8732</v>
      </c>
      <c r="L13" s="84">
        <v>4565.0</v>
      </c>
      <c r="M13" s="84">
        <v>279.83</v>
      </c>
      <c r="N13" s="84">
        <v>6.04319</v>
      </c>
    </row>
    <row r="14">
      <c r="D14" s="104"/>
      <c r="E14" s="108">
        <v>286.8307</v>
      </c>
      <c r="F14" s="108">
        <v>5039.0</v>
      </c>
      <c r="G14" s="108">
        <v>278.58</v>
      </c>
      <c r="H14" s="108">
        <v>8.25066</v>
      </c>
      <c r="J14" s="76"/>
      <c r="K14" s="83">
        <v>285.6199</v>
      </c>
      <c r="L14" s="84">
        <v>5040.0</v>
      </c>
      <c r="M14" s="84">
        <v>279.46</v>
      </c>
      <c r="N14" s="84">
        <v>6.15986</v>
      </c>
    </row>
    <row r="15">
      <c r="D15" s="104"/>
      <c r="E15" s="108">
        <v>284.6079</v>
      </c>
      <c r="F15" s="108">
        <v>5518.0</v>
      </c>
      <c r="G15" s="108">
        <v>277.24</v>
      </c>
      <c r="H15" s="108">
        <v>7.36788</v>
      </c>
      <c r="J15" s="76"/>
      <c r="K15" s="83">
        <v>285.4488</v>
      </c>
      <c r="L15" s="84">
        <v>5512.0</v>
      </c>
      <c r="M15" s="84">
        <v>279.79</v>
      </c>
      <c r="N15" s="84">
        <v>5.6588</v>
      </c>
    </row>
    <row r="16">
      <c r="D16" s="104"/>
      <c r="E16" s="108">
        <v>284.7407</v>
      </c>
      <c r="F16" s="108">
        <v>5987.0</v>
      </c>
      <c r="G16" s="108">
        <v>276.65</v>
      </c>
      <c r="H16" s="108">
        <v>8.09067</v>
      </c>
      <c r="J16" s="76"/>
      <c r="K16" s="76"/>
      <c r="L16" s="76"/>
      <c r="M16" s="76"/>
      <c r="N16" s="76"/>
    </row>
    <row r="17">
      <c r="D17" s="98"/>
      <c r="E17" s="98"/>
      <c r="F17" s="98"/>
      <c r="G17" s="98"/>
      <c r="H17" s="98"/>
      <c r="J17" s="76"/>
      <c r="K17" s="76"/>
      <c r="L17" s="76"/>
      <c r="M17" s="76"/>
      <c r="N17" s="76"/>
    </row>
    <row r="18">
      <c r="D18" s="98"/>
      <c r="E18" s="98"/>
      <c r="F18" s="98"/>
      <c r="G18" s="98"/>
      <c r="H18" s="98"/>
      <c r="J18" s="76"/>
      <c r="K18" s="76"/>
      <c r="L18" s="76"/>
      <c r="M18" s="76"/>
      <c r="N18" s="76"/>
    </row>
    <row r="19">
      <c r="D19" s="98"/>
      <c r="E19" s="98"/>
      <c r="F19" s="98"/>
      <c r="G19" s="98"/>
      <c r="H19" s="98"/>
      <c r="J19" s="76"/>
      <c r="K19" s="76"/>
      <c r="L19" s="76"/>
      <c r="M19" s="76"/>
      <c r="N19" s="76"/>
    </row>
    <row r="20">
      <c r="D20" s="98"/>
      <c r="E20" s="98"/>
      <c r="F20" s="98"/>
      <c r="G20" s="98"/>
      <c r="H20" s="98"/>
      <c r="J20" s="76"/>
      <c r="K20" s="76"/>
      <c r="L20" s="76"/>
      <c r="M20" s="76"/>
      <c r="N20" s="76"/>
    </row>
    <row r="21">
      <c r="D21" s="98"/>
      <c r="E21" s="98"/>
      <c r="F21" s="98"/>
      <c r="G21" s="98"/>
      <c r="H21" s="98"/>
      <c r="J21" s="76"/>
      <c r="K21" s="76"/>
      <c r="L21" s="76"/>
      <c r="M21" s="76"/>
      <c r="N21" s="76"/>
    </row>
    <row r="22">
      <c r="D22" s="98"/>
      <c r="E22" s="98"/>
      <c r="F22" s="98"/>
      <c r="G22" s="98"/>
      <c r="H22" s="98"/>
      <c r="J22" s="76"/>
      <c r="K22" s="76"/>
      <c r="L22" s="76"/>
      <c r="M22" s="76"/>
      <c r="N22" s="76"/>
    </row>
    <row r="23">
      <c r="D23" s="98"/>
      <c r="E23" s="98"/>
      <c r="F23" s="98"/>
      <c r="G23" s="98"/>
      <c r="H23" s="98"/>
      <c r="J23" s="76"/>
      <c r="K23" s="76"/>
      <c r="L23" s="76"/>
      <c r="M23" s="76"/>
      <c r="N23" s="76"/>
    </row>
    <row r="24">
      <c r="D24" s="98"/>
      <c r="E24" s="98"/>
      <c r="F24" s="98"/>
      <c r="G24" s="98"/>
      <c r="H24" s="98"/>
      <c r="J24" s="76"/>
      <c r="K24" s="76"/>
      <c r="L24" s="76"/>
      <c r="M24" s="76"/>
      <c r="N24" s="76"/>
    </row>
    <row r="25">
      <c r="D25" s="98"/>
      <c r="E25" s="98"/>
      <c r="F25" s="98"/>
      <c r="G25" s="98"/>
      <c r="H25" s="98"/>
      <c r="J25" s="76"/>
      <c r="K25" s="76"/>
      <c r="L25" s="76"/>
      <c r="M25" s="76"/>
      <c r="N25" s="76"/>
    </row>
    <row r="26">
      <c r="D26" s="98"/>
      <c r="E26" s="98"/>
      <c r="F26" s="98"/>
      <c r="G26" s="98"/>
      <c r="H26" s="98"/>
      <c r="J26" s="76"/>
      <c r="K26" s="76"/>
      <c r="L26" s="76"/>
      <c r="M26" s="76"/>
      <c r="N26" s="76"/>
    </row>
    <row r="27">
      <c r="D27" s="98"/>
      <c r="E27" s="98"/>
      <c r="F27" s="98"/>
      <c r="G27" s="98"/>
      <c r="H27" s="98"/>
    </row>
    <row r="28">
      <c r="D28" s="98"/>
      <c r="E28" s="98"/>
      <c r="F28" s="98"/>
      <c r="G28" s="98"/>
      <c r="H28" s="98"/>
    </row>
    <row r="29">
      <c r="D29" s="98"/>
      <c r="E29" s="98"/>
      <c r="F29" s="98"/>
      <c r="G29" s="98"/>
      <c r="H29" s="98"/>
    </row>
    <row r="30">
      <c r="D30" s="98"/>
      <c r="E30" s="98"/>
      <c r="F30" s="98"/>
      <c r="G30" s="98"/>
      <c r="H30" s="98"/>
    </row>
    <row r="31">
      <c r="D31" s="98"/>
      <c r="E31" s="98"/>
      <c r="F31" s="98"/>
      <c r="G31" s="98"/>
      <c r="H31" s="98"/>
    </row>
    <row r="32">
      <c r="D32" s="98"/>
      <c r="E32" s="98"/>
      <c r="F32" s="98"/>
      <c r="G32" s="98"/>
      <c r="H32" s="98"/>
    </row>
    <row r="33">
      <c r="D33" s="98"/>
      <c r="E33" s="98"/>
      <c r="F33" s="98"/>
      <c r="G33" s="98"/>
      <c r="H33" s="98"/>
    </row>
    <row r="34">
      <c r="D34" s="98"/>
      <c r="E34" s="98"/>
      <c r="F34" s="98"/>
      <c r="G34" s="98"/>
      <c r="H34" s="98"/>
    </row>
    <row r="35">
      <c r="D35" s="98"/>
      <c r="E35" s="98"/>
      <c r="F35" s="98"/>
      <c r="G35" s="98"/>
      <c r="H35" s="98"/>
    </row>
    <row r="36">
      <c r="D36" s="98"/>
      <c r="E36" s="98"/>
      <c r="F36" s="98"/>
      <c r="G36" s="98"/>
      <c r="H36" s="98"/>
    </row>
    <row r="37">
      <c r="D37" s="98"/>
      <c r="E37" s="98"/>
      <c r="F37" s="98"/>
      <c r="G37" s="98"/>
      <c r="H37" s="98"/>
    </row>
    <row r="38">
      <c r="D38" s="98"/>
      <c r="E38" s="98"/>
      <c r="F38" s="98"/>
      <c r="G38" s="98"/>
      <c r="H38" s="98"/>
    </row>
    <row r="39">
      <c r="D39" s="98"/>
      <c r="E39" s="98"/>
      <c r="F39" s="98"/>
      <c r="G39" s="98"/>
      <c r="H39" s="98"/>
    </row>
    <row r="40">
      <c r="D40" s="98"/>
      <c r="E40" s="98"/>
      <c r="F40" s="98"/>
      <c r="G40" s="98"/>
      <c r="H40" s="98"/>
    </row>
    <row r="41">
      <c r="D41" s="98"/>
      <c r="E41" s="98"/>
      <c r="F41" s="98"/>
      <c r="G41" s="98"/>
      <c r="H41" s="98"/>
    </row>
    <row r="42">
      <c r="D42" s="98"/>
      <c r="E42" s="98"/>
      <c r="F42" s="98"/>
      <c r="G42" s="98"/>
      <c r="H42" s="98"/>
    </row>
    <row r="43">
      <c r="D43" s="98"/>
      <c r="E43" s="98"/>
      <c r="F43" s="98"/>
      <c r="G43" s="98"/>
      <c r="H43" s="98"/>
    </row>
    <row r="44">
      <c r="D44" s="98"/>
      <c r="E44" s="98"/>
      <c r="F44" s="98"/>
      <c r="G44" s="98"/>
      <c r="H44" s="98"/>
    </row>
    <row r="45">
      <c r="D45" s="98"/>
      <c r="E45" s="98"/>
      <c r="F45" s="98"/>
      <c r="G45" s="98"/>
      <c r="H45" s="98"/>
    </row>
    <row r="46">
      <c r="D46" s="98"/>
      <c r="E46" s="98"/>
      <c r="F46" s="98"/>
      <c r="G46" s="98"/>
      <c r="H46" s="98"/>
    </row>
    <row r="47">
      <c r="D47" s="98"/>
      <c r="E47" s="98"/>
      <c r="F47" s="98"/>
      <c r="G47" s="98"/>
      <c r="H47" s="98"/>
    </row>
    <row r="48">
      <c r="D48" s="98"/>
      <c r="E48" s="98"/>
      <c r="F48" s="98"/>
      <c r="G48" s="98"/>
      <c r="H48" s="98"/>
    </row>
    <row r="49">
      <c r="D49" s="98"/>
      <c r="E49" s="98"/>
      <c r="F49" s="98"/>
      <c r="G49" s="98"/>
      <c r="H49" s="98"/>
    </row>
    <row r="50">
      <c r="D50" s="98"/>
      <c r="E50" s="98"/>
      <c r="F50" s="98"/>
      <c r="G50" s="98"/>
      <c r="H50" s="98"/>
    </row>
    <row r="51">
      <c r="D51" s="98"/>
      <c r="E51" s="98"/>
      <c r="F51" s="98"/>
      <c r="G51" s="98"/>
      <c r="H51" s="98"/>
    </row>
    <row r="52">
      <c r="D52" s="98"/>
      <c r="E52" s="98"/>
      <c r="F52" s="98"/>
      <c r="G52" s="98"/>
      <c r="H52" s="98"/>
    </row>
    <row r="53">
      <c r="D53" s="98"/>
      <c r="E53" s="98"/>
      <c r="F53" s="98"/>
      <c r="G53" s="98"/>
      <c r="H53" s="98"/>
    </row>
    <row r="54">
      <c r="D54" s="98"/>
      <c r="E54" s="98"/>
      <c r="F54" s="98"/>
      <c r="G54" s="98"/>
      <c r="H54" s="98"/>
    </row>
    <row r="55">
      <c r="D55" s="98"/>
      <c r="E55" s="98"/>
      <c r="F55" s="98"/>
      <c r="G55" s="98"/>
      <c r="H55" s="98"/>
    </row>
    <row r="56">
      <c r="D56" s="98"/>
      <c r="E56" s="98"/>
      <c r="F56" s="98"/>
      <c r="G56" s="98"/>
      <c r="H56" s="98"/>
    </row>
    <row r="57">
      <c r="D57" s="98"/>
      <c r="E57" s="98"/>
      <c r="F57" s="98"/>
      <c r="G57" s="98"/>
      <c r="H57" s="98"/>
    </row>
    <row r="58">
      <c r="D58" s="98"/>
      <c r="E58" s="98"/>
      <c r="F58" s="98"/>
      <c r="G58" s="98"/>
      <c r="H58" s="98"/>
    </row>
    <row r="59">
      <c r="D59" s="98"/>
      <c r="E59" s="98"/>
      <c r="F59" s="98"/>
      <c r="G59" s="98"/>
      <c r="H59" s="98"/>
    </row>
    <row r="60">
      <c r="D60" s="98"/>
      <c r="E60" s="98"/>
      <c r="F60" s="98"/>
      <c r="G60" s="98"/>
      <c r="H60" s="98"/>
    </row>
    <row r="61">
      <c r="D61" s="98"/>
      <c r="E61" s="98"/>
      <c r="F61" s="98"/>
      <c r="G61" s="98"/>
      <c r="H61" s="98"/>
    </row>
    <row r="62">
      <c r="D62" s="98"/>
      <c r="E62" s="98"/>
      <c r="F62" s="98"/>
      <c r="G62" s="98"/>
      <c r="H62" s="98"/>
    </row>
    <row r="63">
      <c r="D63" s="98"/>
      <c r="E63" s="98"/>
      <c r="F63" s="98"/>
      <c r="G63" s="98"/>
      <c r="H63" s="98"/>
    </row>
    <row r="64">
      <c r="D64" s="98"/>
      <c r="E64" s="98"/>
      <c r="F64" s="98"/>
      <c r="G64" s="98"/>
      <c r="H64" s="98"/>
    </row>
    <row r="65">
      <c r="D65" s="98"/>
      <c r="E65" s="98"/>
      <c r="F65" s="98"/>
      <c r="G65" s="98"/>
      <c r="H65" s="98"/>
    </row>
    <row r="66">
      <c r="D66" s="98"/>
      <c r="E66" s="98"/>
      <c r="F66" s="98"/>
      <c r="G66" s="98"/>
      <c r="H66" s="98"/>
    </row>
    <row r="67">
      <c r="D67" s="98"/>
      <c r="E67" s="98"/>
      <c r="F67" s="98"/>
      <c r="G67" s="98"/>
      <c r="H67" s="98"/>
    </row>
    <row r="68">
      <c r="D68" s="98"/>
      <c r="E68" s="98"/>
      <c r="F68" s="98"/>
      <c r="G68" s="98"/>
      <c r="H68" s="98"/>
    </row>
    <row r="69">
      <c r="D69" s="98"/>
      <c r="E69" s="98"/>
      <c r="F69" s="98"/>
      <c r="G69" s="98"/>
      <c r="H69" s="98"/>
    </row>
    <row r="70">
      <c r="D70" s="98"/>
      <c r="E70" s="98"/>
      <c r="F70" s="98"/>
      <c r="G70" s="98"/>
      <c r="H70" s="98"/>
    </row>
    <row r="71">
      <c r="D71" s="98"/>
      <c r="E71" s="98"/>
      <c r="F71" s="98"/>
      <c r="G71" s="98"/>
      <c r="H71" s="98"/>
    </row>
    <row r="72">
      <c r="D72" s="98"/>
      <c r="E72" s="98"/>
      <c r="F72" s="98"/>
      <c r="G72" s="98"/>
      <c r="H72" s="98"/>
    </row>
    <row r="73">
      <c r="D73" s="98"/>
      <c r="E73" s="98"/>
      <c r="F73" s="98"/>
      <c r="G73" s="98"/>
      <c r="H73" s="98"/>
    </row>
    <row r="74">
      <c r="D74" s="98"/>
      <c r="E74" s="98"/>
      <c r="F74" s="98"/>
      <c r="G74" s="98"/>
      <c r="H74" s="98"/>
    </row>
    <row r="75">
      <c r="D75" s="98"/>
      <c r="E75" s="98"/>
      <c r="F75" s="98"/>
      <c r="G75" s="98"/>
      <c r="H75" s="98"/>
    </row>
    <row r="76">
      <c r="D76" s="98"/>
      <c r="E76" s="98"/>
      <c r="F76" s="98"/>
      <c r="G76" s="98"/>
      <c r="H76" s="98"/>
    </row>
    <row r="77">
      <c r="D77" s="98"/>
      <c r="E77" s="98"/>
      <c r="F77" s="98"/>
      <c r="G77" s="98"/>
      <c r="H77" s="98"/>
    </row>
    <row r="78">
      <c r="D78" s="98"/>
      <c r="E78" s="98"/>
      <c r="F78" s="98"/>
      <c r="G78" s="98"/>
      <c r="H78" s="98"/>
    </row>
    <row r="79">
      <c r="D79" s="98"/>
      <c r="E79" s="98"/>
      <c r="F79" s="98"/>
      <c r="G79" s="98"/>
      <c r="H79" s="98"/>
    </row>
    <row r="80">
      <c r="D80" s="98"/>
      <c r="E80" s="98"/>
      <c r="F80" s="98"/>
      <c r="G80" s="98"/>
      <c r="H80" s="98"/>
    </row>
    <row r="81">
      <c r="D81" s="98"/>
      <c r="E81" s="98"/>
      <c r="F81" s="98"/>
      <c r="G81" s="98"/>
      <c r="H81" s="98"/>
    </row>
    <row r="82">
      <c r="D82" s="98"/>
      <c r="E82" s="98"/>
      <c r="F82" s="98"/>
      <c r="G82" s="98"/>
      <c r="H82" s="98"/>
    </row>
    <row r="83">
      <c r="D83" s="98"/>
      <c r="E83" s="98"/>
      <c r="F83" s="98"/>
      <c r="G83" s="98"/>
      <c r="H83" s="98"/>
    </row>
    <row r="84">
      <c r="D84" s="98"/>
      <c r="E84" s="98"/>
      <c r="F84" s="98"/>
      <c r="G84" s="98"/>
      <c r="H84" s="98"/>
    </row>
    <row r="85">
      <c r="D85" s="98"/>
      <c r="E85" s="98"/>
      <c r="F85" s="98"/>
      <c r="G85" s="98"/>
      <c r="H85" s="98"/>
    </row>
    <row r="86">
      <c r="D86" s="98"/>
      <c r="E86" s="98"/>
      <c r="F86" s="98"/>
      <c r="G86" s="98"/>
      <c r="H86" s="98"/>
    </row>
    <row r="87">
      <c r="D87" s="98"/>
      <c r="E87" s="98"/>
      <c r="F87" s="98"/>
      <c r="G87" s="98"/>
      <c r="H87" s="98"/>
    </row>
    <row r="88">
      <c r="D88" s="98"/>
      <c r="E88" s="98"/>
      <c r="F88" s="98"/>
      <c r="G88" s="98"/>
      <c r="H88" s="98"/>
    </row>
    <row r="89">
      <c r="D89" s="98"/>
      <c r="E89" s="98"/>
      <c r="F89" s="98"/>
      <c r="G89" s="98"/>
      <c r="H89" s="98"/>
    </row>
    <row r="90">
      <c r="D90" s="98"/>
      <c r="E90" s="98"/>
      <c r="F90" s="98"/>
      <c r="G90" s="98"/>
      <c r="H90" s="98"/>
    </row>
    <row r="91">
      <c r="D91" s="98"/>
      <c r="E91" s="98"/>
      <c r="F91" s="98"/>
      <c r="G91" s="98"/>
      <c r="H91" s="98"/>
    </row>
    <row r="92">
      <c r="D92" s="98"/>
      <c r="E92" s="98"/>
      <c r="F92" s="98"/>
      <c r="G92" s="98"/>
      <c r="H92" s="98"/>
    </row>
    <row r="93">
      <c r="D93" s="98"/>
      <c r="E93" s="98"/>
      <c r="F93" s="98"/>
      <c r="G93" s="98"/>
      <c r="H93" s="98"/>
    </row>
    <row r="94">
      <c r="D94" s="98"/>
      <c r="E94" s="98"/>
      <c r="F94" s="98"/>
      <c r="G94" s="98"/>
      <c r="H94" s="98"/>
    </row>
    <row r="95">
      <c r="D95" s="98"/>
      <c r="E95" s="98"/>
      <c r="F95" s="98"/>
      <c r="G95" s="98"/>
      <c r="H95" s="98"/>
    </row>
    <row r="96">
      <c r="D96" s="98"/>
      <c r="E96" s="98"/>
      <c r="F96" s="98"/>
      <c r="G96" s="98"/>
      <c r="H96" s="98"/>
    </row>
    <row r="97">
      <c r="D97" s="98"/>
      <c r="E97" s="98"/>
      <c r="F97" s="98"/>
      <c r="G97" s="98"/>
      <c r="H97" s="98"/>
    </row>
    <row r="98">
      <c r="D98" s="98"/>
      <c r="E98" s="98"/>
      <c r="F98" s="98"/>
      <c r="G98" s="98"/>
      <c r="H98" s="98"/>
    </row>
    <row r="99">
      <c r="D99" s="98"/>
      <c r="E99" s="98"/>
      <c r="F99" s="98"/>
      <c r="G99" s="98"/>
      <c r="H99" s="98"/>
    </row>
    <row r="100">
      <c r="D100" s="98"/>
      <c r="E100" s="98"/>
      <c r="F100" s="98"/>
      <c r="G100" s="98"/>
      <c r="H100" s="98"/>
    </row>
    <row r="101">
      <c r="D101" s="98"/>
      <c r="E101" s="98"/>
      <c r="F101" s="98"/>
      <c r="G101" s="98"/>
      <c r="H101" s="98"/>
    </row>
    <row r="102">
      <c r="D102" s="98"/>
      <c r="E102" s="98"/>
      <c r="F102" s="98"/>
      <c r="G102" s="98"/>
      <c r="H102" s="98"/>
    </row>
    <row r="103">
      <c r="D103" s="98"/>
      <c r="E103" s="98"/>
      <c r="F103" s="98"/>
      <c r="G103" s="98"/>
      <c r="H103" s="98"/>
    </row>
    <row r="104">
      <c r="D104" s="98"/>
      <c r="E104" s="98"/>
      <c r="F104" s="98"/>
      <c r="G104" s="98"/>
      <c r="H104" s="98"/>
    </row>
    <row r="105">
      <c r="D105" s="98"/>
      <c r="E105" s="98"/>
      <c r="F105" s="98"/>
      <c r="G105" s="98"/>
      <c r="H105" s="98"/>
    </row>
    <row r="106">
      <c r="D106" s="98"/>
      <c r="E106" s="98"/>
      <c r="F106" s="98"/>
      <c r="G106" s="98"/>
      <c r="H106" s="98"/>
    </row>
    <row r="107">
      <c r="D107" s="98"/>
      <c r="E107" s="98"/>
      <c r="F107" s="98"/>
      <c r="G107" s="98"/>
      <c r="H107" s="98"/>
    </row>
    <row r="108">
      <c r="D108" s="98"/>
      <c r="E108" s="98"/>
      <c r="F108" s="98"/>
      <c r="G108" s="98"/>
      <c r="H108" s="98"/>
    </row>
    <row r="109">
      <c r="D109" s="98"/>
      <c r="E109" s="98"/>
      <c r="F109" s="98"/>
      <c r="G109" s="98"/>
      <c r="H109" s="98"/>
    </row>
    <row r="110">
      <c r="D110" s="98"/>
      <c r="E110" s="98"/>
      <c r="F110" s="98"/>
      <c r="G110" s="98"/>
      <c r="H110" s="98"/>
    </row>
    <row r="111">
      <c r="D111" s="98"/>
      <c r="E111" s="98"/>
      <c r="F111" s="98"/>
      <c r="G111" s="98"/>
      <c r="H111" s="98"/>
    </row>
    <row r="112">
      <c r="D112" s="98"/>
      <c r="E112" s="98"/>
      <c r="F112" s="98"/>
      <c r="G112" s="98"/>
      <c r="H112" s="98"/>
    </row>
    <row r="113">
      <c r="D113" s="98"/>
      <c r="E113" s="98"/>
      <c r="F113" s="98"/>
      <c r="G113" s="98"/>
      <c r="H113" s="98"/>
    </row>
    <row r="114">
      <c r="D114" s="98"/>
      <c r="E114" s="98"/>
      <c r="F114" s="98"/>
      <c r="G114" s="98"/>
      <c r="H114" s="98"/>
    </row>
    <row r="115">
      <c r="D115" s="98"/>
      <c r="E115" s="98"/>
      <c r="F115" s="98"/>
      <c r="G115" s="98"/>
      <c r="H115" s="98"/>
    </row>
    <row r="116">
      <c r="D116" s="98"/>
      <c r="E116" s="98"/>
      <c r="F116" s="98"/>
      <c r="G116" s="98"/>
      <c r="H116" s="98"/>
    </row>
    <row r="117">
      <c r="D117" s="98"/>
      <c r="E117" s="98"/>
      <c r="F117" s="98"/>
      <c r="G117" s="98"/>
      <c r="H117" s="98"/>
    </row>
    <row r="118">
      <c r="D118" s="98"/>
      <c r="E118" s="98"/>
      <c r="F118" s="98"/>
      <c r="G118" s="98"/>
      <c r="H118" s="98"/>
    </row>
    <row r="119">
      <c r="D119" s="98"/>
      <c r="E119" s="98"/>
      <c r="F119" s="98"/>
      <c r="G119" s="98"/>
      <c r="H119" s="98"/>
    </row>
    <row r="120">
      <c r="D120" s="98"/>
      <c r="E120" s="98"/>
      <c r="F120" s="98"/>
      <c r="G120" s="98"/>
      <c r="H120" s="98"/>
    </row>
    <row r="121">
      <c r="D121" s="98"/>
      <c r="E121" s="98"/>
      <c r="F121" s="98"/>
      <c r="G121" s="98"/>
      <c r="H121" s="98"/>
    </row>
    <row r="122">
      <c r="D122" s="98"/>
      <c r="E122" s="98"/>
      <c r="F122" s="98"/>
      <c r="G122" s="98"/>
      <c r="H122" s="98"/>
    </row>
    <row r="123">
      <c r="D123" s="98"/>
      <c r="E123" s="98"/>
      <c r="F123" s="98"/>
      <c r="G123" s="98"/>
      <c r="H123" s="98"/>
    </row>
    <row r="124">
      <c r="D124" s="98"/>
      <c r="E124" s="98"/>
      <c r="F124" s="98"/>
      <c r="G124" s="98"/>
      <c r="H124" s="98"/>
    </row>
    <row r="125">
      <c r="D125" s="98"/>
      <c r="E125" s="98"/>
      <c r="F125" s="98"/>
      <c r="G125" s="98"/>
      <c r="H125" s="98"/>
    </row>
    <row r="126">
      <c r="D126" s="98"/>
      <c r="E126" s="98"/>
      <c r="F126" s="98"/>
      <c r="G126" s="98"/>
      <c r="H126" s="98"/>
    </row>
    <row r="127">
      <c r="D127" s="98"/>
      <c r="E127" s="98"/>
      <c r="F127" s="98"/>
      <c r="G127" s="98"/>
      <c r="H127" s="98"/>
    </row>
    <row r="128">
      <c r="D128" s="98"/>
      <c r="E128" s="98"/>
      <c r="F128" s="98"/>
      <c r="G128" s="98"/>
      <c r="H128" s="98"/>
    </row>
    <row r="129">
      <c r="D129" s="98"/>
      <c r="E129" s="98"/>
      <c r="F129" s="98"/>
      <c r="G129" s="98"/>
      <c r="H129" s="98"/>
    </row>
    <row r="130">
      <c r="D130" s="98"/>
      <c r="E130" s="98"/>
      <c r="F130" s="98"/>
      <c r="G130" s="98"/>
      <c r="H130" s="98"/>
    </row>
    <row r="131">
      <c r="D131" s="98"/>
      <c r="E131" s="98"/>
      <c r="F131" s="98"/>
      <c r="G131" s="98"/>
      <c r="H131" s="98"/>
    </row>
    <row r="132">
      <c r="D132" s="98"/>
      <c r="E132" s="98"/>
      <c r="F132" s="98"/>
      <c r="G132" s="98"/>
      <c r="H132" s="98"/>
    </row>
    <row r="133">
      <c r="D133" s="98"/>
      <c r="E133" s="98"/>
      <c r="F133" s="98"/>
      <c r="G133" s="98"/>
      <c r="H133" s="98"/>
    </row>
    <row r="134">
      <c r="D134" s="98"/>
      <c r="E134" s="98"/>
      <c r="F134" s="98"/>
      <c r="G134" s="98"/>
      <c r="H134" s="98"/>
    </row>
    <row r="135">
      <c r="D135" s="98"/>
      <c r="E135" s="98"/>
      <c r="F135" s="98"/>
      <c r="G135" s="98"/>
      <c r="H135" s="98"/>
    </row>
    <row r="136">
      <c r="D136" s="98"/>
      <c r="E136" s="98"/>
      <c r="F136" s="98"/>
      <c r="G136" s="98"/>
      <c r="H136" s="98"/>
    </row>
    <row r="137">
      <c r="D137" s="98"/>
      <c r="E137" s="98"/>
      <c r="F137" s="98"/>
      <c r="G137" s="98"/>
      <c r="H137" s="98"/>
    </row>
    <row r="138">
      <c r="D138" s="98"/>
      <c r="E138" s="98"/>
      <c r="F138" s="98"/>
      <c r="G138" s="98"/>
      <c r="H138" s="98"/>
    </row>
    <row r="139">
      <c r="D139" s="98"/>
      <c r="E139" s="98"/>
      <c r="F139" s="98"/>
      <c r="G139" s="98"/>
      <c r="H139" s="98"/>
    </row>
    <row r="140">
      <c r="D140" s="98"/>
      <c r="E140" s="98"/>
      <c r="F140" s="98"/>
      <c r="G140" s="98"/>
      <c r="H140" s="98"/>
    </row>
    <row r="141">
      <c r="D141" s="98"/>
      <c r="E141" s="98"/>
      <c r="F141" s="98"/>
      <c r="G141" s="98"/>
      <c r="H141" s="98"/>
    </row>
    <row r="142">
      <c r="D142" s="98"/>
      <c r="E142" s="98"/>
      <c r="F142" s="98"/>
      <c r="G142" s="98"/>
      <c r="H142" s="98"/>
    </row>
    <row r="143">
      <c r="D143" s="98"/>
      <c r="E143" s="98"/>
      <c r="F143" s="98"/>
      <c r="G143" s="98"/>
      <c r="H143" s="98"/>
    </row>
    <row r="144">
      <c r="D144" s="98"/>
      <c r="E144" s="98"/>
      <c r="F144" s="98"/>
      <c r="G144" s="98"/>
      <c r="H144" s="98"/>
    </row>
    <row r="145">
      <c r="D145" s="98"/>
      <c r="E145" s="98"/>
      <c r="F145" s="98"/>
      <c r="G145" s="98"/>
      <c r="H145" s="98"/>
    </row>
    <row r="146">
      <c r="D146" s="98"/>
      <c r="E146" s="98"/>
      <c r="F146" s="98"/>
      <c r="G146" s="98"/>
      <c r="H146" s="98"/>
    </row>
    <row r="147">
      <c r="D147" s="98"/>
      <c r="E147" s="98"/>
      <c r="F147" s="98"/>
      <c r="G147" s="98"/>
      <c r="H147" s="98"/>
    </row>
    <row r="148">
      <c r="D148" s="98"/>
      <c r="E148" s="98"/>
      <c r="F148" s="98"/>
      <c r="G148" s="98"/>
      <c r="H148" s="98"/>
    </row>
    <row r="149">
      <c r="D149" s="98"/>
      <c r="E149" s="98"/>
      <c r="F149" s="98"/>
      <c r="G149" s="98"/>
      <c r="H149" s="98"/>
    </row>
    <row r="150">
      <c r="D150" s="98"/>
      <c r="E150" s="98"/>
      <c r="F150" s="98"/>
      <c r="G150" s="98"/>
      <c r="H150" s="98"/>
    </row>
    <row r="151">
      <c r="D151" s="98"/>
      <c r="E151" s="98"/>
      <c r="F151" s="98"/>
      <c r="G151" s="98"/>
      <c r="H151" s="98"/>
    </row>
    <row r="152">
      <c r="D152" s="98"/>
      <c r="E152" s="98"/>
      <c r="F152" s="98"/>
      <c r="G152" s="98"/>
      <c r="H152" s="98"/>
    </row>
    <row r="153">
      <c r="D153" s="98"/>
      <c r="E153" s="98"/>
      <c r="F153" s="98"/>
      <c r="G153" s="98"/>
      <c r="H153" s="98"/>
    </row>
    <row r="154">
      <c r="D154" s="98"/>
      <c r="E154" s="98"/>
      <c r="F154" s="98"/>
      <c r="G154" s="98"/>
      <c r="H154" s="98"/>
    </row>
    <row r="155">
      <c r="D155" s="98"/>
      <c r="E155" s="98"/>
      <c r="F155" s="98"/>
      <c r="G155" s="98"/>
      <c r="H155" s="98"/>
    </row>
    <row r="156">
      <c r="D156" s="98"/>
      <c r="E156" s="98"/>
      <c r="F156" s="98"/>
      <c r="G156" s="98"/>
      <c r="H156" s="98"/>
    </row>
    <row r="157">
      <c r="D157" s="98"/>
      <c r="E157" s="98"/>
      <c r="F157" s="98"/>
      <c r="G157" s="98"/>
      <c r="H157" s="98"/>
    </row>
    <row r="158">
      <c r="D158" s="98"/>
      <c r="E158" s="98"/>
      <c r="F158" s="98"/>
      <c r="G158" s="98"/>
      <c r="H158" s="98"/>
    </row>
    <row r="159">
      <c r="D159" s="98"/>
      <c r="E159" s="98"/>
      <c r="F159" s="98"/>
      <c r="G159" s="98"/>
      <c r="H159" s="98"/>
    </row>
    <row r="160">
      <c r="D160" s="98"/>
      <c r="E160" s="98"/>
      <c r="F160" s="98"/>
      <c r="G160" s="98"/>
      <c r="H160" s="98"/>
    </row>
    <row r="161">
      <c r="D161" s="98"/>
      <c r="E161" s="98"/>
      <c r="F161" s="98"/>
      <c r="G161" s="98"/>
      <c r="H161" s="98"/>
    </row>
    <row r="162">
      <c r="D162" s="98"/>
      <c r="E162" s="98"/>
      <c r="F162" s="98"/>
      <c r="G162" s="98"/>
      <c r="H162" s="98"/>
    </row>
    <row r="163">
      <c r="D163" s="98"/>
      <c r="E163" s="98"/>
      <c r="F163" s="98"/>
      <c r="G163" s="98"/>
      <c r="H163" s="98"/>
    </row>
    <row r="164">
      <c r="D164" s="98"/>
      <c r="E164" s="98"/>
      <c r="F164" s="98"/>
      <c r="G164" s="98"/>
      <c r="H164" s="98"/>
    </row>
    <row r="165">
      <c r="D165" s="98"/>
      <c r="E165" s="98"/>
      <c r="F165" s="98"/>
      <c r="G165" s="98"/>
      <c r="H165" s="98"/>
    </row>
    <row r="166">
      <c r="D166" s="98"/>
      <c r="E166" s="98"/>
      <c r="F166" s="98"/>
      <c r="G166" s="98"/>
      <c r="H166" s="98"/>
    </row>
    <row r="167">
      <c r="D167" s="98"/>
      <c r="E167" s="98"/>
      <c r="F167" s="98"/>
      <c r="G167" s="98"/>
      <c r="H167" s="98"/>
    </row>
    <row r="168">
      <c r="D168" s="98"/>
      <c r="E168" s="98"/>
      <c r="F168" s="98"/>
      <c r="G168" s="98"/>
      <c r="H168" s="98"/>
    </row>
    <row r="169">
      <c r="D169" s="98"/>
      <c r="E169" s="98"/>
      <c r="F169" s="98"/>
      <c r="G169" s="98"/>
      <c r="H169" s="98"/>
    </row>
    <row r="170">
      <c r="D170" s="98"/>
      <c r="E170" s="98"/>
      <c r="F170" s="98"/>
      <c r="G170" s="98"/>
      <c r="H170" s="98"/>
    </row>
    <row r="171">
      <c r="D171" s="98"/>
      <c r="E171" s="98"/>
      <c r="F171" s="98"/>
      <c r="G171" s="98"/>
      <c r="H171" s="98"/>
    </row>
    <row r="172">
      <c r="D172" s="98"/>
      <c r="E172" s="98"/>
      <c r="F172" s="98"/>
      <c r="G172" s="98"/>
      <c r="H172" s="98"/>
    </row>
    <row r="173">
      <c r="D173" s="98"/>
      <c r="E173" s="98"/>
      <c r="F173" s="98"/>
      <c r="G173" s="98"/>
      <c r="H173" s="98"/>
    </row>
    <row r="174">
      <c r="D174" s="98"/>
      <c r="E174" s="98"/>
      <c r="F174" s="98"/>
      <c r="G174" s="98"/>
      <c r="H174" s="98"/>
    </row>
    <row r="175">
      <c r="D175" s="98"/>
      <c r="E175" s="98"/>
      <c r="F175" s="98"/>
      <c r="G175" s="98"/>
      <c r="H175" s="98"/>
    </row>
    <row r="176">
      <c r="D176" s="98"/>
      <c r="E176" s="98"/>
      <c r="F176" s="98"/>
      <c r="G176" s="98"/>
      <c r="H176" s="98"/>
    </row>
    <row r="177">
      <c r="D177" s="98"/>
      <c r="E177" s="98"/>
      <c r="F177" s="98"/>
      <c r="G177" s="98"/>
      <c r="H177" s="98"/>
    </row>
    <row r="178">
      <c r="D178" s="98"/>
      <c r="E178" s="98"/>
      <c r="F178" s="98"/>
      <c r="G178" s="98"/>
      <c r="H178" s="98"/>
    </row>
    <row r="179">
      <c r="D179" s="98"/>
      <c r="E179" s="98"/>
      <c r="F179" s="98"/>
      <c r="G179" s="98"/>
      <c r="H179" s="98"/>
    </row>
    <row r="180">
      <c r="D180" s="98"/>
      <c r="E180" s="98"/>
      <c r="F180" s="98"/>
      <c r="G180" s="98"/>
      <c r="H180" s="98"/>
    </row>
    <row r="181">
      <c r="D181" s="98"/>
      <c r="E181" s="98"/>
      <c r="F181" s="98"/>
      <c r="G181" s="98"/>
      <c r="H181" s="98"/>
    </row>
    <row r="182">
      <c r="D182" s="98"/>
      <c r="E182" s="98"/>
      <c r="F182" s="98"/>
      <c r="G182" s="98"/>
      <c r="H182" s="98"/>
    </row>
    <row r="183">
      <c r="D183" s="98"/>
      <c r="E183" s="98"/>
      <c r="F183" s="98"/>
      <c r="G183" s="98"/>
      <c r="H183" s="98"/>
    </row>
    <row r="184">
      <c r="D184" s="98"/>
      <c r="E184" s="98"/>
      <c r="F184" s="98"/>
      <c r="G184" s="98"/>
      <c r="H184" s="98"/>
    </row>
    <row r="185">
      <c r="D185" s="98"/>
      <c r="E185" s="98"/>
      <c r="F185" s="98"/>
      <c r="G185" s="98"/>
      <c r="H185" s="98"/>
    </row>
    <row r="186">
      <c r="D186" s="98"/>
      <c r="E186" s="98"/>
      <c r="F186" s="98"/>
      <c r="G186" s="98"/>
      <c r="H186" s="98"/>
    </row>
    <row r="187">
      <c r="D187" s="98"/>
      <c r="E187" s="98"/>
      <c r="F187" s="98"/>
      <c r="G187" s="98"/>
      <c r="H187" s="98"/>
    </row>
    <row r="188">
      <c r="D188" s="98"/>
      <c r="E188" s="98"/>
      <c r="F188" s="98"/>
      <c r="G188" s="98"/>
      <c r="H188" s="98"/>
    </row>
    <row r="189">
      <c r="D189" s="98"/>
      <c r="E189" s="98"/>
      <c r="F189" s="98"/>
      <c r="G189" s="98"/>
      <c r="H189" s="98"/>
    </row>
    <row r="190">
      <c r="D190" s="98"/>
      <c r="E190" s="98"/>
      <c r="F190" s="98"/>
      <c r="G190" s="98"/>
      <c r="H190" s="98"/>
    </row>
    <row r="191">
      <c r="D191" s="98"/>
      <c r="E191" s="98"/>
      <c r="F191" s="98"/>
      <c r="G191" s="98"/>
      <c r="H191" s="98"/>
    </row>
    <row r="192">
      <c r="D192" s="98"/>
      <c r="E192" s="98"/>
      <c r="F192" s="98"/>
      <c r="G192" s="98"/>
      <c r="H192" s="98"/>
    </row>
    <row r="193">
      <c r="D193" s="98"/>
      <c r="E193" s="98"/>
      <c r="F193" s="98"/>
      <c r="G193" s="98"/>
      <c r="H193" s="98"/>
    </row>
    <row r="194">
      <c r="D194" s="98"/>
      <c r="E194" s="98"/>
      <c r="F194" s="98"/>
      <c r="G194" s="98"/>
      <c r="H194" s="98"/>
    </row>
    <row r="195">
      <c r="D195" s="98"/>
      <c r="E195" s="98"/>
      <c r="F195" s="98"/>
      <c r="G195" s="98"/>
      <c r="H195" s="98"/>
    </row>
    <row r="196">
      <c r="D196" s="98"/>
      <c r="E196" s="98"/>
      <c r="F196" s="98"/>
      <c r="G196" s="98"/>
      <c r="H196" s="98"/>
    </row>
    <row r="197">
      <c r="D197" s="98"/>
      <c r="E197" s="98"/>
      <c r="F197" s="98"/>
      <c r="G197" s="98"/>
      <c r="H197" s="98"/>
    </row>
    <row r="198">
      <c r="D198" s="98"/>
      <c r="E198" s="98"/>
      <c r="F198" s="98"/>
      <c r="G198" s="98"/>
      <c r="H198" s="98"/>
    </row>
    <row r="199">
      <c r="D199" s="98"/>
      <c r="E199" s="98"/>
      <c r="F199" s="98"/>
      <c r="G199" s="98"/>
      <c r="H199" s="98"/>
    </row>
    <row r="200">
      <c r="D200" s="98"/>
      <c r="E200" s="98"/>
      <c r="F200" s="98"/>
      <c r="G200" s="98"/>
      <c r="H200" s="98"/>
    </row>
    <row r="201">
      <c r="D201" s="98"/>
      <c r="E201" s="98"/>
      <c r="F201" s="98"/>
      <c r="G201" s="98"/>
      <c r="H201" s="98"/>
    </row>
    <row r="202">
      <c r="D202" s="98"/>
      <c r="E202" s="98"/>
      <c r="F202" s="98"/>
      <c r="G202" s="98"/>
      <c r="H202" s="98"/>
    </row>
    <row r="203">
      <c r="D203" s="98"/>
      <c r="E203" s="98"/>
      <c r="F203" s="98"/>
      <c r="G203" s="98"/>
      <c r="H203" s="98"/>
    </row>
    <row r="204">
      <c r="D204" s="98"/>
      <c r="E204" s="98"/>
      <c r="F204" s="98"/>
      <c r="G204" s="98"/>
      <c r="H204" s="98"/>
    </row>
    <row r="205">
      <c r="D205" s="98"/>
      <c r="E205" s="98"/>
      <c r="F205" s="98"/>
      <c r="G205" s="98"/>
      <c r="H205" s="98"/>
    </row>
    <row r="206">
      <c r="D206" s="98"/>
      <c r="E206" s="98"/>
      <c r="F206" s="98"/>
      <c r="G206" s="98"/>
      <c r="H206" s="98"/>
    </row>
    <row r="207">
      <c r="D207" s="98"/>
      <c r="E207" s="98"/>
      <c r="F207" s="98"/>
      <c r="G207" s="98"/>
      <c r="H207" s="98"/>
    </row>
    <row r="208">
      <c r="D208" s="98"/>
      <c r="E208" s="98"/>
      <c r="F208" s="98"/>
      <c r="G208" s="98"/>
      <c r="H208" s="98"/>
    </row>
    <row r="209">
      <c r="D209" s="98"/>
      <c r="E209" s="98"/>
      <c r="F209" s="98"/>
      <c r="G209" s="98"/>
      <c r="H209" s="98"/>
    </row>
    <row r="210">
      <c r="D210" s="98"/>
      <c r="E210" s="98"/>
      <c r="F210" s="98"/>
      <c r="G210" s="98"/>
      <c r="H210" s="98"/>
    </row>
    <row r="211">
      <c r="D211" s="98"/>
      <c r="E211" s="98"/>
      <c r="F211" s="98"/>
      <c r="G211" s="98"/>
      <c r="H211" s="98"/>
    </row>
    <row r="212">
      <c r="D212" s="98"/>
      <c r="E212" s="98"/>
      <c r="F212" s="98"/>
      <c r="G212" s="98"/>
      <c r="H212" s="98"/>
    </row>
    <row r="213">
      <c r="D213" s="98"/>
      <c r="E213" s="98"/>
      <c r="F213" s="98"/>
      <c r="G213" s="98"/>
      <c r="H213" s="98"/>
    </row>
    <row r="214">
      <c r="D214" s="98"/>
      <c r="E214" s="98"/>
      <c r="F214" s="98"/>
      <c r="G214" s="98"/>
      <c r="H214" s="98"/>
    </row>
    <row r="215">
      <c r="D215" s="98"/>
      <c r="E215" s="98"/>
      <c r="F215" s="98"/>
      <c r="G215" s="98"/>
      <c r="H215" s="98"/>
    </row>
    <row r="216">
      <c r="D216" s="98"/>
      <c r="E216" s="98"/>
      <c r="F216" s="98"/>
      <c r="G216" s="98"/>
      <c r="H216" s="98"/>
    </row>
    <row r="217">
      <c r="D217" s="98"/>
      <c r="E217" s="98"/>
      <c r="F217" s="98"/>
      <c r="G217" s="98"/>
      <c r="H217" s="98"/>
    </row>
    <row r="218">
      <c r="D218" s="98"/>
      <c r="E218" s="98"/>
      <c r="F218" s="98"/>
      <c r="G218" s="98"/>
      <c r="H218" s="98"/>
    </row>
    <row r="219">
      <c r="D219" s="98"/>
      <c r="E219" s="98"/>
      <c r="F219" s="98"/>
      <c r="G219" s="98"/>
      <c r="H219" s="98"/>
    </row>
    <row r="220">
      <c r="D220" s="98"/>
      <c r="E220" s="98"/>
      <c r="F220" s="98"/>
      <c r="G220" s="98"/>
      <c r="H220" s="98"/>
    </row>
    <row r="221">
      <c r="D221" s="98"/>
      <c r="E221" s="98"/>
      <c r="F221" s="98"/>
      <c r="G221" s="98"/>
      <c r="H221" s="98"/>
    </row>
    <row r="222">
      <c r="D222" s="98"/>
      <c r="E222" s="98"/>
      <c r="F222" s="98"/>
      <c r="G222" s="98"/>
      <c r="H222" s="98"/>
    </row>
    <row r="223">
      <c r="D223" s="98"/>
      <c r="E223" s="98"/>
      <c r="F223" s="98"/>
      <c r="G223" s="98"/>
      <c r="H223" s="98"/>
    </row>
    <row r="224">
      <c r="D224" s="98"/>
      <c r="E224" s="98"/>
      <c r="F224" s="98"/>
      <c r="G224" s="98"/>
      <c r="H224" s="98"/>
    </row>
    <row r="225">
      <c r="D225" s="98"/>
      <c r="E225" s="98"/>
      <c r="F225" s="98"/>
      <c r="G225" s="98"/>
      <c r="H225" s="98"/>
    </row>
    <row r="226">
      <c r="D226" s="98"/>
      <c r="E226" s="98"/>
      <c r="F226" s="98"/>
      <c r="G226" s="98"/>
      <c r="H226" s="98"/>
    </row>
    <row r="227">
      <c r="D227" s="98"/>
      <c r="E227" s="98"/>
      <c r="F227" s="98"/>
      <c r="G227" s="98"/>
      <c r="H227" s="98"/>
    </row>
    <row r="228">
      <c r="D228" s="98"/>
      <c r="E228" s="98"/>
      <c r="F228" s="98"/>
      <c r="G228" s="98"/>
      <c r="H228" s="98"/>
    </row>
    <row r="229">
      <c r="D229" s="98"/>
      <c r="E229" s="98"/>
      <c r="F229" s="98"/>
      <c r="G229" s="98"/>
      <c r="H229" s="98"/>
    </row>
    <row r="230">
      <c r="D230" s="98"/>
      <c r="E230" s="98"/>
      <c r="F230" s="98"/>
      <c r="G230" s="98"/>
      <c r="H230" s="98"/>
    </row>
    <row r="231">
      <c r="D231" s="98"/>
      <c r="E231" s="98"/>
      <c r="F231" s="98"/>
      <c r="G231" s="98"/>
      <c r="H231" s="98"/>
    </row>
    <row r="232">
      <c r="D232" s="98"/>
      <c r="E232" s="98"/>
      <c r="F232" s="98"/>
      <c r="G232" s="98"/>
      <c r="H232" s="98"/>
    </row>
    <row r="233">
      <c r="D233" s="98"/>
      <c r="E233" s="98"/>
      <c r="F233" s="98"/>
      <c r="G233" s="98"/>
      <c r="H233" s="98"/>
    </row>
    <row r="234">
      <c r="D234" s="98"/>
      <c r="E234" s="98"/>
      <c r="F234" s="98"/>
      <c r="G234" s="98"/>
      <c r="H234" s="98"/>
    </row>
    <row r="235">
      <c r="D235" s="98"/>
      <c r="E235" s="98"/>
      <c r="F235" s="98"/>
      <c r="G235" s="98"/>
      <c r="H235" s="98"/>
    </row>
    <row r="236">
      <c r="D236" s="98"/>
      <c r="E236" s="98"/>
      <c r="F236" s="98"/>
      <c r="G236" s="98"/>
      <c r="H236" s="98"/>
    </row>
    <row r="237">
      <c r="D237" s="98"/>
      <c r="E237" s="98"/>
      <c r="F237" s="98"/>
      <c r="G237" s="98"/>
      <c r="H237" s="98"/>
    </row>
    <row r="238">
      <c r="D238" s="98"/>
      <c r="E238" s="98"/>
      <c r="F238" s="98"/>
      <c r="G238" s="98"/>
      <c r="H238" s="98"/>
    </row>
    <row r="239">
      <c r="D239" s="98"/>
      <c r="E239" s="98"/>
      <c r="F239" s="98"/>
      <c r="G239" s="98"/>
      <c r="H239" s="98"/>
    </row>
    <row r="240">
      <c r="D240" s="98"/>
      <c r="E240" s="98"/>
      <c r="F240" s="98"/>
      <c r="G240" s="98"/>
      <c r="H240" s="98"/>
    </row>
    <row r="241">
      <c r="D241" s="98"/>
      <c r="E241" s="98"/>
      <c r="F241" s="98"/>
      <c r="G241" s="98"/>
      <c r="H241" s="98"/>
    </row>
    <row r="242">
      <c r="D242" s="98"/>
      <c r="E242" s="98"/>
      <c r="F242" s="98"/>
      <c r="G242" s="98"/>
      <c r="H242" s="98"/>
    </row>
    <row r="243">
      <c r="D243" s="98"/>
      <c r="E243" s="98"/>
      <c r="F243" s="98"/>
      <c r="G243" s="98"/>
      <c r="H243" s="98"/>
    </row>
    <row r="244">
      <c r="D244" s="98"/>
      <c r="E244" s="98"/>
      <c r="F244" s="98"/>
      <c r="G244" s="98"/>
      <c r="H244" s="98"/>
    </row>
    <row r="245">
      <c r="D245" s="98"/>
      <c r="E245" s="98"/>
      <c r="F245" s="98"/>
      <c r="G245" s="98"/>
      <c r="H245" s="98"/>
    </row>
    <row r="246">
      <c r="D246" s="98"/>
      <c r="E246" s="98"/>
      <c r="F246" s="98"/>
      <c r="G246" s="98"/>
      <c r="H246" s="98"/>
    </row>
    <row r="247">
      <c r="D247" s="98"/>
      <c r="E247" s="98"/>
      <c r="F247" s="98"/>
      <c r="G247" s="98"/>
      <c r="H247" s="98"/>
    </row>
    <row r="248">
      <c r="D248" s="98"/>
      <c r="E248" s="98"/>
      <c r="F248" s="98"/>
      <c r="G248" s="98"/>
      <c r="H248" s="98"/>
    </row>
    <row r="249">
      <c r="D249" s="98"/>
      <c r="E249" s="98"/>
      <c r="F249" s="98"/>
      <c r="G249" s="98"/>
      <c r="H249" s="98"/>
    </row>
    <row r="250">
      <c r="D250" s="98"/>
      <c r="E250" s="98"/>
      <c r="F250" s="98"/>
      <c r="G250" s="98"/>
      <c r="H250" s="98"/>
    </row>
    <row r="251">
      <c r="D251" s="98"/>
      <c r="E251" s="98"/>
      <c r="F251" s="98"/>
      <c r="G251" s="98"/>
      <c r="H251" s="98"/>
    </row>
    <row r="252">
      <c r="D252" s="98"/>
      <c r="E252" s="98"/>
      <c r="F252" s="98"/>
      <c r="G252" s="98"/>
      <c r="H252" s="98"/>
    </row>
    <row r="253">
      <c r="D253" s="98"/>
      <c r="E253" s="98"/>
      <c r="F253" s="98"/>
      <c r="G253" s="98"/>
      <c r="H253" s="98"/>
    </row>
    <row r="254">
      <c r="D254" s="98"/>
      <c r="E254" s="98"/>
      <c r="F254" s="98"/>
      <c r="G254" s="98"/>
      <c r="H254" s="98"/>
    </row>
    <row r="255">
      <c r="D255" s="98"/>
      <c r="E255" s="98"/>
      <c r="F255" s="98"/>
      <c r="G255" s="98"/>
      <c r="H255" s="98"/>
    </row>
    <row r="256">
      <c r="D256" s="98"/>
      <c r="E256" s="98"/>
      <c r="F256" s="98"/>
      <c r="G256" s="98"/>
      <c r="H256" s="98"/>
    </row>
    <row r="257">
      <c r="D257" s="98"/>
      <c r="E257" s="98"/>
      <c r="F257" s="98"/>
      <c r="G257" s="98"/>
      <c r="H257" s="98"/>
    </row>
    <row r="258">
      <c r="D258" s="98"/>
      <c r="E258" s="98"/>
      <c r="F258" s="98"/>
      <c r="G258" s="98"/>
      <c r="H258" s="98"/>
    </row>
    <row r="259">
      <c r="D259" s="98"/>
      <c r="E259" s="98"/>
      <c r="F259" s="98"/>
      <c r="G259" s="98"/>
      <c r="H259" s="98"/>
    </row>
    <row r="260">
      <c r="D260" s="98"/>
      <c r="E260" s="98"/>
      <c r="F260" s="98"/>
      <c r="G260" s="98"/>
      <c r="H260" s="98"/>
    </row>
    <row r="261">
      <c r="D261" s="98"/>
      <c r="E261" s="98"/>
      <c r="F261" s="98"/>
      <c r="G261" s="98"/>
      <c r="H261" s="98"/>
    </row>
    <row r="262">
      <c r="D262" s="98"/>
      <c r="E262" s="98"/>
      <c r="F262" s="98"/>
      <c r="G262" s="98"/>
      <c r="H262" s="98"/>
    </row>
    <row r="263">
      <c r="D263" s="98"/>
      <c r="E263" s="98"/>
      <c r="F263" s="98"/>
      <c r="G263" s="98"/>
      <c r="H263" s="98"/>
    </row>
    <row r="264">
      <c r="D264" s="98"/>
      <c r="E264" s="98"/>
      <c r="F264" s="98"/>
      <c r="G264" s="98"/>
      <c r="H264" s="98"/>
    </row>
    <row r="265">
      <c r="D265" s="98"/>
      <c r="E265" s="98"/>
      <c r="F265" s="98"/>
      <c r="G265" s="98"/>
      <c r="H265" s="98"/>
    </row>
    <row r="266">
      <c r="D266" s="98"/>
      <c r="E266" s="98"/>
      <c r="F266" s="98"/>
      <c r="G266" s="98"/>
      <c r="H266" s="98"/>
    </row>
    <row r="267">
      <c r="D267" s="98"/>
      <c r="E267" s="98"/>
      <c r="F267" s="98"/>
      <c r="G267" s="98"/>
      <c r="H267" s="98"/>
    </row>
    <row r="268">
      <c r="D268" s="98"/>
      <c r="E268" s="98"/>
      <c r="F268" s="98"/>
      <c r="G268" s="98"/>
      <c r="H268" s="98"/>
    </row>
    <row r="269">
      <c r="D269" s="98"/>
      <c r="E269" s="98"/>
      <c r="F269" s="98"/>
      <c r="G269" s="98"/>
      <c r="H269" s="98"/>
    </row>
    <row r="270">
      <c r="D270" s="98"/>
      <c r="E270" s="98"/>
      <c r="F270" s="98"/>
      <c r="G270" s="98"/>
      <c r="H270" s="98"/>
    </row>
    <row r="271">
      <c r="D271" s="98"/>
      <c r="E271" s="98"/>
      <c r="F271" s="98"/>
      <c r="G271" s="98"/>
      <c r="H271" s="98"/>
    </row>
    <row r="272">
      <c r="D272" s="98"/>
      <c r="E272" s="98"/>
      <c r="F272" s="98"/>
      <c r="G272" s="98"/>
      <c r="H272" s="98"/>
    </row>
    <row r="273">
      <c r="D273" s="98"/>
      <c r="E273" s="98"/>
      <c r="F273" s="98"/>
      <c r="G273" s="98"/>
      <c r="H273" s="98"/>
    </row>
    <row r="274">
      <c r="D274" s="98"/>
      <c r="E274" s="98"/>
      <c r="F274" s="98"/>
      <c r="G274" s="98"/>
      <c r="H274" s="98"/>
    </row>
    <row r="275">
      <c r="D275" s="98"/>
      <c r="E275" s="98"/>
      <c r="F275" s="98"/>
      <c r="G275" s="98"/>
      <c r="H275" s="98"/>
    </row>
    <row r="276">
      <c r="D276" s="98"/>
      <c r="E276" s="98"/>
      <c r="F276" s="98"/>
      <c r="G276" s="98"/>
      <c r="H276" s="98"/>
    </row>
    <row r="277">
      <c r="D277" s="98"/>
      <c r="E277" s="98"/>
      <c r="F277" s="98"/>
      <c r="G277" s="98"/>
      <c r="H277" s="98"/>
    </row>
    <row r="278">
      <c r="D278" s="98"/>
      <c r="E278" s="98"/>
      <c r="F278" s="98"/>
      <c r="G278" s="98"/>
      <c r="H278" s="98"/>
    </row>
    <row r="279">
      <c r="D279" s="98"/>
      <c r="E279" s="98"/>
      <c r="F279" s="98"/>
      <c r="G279" s="98"/>
      <c r="H279" s="98"/>
    </row>
    <row r="280">
      <c r="D280" s="98"/>
      <c r="E280" s="98"/>
      <c r="F280" s="98"/>
      <c r="G280" s="98"/>
      <c r="H280" s="98"/>
    </row>
    <row r="281">
      <c r="D281" s="98"/>
      <c r="E281" s="98"/>
      <c r="F281" s="98"/>
      <c r="G281" s="98"/>
      <c r="H281" s="98"/>
    </row>
    <row r="282">
      <c r="D282" s="98"/>
      <c r="E282" s="98"/>
      <c r="F282" s="98"/>
      <c r="G282" s="98"/>
      <c r="H282" s="98"/>
    </row>
    <row r="283">
      <c r="D283" s="98"/>
      <c r="E283" s="98"/>
      <c r="F283" s="98"/>
      <c r="G283" s="98"/>
      <c r="H283" s="98"/>
    </row>
    <row r="284">
      <c r="D284" s="98"/>
      <c r="E284" s="98"/>
      <c r="F284" s="98"/>
      <c r="G284" s="98"/>
      <c r="H284" s="98"/>
    </row>
    <row r="285">
      <c r="D285" s="98"/>
      <c r="E285" s="98"/>
      <c r="F285" s="98"/>
      <c r="G285" s="98"/>
      <c r="H285" s="98"/>
    </row>
    <row r="286">
      <c r="D286" s="98"/>
      <c r="E286" s="98"/>
      <c r="F286" s="98"/>
      <c r="G286" s="98"/>
      <c r="H286" s="98"/>
    </row>
    <row r="287">
      <c r="D287" s="98"/>
      <c r="E287" s="98"/>
      <c r="F287" s="98"/>
      <c r="G287" s="98"/>
      <c r="H287" s="98"/>
    </row>
    <row r="288">
      <c r="D288" s="98"/>
      <c r="E288" s="98"/>
      <c r="F288" s="98"/>
      <c r="G288" s="98"/>
      <c r="H288" s="98"/>
    </row>
    <row r="289">
      <c r="D289" s="98"/>
      <c r="E289" s="98"/>
      <c r="F289" s="98"/>
      <c r="G289" s="98"/>
      <c r="H289" s="98"/>
    </row>
    <row r="290">
      <c r="D290" s="98"/>
      <c r="E290" s="98"/>
      <c r="F290" s="98"/>
      <c r="G290" s="98"/>
      <c r="H290" s="98"/>
    </row>
    <row r="291">
      <c r="D291" s="98"/>
      <c r="E291" s="98"/>
      <c r="F291" s="98"/>
      <c r="G291" s="98"/>
      <c r="H291" s="98"/>
    </row>
    <row r="292">
      <c r="D292" s="98"/>
      <c r="E292" s="98"/>
      <c r="F292" s="98"/>
      <c r="G292" s="98"/>
      <c r="H292" s="98"/>
    </row>
    <row r="293">
      <c r="D293" s="98"/>
      <c r="E293" s="98"/>
      <c r="F293" s="98"/>
      <c r="G293" s="98"/>
      <c r="H293" s="98"/>
    </row>
    <row r="294">
      <c r="D294" s="98"/>
      <c r="E294" s="98"/>
      <c r="F294" s="98"/>
      <c r="G294" s="98"/>
      <c r="H294" s="98"/>
    </row>
    <row r="295">
      <c r="D295" s="98"/>
      <c r="E295" s="98"/>
      <c r="F295" s="98"/>
      <c r="G295" s="98"/>
      <c r="H295" s="98"/>
    </row>
    <row r="296">
      <c r="D296" s="98"/>
      <c r="E296" s="98"/>
      <c r="F296" s="98"/>
      <c r="G296" s="98"/>
      <c r="H296" s="98"/>
    </row>
    <row r="297">
      <c r="D297" s="98"/>
      <c r="E297" s="98"/>
      <c r="F297" s="98"/>
      <c r="G297" s="98"/>
      <c r="H297" s="98"/>
    </row>
    <row r="298">
      <c r="D298" s="98"/>
      <c r="E298" s="98"/>
      <c r="F298" s="98"/>
      <c r="G298" s="98"/>
      <c r="H298" s="98"/>
    </row>
    <row r="299">
      <c r="D299" s="98"/>
      <c r="E299" s="98"/>
      <c r="F299" s="98"/>
      <c r="G299" s="98"/>
      <c r="H299" s="98"/>
    </row>
    <row r="300">
      <c r="D300" s="98"/>
      <c r="E300" s="98"/>
      <c r="F300" s="98"/>
      <c r="G300" s="98"/>
      <c r="H300" s="98"/>
    </row>
    <row r="301">
      <c r="D301" s="98"/>
      <c r="E301" s="98"/>
      <c r="F301" s="98"/>
      <c r="G301" s="98"/>
      <c r="H301" s="98"/>
    </row>
    <row r="302">
      <c r="D302" s="98"/>
      <c r="E302" s="98"/>
      <c r="F302" s="98"/>
      <c r="G302" s="98"/>
      <c r="H302" s="98"/>
    </row>
    <row r="303">
      <c r="D303" s="98"/>
      <c r="E303" s="98"/>
      <c r="F303" s="98"/>
      <c r="G303" s="98"/>
      <c r="H303" s="98"/>
    </row>
    <row r="304">
      <c r="D304" s="98"/>
      <c r="E304" s="98"/>
      <c r="F304" s="98"/>
      <c r="G304" s="98"/>
      <c r="H304" s="98"/>
    </row>
    <row r="305">
      <c r="D305" s="98"/>
      <c r="E305" s="98"/>
      <c r="F305" s="98"/>
      <c r="G305" s="98"/>
      <c r="H305" s="98"/>
    </row>
    <row r="306">
      <c r="D306" s="98"/>
      <c r="E306" s="98"/>
      <c r="F306" s="98"/>
      <c r="G306" s="98"/>
      <c r="H306" s="98"/>
    </row>
    <row r="307">
      <c r="D307" s="98"/>
      <c r="E307" s="98"/>
      <c r="F307" s="98"/>
      <c r="G307" s="98"/>
      <c r="H307" s="98"/>
    </row>
    <row r="308">
      <c r="D308" s="98"/>
      <c r="E308" s="98"/>
      <c r="F308" s="98"/>
      <c r="G308" s="98"/>
      <c r="H308" s="98"/>
    </row>
    <row r="309">
      <c r="D309" s="98"/>
      <c r="E309" s="98"/>
      <c r="F309" s="98"/>
      <c r="G309" s="98"/>
      <c r="H309" s="98"/>
    </row>
    <row r="310">
      <c r="D310" s="98"/>
      <c r="E310" s="98"/>
      <c r="F310" s="98"/>
      <c r="G310" s="98"/>
      <c r="H310" s="98"/>
    </row>
    <row r="311">
      <c r="D311" s="98"/>
      <c r="E311" s="98"/>
      <c r="F311" s="98"/>
      <c r="G311" s="98"/>
      <c r="H311" s="98"/>
    </row>
    <row r="312">
      <c r="D312" s="98"/>
      <c r="E312" s="98"/>
      <c r="F312" s="98"/>
      <c r="G312" s="98"/>
      <c r="H312" s="98"/>
    </row>
    <row r="313">
      <c r="D313" s="98"/>
      <c r="E313" s="98"/>
      <c r="F313" s="98"/>
      <c r="G313" s="98"/>
      <c r="H313" s="98"/>
    </row>
    <row r="314">
      <c r="D314" s="98"/>
      <c r="E314" s="98"/>
      <c r="F314" s="98"/>
      <c r="G314" s="98"/>
      <c r="H314" s="98"/>
    </row>
    <row r="315">
      <c r="D315" s="98"/>
      <c r="E315" s="98"/>
      <c r="F315" s="98"/>
      <c r="G315" s="98"/>
      <c r="H315" s="98"/>
    </row>
    <row r="316">
      <c r="D316" s="98"/>
      <c r="E316" s="98"/>
      <c r="F316" s="98"/>
      <c r="G316" s="98"/>
      <c r="H316" s="98"/>
    </row>
    <row r="317">
      <c r="D317" s="98"/>
      <c r="E317" s="98"/>
      <c r="F317" s="98"/>
      <c r="G317" s="98"/>
      <c r="H317" s="98"/>
    </row>
    <row r="318">
      <c r="D318" s="98"/>
      <c r="E318" s="98"/>
      <c r="F318" s="98"/>
      <c r="G318" s="98"/>
      <c r="H318" s="98"/>
    </row>
    <row r="319">
      <c r="D319" s="98"/>
      <c r="E319" s="98"/>
      <c r="F319" s="98"/>
      <c r="G319" s="98"/>
      <c r="H319" s="98"/>
    </row>
    <row r="320">
      <c r="D320" s="98"/>
      <c r="E320" s="98"/>
      <c r="F320" s="98"/>
      <c r="G320" s="98"/>
      <c r="H320" s="98"/>
    </row>
    <row r="321">
      <c r="D321" s="98"/>
      <c r="E321" s="98"/>
      <c r="F321" s="98"/>
      <c r="G321" s="98"/>
      <c r="H321" s="98"/>
    </row>
    <row r="322">
      <c r="D322" s="98"/>
      <c r="E322" s="98"/>
      <c r="F322" s="98"/>
      <c r="G322" s="98"/>
      <c r="H322" s="98"/>
    </row>
    <row r="323">
      <c r="D323" s="98"/>
      <c r="E323" s="98"/>
      <c r="F323" s="98"/>
      <c r="G323" s="98"/>
      <c r="H323" s="98"/>
    </row>
    <row r="324">
      <c r="D324" s="98"/>
      <c r="E324" s="98"/>
      <c r="F324" s="98"/>
      <c r="G324" s="98"/>
      <c r="H324" s="98"/>
    </row>
    <row r="325">
      <c r="D325" s="98"/>
      <c r="E325" s="98"/>
      <c r="F325" s="98"/>
      <c r="G325" s="98"/>
      <c r="H325" s="98"/>
    </row>
    <row r="326">
      <c r="D326" s="98"/>
      <c r="E326" s="98"/>
      <c r="F326" s="98"/>
      <c r="G326" s="98"/>
      <c r="H326" s="98"/>
    </row>
    <row r="327">
      <c r="D327" s="98"/>
      <c r="E327" s="98"/>
      <c r="F327" s="98"/>
      <c r="G327" s="98"/>
      <c r="H327" s="98"/>
    </row>
    <row r="328">
      <c r="D328" s="98"/>
      <c r="E328" s="98"/>
      <c r="F328" s="98"/>
      <c r="G328" s="98"/>
      <c r="H328" s="98"/>
    </row>
    <row r="329">
      <c r="D329" s="98"/>
      <c r="E329" s="98"/>
      <c r="F329" s="98"/>
      <c r="G329" s="98"/>
      <c r="H329" s="98"/>
    </row>
    <row r="330">
      <c r="D330" s="98"/>
      <c r="E330" s="98"/>
      <c r="F330" s="98"/>
      <c r="G330" s="98"/>
      <c r="H330" s="98"/>
    </row>
    <row r="331">
      <c r="D331" s="98"/>
      <c r="E331" s="98"/>
      <c r="F331" s="98"/>
      <c r="G331" s="98"/>
      <c r="H331" s="98"/>
    </row>
    <row r="332">
      <c r="D332" s="98"/>
      <c r="E332" s="98"/>
      <c r="F332" s="98"/>
      <c r="G332" s="98"/>
      <c r="H332" s="98"/>
    </row>
    <row r="333">
      <c r="D333" s="98"/>
      <c r="E333" s="98"/>
      <c r="F333" s="98"/>
      <c r="G333" s="98"/>
      <c r="H333" s="98"/>
    </row>
    <row r="334">
      <c r="D334" s="98"/>
      <c r="E334" s="98"/>
      <c r="F334" s="98"/>
      <c r="G334" s="98"/>
      <c r="H334" s="98"/>
    </row>
    <row r="335">
      <c r="D335" s="98"/>
      <c r="E335" s="98"/>
      <c r="F335" s="98"/>
      <c r="G335" s="98"/>
      <c r="H335" s="98"/>
    </row>
    <row r="336">
      <c r="D336" s="98"/>
      <c r="E336" s="98"/>
      <c r="F336" s="98"/>
      <c r="G336" s="98"/>
      <c r="H336" s="98"/>
    </row>
    <row r="337">
      <c r="D337" s="98"/>
      <c r="E337" s="98"/>
      <c r="F337" s="98"/>
      <c r="G337" s="98"/>
      <c r="H337" s="98"/>
    </row>
    <row r="338">
      <c r="D338" s="98"/>
      <c r="E338" s="98"/>
      <c r="F338" s="98"/>
      <c r="G338" s="98"/>
      <c r="H338" s="98"/>
    </row>
    <row r="339">
      <c r="D339" s="98"/>
      <c r="E339" s="98"/>
      <c r="F339" s="98"/>
      <c r="G339" s="98"/>
      <c r="H339" s="98"/>
    </row>
    <row r="340">
      <c r="D340" s="98"/>
      <c r="E340" s="98"/>
      <c r="F340" s="98"/>
      <c r="G340" s="98"/>
      <c r="H340" s="98"/>
    </row>
    <row r="341">
      <c r="D341" s="98"/>
      <c r="E341" s="98"/>
      <c r="F341" s="98"/>
      <c r="G341" s="98"/>
      <c r="H341" s="98"/>
    </row>
    <row r="342">
      <c r="D342" s="98"/>
      <c r="E342" s="98"/>
      <c r="F342" s="98"/>
      <c r="G342" s="98"/>
      <c r="H342" s="98"/>
    </row>
    <row r="343">
      <c r="D343" s="98"/>
      <c r="E343" s="98"/>
      <c r="F343" s="98"/>
      <c r="G343" s="98"/>
      <c r="H343" s="98"/>
    </row>
    <row r="344">
      <c r="D344" s="98"/>
      <c r="E344" s="98"/>
      <c r="F344" s="98"/>
      <c r="G344" s="98"/>
      <c r="H344" s="98"/>
    </row>
    <row r="345">
      <c r="D345" s="98"/>
      <c r="E345" s="98"/>
      <c r="F345" s="98"/>
      <c r="G345" s="98"/>
      <c r="H345" s="98"/>
    </row>
    <row r="346">
      <c r="D346" s="98"/>
      <c r="E346" s="98"/>
      <c r="F346" s="98"/>
      <c r="G346" s="98"/>
      <c r="H346" s="98"/>
    </row>
    <row r="347">
      <c r="D347" s="98"/>
      <c r="E347" s="98"/>
      <c r="F347" s="98"/>
      <c r="G347" s="98"/>
      <c r="H347" s="98"/>
    </row>
    <row r="348">
      <c r="D348" s="98"/>
      <c r="E348" s="98"/>
      <c r="F348" s="98"/>
      <c r="G348" s="98"/>
      <c r="H348" s="98"/>
    </row>
    <row r="349">
      <c r="D349" s="98"/>
      <c r="E349" s="98"/>
      <c r="F349" s="98"/>
      <c r="G349" s="98"/>
      <c r="H349" s="98"/>
    </row>
    <row r="350">
      <c r="D350" s="98"/>
      <c r="E350" s="98"/>
      <c r="F350" s="98"/>
      <c r="G350" s="98"/>
      <c r="H350" s="98"/>
    </row>
    <row r="351">
      <c r="D351" s="98"/>
      <c r="E351" s="98"/>
      <c r="F351" s="98"/>
      <c r="G351" s="98"/>
      <c r="H351" s="98"/>
    </row>
    <row r="352">
      <c r="D352" s="98"/>
      <c r="E352" s="98"/>
      <c r="F352" s="98"/>
      <c r="G352" s="98"/>
      <c r="H352" s="98"/>
    </row>
    <row r="353">
      <c r="D353" s="98"/>
      <c r="E353" s="98"/>
      <c r="F353" s="98"/>
      <c r="G353" s="98"/>
      <c r="H353" s="98"/>
    </row>
    <row r="354">
      <c r="D354" s="98"/>
      <c r="E354" s="98"/>
      <c r="F354" s="98"/>
      <c r="G354" s="98"/>
      <c r="H354" s="98"/>
    </row>
    <row r="355">
      <c r="D355" s="98"/>
      <c r="E355" s="98"/>
      <c r="F355" s="98"/>
      <c r="G355" s="98"/>
      <c r="H355" s="98"/>
    </row>
    <row r="356">
      <c r="D356" s="98"/>
      <c r="E356" s="98"/>
      <c r="F356" s="98"/>
      <c r="G356" s="98"/>
      <c r="H356" s="98"/>
    </row>
    <row r="357">
      <c r="D357" s="98"/>
      <c r="E357" s="98"/>
      <c r="F357" s="98"/>
      <c r="G357" s="98"/>
      <c r="H357" s="98"/>
    </row>
    <row r="358">
      <c r="D358" s="98"/>
      <c r="E358" s="98"/>
      <c r="F358" s="98"/>
      <c r="G358" s="98"/>
      <c r="H358" s="98"/>
    </row>
    <row r="359">
      <c r="D359" s="98"/>
      <c r="E359" s="98"/>
      <c r="F359" s="98"/>
      <c r="G359" s="98"/>
      <c r="H359" s="98"/>
    </row>
    <row r="360">
      <c r="D360" s="98"/>
      <c r="E360" s="98"/>
      <c r="F360" s="98"/>
      <c r="G360" s="98"/>
      <c r="H360" s="98"/>
    </row>
    <row r="361">
      <c r="D361" s="98"/>
      <c r="E361" s="98"/>
      <c r="F361" s="98"/>
      <c r="G361" s="98"/>
      <c r="H361" s="98"/>
    </row>
    <row r="362">
      <c r="D362" s="98"/>
      <c r="E362" s="98"/>
      <c r="F362" s="98"/>
      <c r="G362" s="98"/>
      <c r="H362" s="98"/>
    </row>
    <row r="363">
      <c r="D363" s="98"/>
      <c r="E363" s="98"/>
      <c r="F363" s="98"/>
      <c r="G363" s="98"/>
      <c r="H363" s="98"/>
    </row>
    <row r="364">
      <c r="D364" s="98"/>
      <c r="E364" s="98"/>
      <c r="F364" s="98"/>
      <c r="G364" s="98"/>
      <c r="H364" s="98"/>
    </row>
    <row r="365">
      <c r="D365" s="98"/>
      <c r="E365" s="98"/>
      <c r="F365" s="98"/>
      <c r="G365" s="98"/>
      <c r="H365" s="98"/>
    </row>
    <row r="366">
      <c r="D366" s="98"/>
      <c r="E366" s="98"/>
      <c r="F366" s="98"/>
      <c r="G366" s="98"/>
      <c r="H366" s="98"/>
    </row>
    <row r="367">
      <c r="D367" s="98"/>
      <c r="E367" s="98"/>
      <c r="F367" s="98"/>
      <c r="G367" s="98"/>
      <c r="H367" s="98"/>
    </row>
    <row r="368">
      <c r="D368" s="98"/>
      <c r="E368" s="98"/>
      <c r="F368" s="98"/>
      <c r="G368" s="98"/>
      <c r="H368" s="98"/>
    </row>
    <row r="369">
      <c r="D369" s="98"/>
      <c r="E369" s="98"/>
      <c r="F369" s="98"/>
      <c r="G369" s="98"/>
      <c r="H369" s="98"/>
    </row>
    <row r="370">
      <c r="D370" s="98"/>
      <c r="E370" s="98"/>
      <c r="F370" s="98"/>
      <c r="G370" s="98"/>
      <c r="H370" s="98"/>
    </row>
    <row r="371">
      <c r="D371" s="98"/>
      <c r="E371" s="98"/>
      <c r="F371" s="98"/>
      <c r="G371" s="98"/>
      <c r="H371" s="98"/>
    </row>
    <row r="372">
      <c r="D372" s="98"/>
      <c r="E372" s="98"/>
      <c r="F372" s="98"/>
      <c r="G372" s="98"/>
      <c r="H372" s="98"/>
    </row>
    <row r="373">
      <c r="D373" s="98"/>
      <c r="E373" s="98"/>
      <c r="F373" s="98"/>
      <c r="G373" s="98"/>
      <c r="H373" s="98"/>
    </row>
    <row r="374">
      <c r="D374" s="98"/>
      <c r="E374" s="98"/>
      <c r="F374" s="98"/>
      <c r="G374" s="98"/>
      <c r="H374" s="98"/>
    </row>
    <row r="375">
      <c r="D375" s="98"/>
      <c r="E375" s="98"/>
      <c r="F375" s="98"/>
      <c r="G375" s="98"/>
      <c r="H375" s="98"/>
    </row>
    <row r="376">
      <c r="D376" s="98"/>
      <c r="E376" s="98"/>
      <c r="F376" s="98"/>
      <c r="G376" s="98"/>
      <c r="H376" s="98"/>
    </row>
    <row r="377">
      <c r="D377" s="98"/>
      <c r="E377" s="98"/>
      <c r="F377" s="98"/>
      <c r="G377" s="98"/>
      <c r="H377" s="98"/>
    </row>
    <row r="378">
      <c r="D378" s="98"/>
      <c r="E378" s="98"/>
      <c r="F378" s="98"/>
      <c r="G378" s="98"/>
      <c r="H378" s="98"/>
    </row>
    <row r="379">
      <c r="D379" s="98"/>
      <c r="E379" s="98"/>
      <c r="F379" s="98"/>
      <c r="G379" s="98"/>
      <c r="H379" s="98"/>
    </row>
    <row r="380">
      <c r="D380" s="98"/>
      <c r="E380" s="98"/>
      <c r="F380" s="98"/>
      <c r="G380" s="98"/>
      <c r="H380" s="98"/>
    </row>
    <row r="381">
      <c r="D381" s="98"/>
      <c r="E381" s="98"/>
      <c r="F381" s="98"/>
      <c r="G381" s="98"/>
      <c r="H381" s="98"/>
    </row>
    <row r="382">
      <c r="D382" s="98"/>
      <c r="E382" s="98"/>
      <c r="F382" s="98"/>
      <c r="G382" s="98"/>
      <c r="H382" s="98"/>
    </row>
    <row r="383">
      <c r="D383" s="98"/>
      <c r="E383" s="98"/>
      <c r="F383" s="98"/>
      <c r="G383" s="98"/>
      <c r="H383" s="98"/>
    </row>
    <row r="384">
      <c r="D384" s="98"/>
      <c r="E384" s="98"/>
      <c r="F384" s="98"/>
      <c r="G384" s="98"/>
      <c r="H384" s="98"/>
    </row>
    <row r="385">
      <c r="D385" s="98"/>
      <c r="E385" s="98"/>
      <c r="F385" s="98"/>
      <c r="G385" s="98"/>
      <c r="H385" s="98"/>
    </row>
    <row r="386">
      <c r="D386" s="98"/>
      <c r="E386" s="98"/>
      <c r="F386" s="98"/>
      <c r="G386" s="98"/>
      <c r="H386" s="98"/>
    </row>
    <row r="387">
      <c r="D387" s="98"/>
      <c r="E387" s="98"/>
      <c r="F387" s="98"/>
      <c r="G387" s="98"/>
      <c r="H387" s="98"/>
    </row>
    <row r="388">
      <c r="D388" s="98"/>
      <c r="E388" s="98"/>
      <c r="F388" s="98"/>
      <c r="G388" s="98"/>
      <c r="H388" s="98"/>
    </row>
    <row r="389">
      <c r="D389" s="98"/>
      <c r="E389" s="98"/>
      <c r="F389" s="98"/>
      <c r="G389" s="98"/>
      <c r="H389" s="98"/>
    </row>
    <row r="390">
      <c r="D390" s="98"/>
      <c r="E390" s="98"/>
      <c r="F390" s="98"/>
      <c r="G390" s="98"/>
      <c r="H390" s="98"/>
    </row>
    <row r="391">
      <c r="D391" s="98"/>
      <c r="E391" s="98"/>
      <c r="F391" s="98"/>
      <c r="G391" s="98"/>
      <c r="H391" s="98"/>
    </row>
    <row r="392">
      <c r="D392" s="98"/>
      <c r="E392" s="98"/>
      <c r="F392" s="98"/>
      <c r="G392" s="98"/>
      <c r="H392" s="98"/>
    </row>
    <row r="393">
      <c r="D393" s="98"/>
      <c r="E393" s="98"/>
      <c r="F393" s="98"/>
      <c r="G393" s="98"/>
      <c r="H393" s="98"/>
    </row>
    <row r="394">
      <c r="D394" s="98"/>
      <c r="E394" s="98"/>
      <c r="F394" s="98"/>
      <c r="G394" s="98"/>
      <c r="H394" s="98"/>
    </row>
    <row r="395">
      <c r="D395" s="98"/>
      <c r="E395" s="98"/>
      <c r="F395" s="98"/>
      <c r="G395" s="98"/>
      <c r="H395" s="98"/>
    </row>
    <row r="396">
      <c r="D396" s="98"/>
      <c r="E396" s="98"/>
      <c r="F396" s="98"/>
      <c r="G396" s="98"/>
      <c r="H396" s="98"/>
    </row>
    <row r="397">
      <c r="D397" s="98"/>
      <c r="E397" s="98"/>
      <c r="F397" s="98"/>
      <c r="G397" s="98"/>
      <c r="H397" s="98"/>
    </row>
    <row r="398">
      <c r="D398" s="98"/>
      <c r="E398" s="98"/>
      <c r="F398" s="98"/>
      <c r="G398" s="98"/>
      <c r="H398" s="98"/>
    </row>
    <row r="399">
      <c r="D399" s="98"/>
      <c r="E399" s="98"/>
      <c r="F399" s="98"/>
      <c r="G399" s="98"/>
      <c r="H399" s="98"/>
    </row>
    <row r="400">
      <c r="D400" s="98"/>
      <c r="E400" s="98"/>
      <c r="F400" s="98"/>
      <c r="G400" s="98"/>
      <c r="H400" s="98"/>
    </row>
    <row r="401">
      <c r="D401" s="98"/>
      <c r="E401" s="98"/>
      <c r="F401" s="98"/>
      <c r="G401" s="98"/>
      <c r="H401" s="98"/>
    </row>
    <row r="402">
      <c r="D402" s="98"/>
      <c r="E402" s="98"/>
      <c r="F402" s="98"/>
      <c r="G402" s="98"/>
      <c r="H402" s="98"/>
    </row>
    <row r="403">
      <c r="D403" s="98"/>
      <c r="E403" s="98"/>
      <c r="F403" s="98"/>
      <c r="G403" s="98"/>
      <c r="H403" s="98"/>
    </row>
    <row r="404">
      <c r="D404" s="98"/>
      <c r="E404" s="98"/>
      <c r="F404" s="98"/>
      <c r="G404" s="98"/>
      <c r="H404" s="98"/>
    </row>
    <row r="405">
      <c r="D405" s="98"/>
      <c r="E405" s="98"/>
      <c r="F405" s="98"/>
      <c r="G405" s="98"/>
      <c r="H405" s="98"/>
    </row>
    <row r="406">
      <c r="D406" s="98"/>
      <c r="E406" s="98"/>
      <c r="F406" s="98"/>
      <c r="G406" s="98"/>
      <c r="H406" s="98"/>
    </row>
    <row r="407">
      <c r="D407" s="98"/>
      <c r="E407" s="98"/>
      <c r="F407" s="98"/>
      <c r="G407" s="98"/>
      <c r="H407" s="98"/>
    </row>
    <row r="408">
      <c r="D408" s="98"/>
      <c r="E408" s="98"/>
      <c r="F408" s="98"/>
      <c r="G408" s="98"/>
      <c r="H408" s="98"/>
    </row>
    <row r="409">
      <c r="D409" s="98"/>
      <c r="E409" s="98"/>
      <c r="F409" s="98"/>
      <c r="G409" s="98"/>
      <c r="H409" s="98"/>
    </row>
    <row r="410">
      <c r="D410" s="98"/>
      <c r="E410" s="98"/>
      <c r="F410" s="98"/>
      <c r="G410" s="98"/>
      <c r="H410" s="98"/>
    </row>
    <row r="411">
      <c r="D411" s="98"/>
      <c r="E411" s="98"/>
      <c r="F411" s="98"/>
      <c r="G411" s="98"/>
      <c r="H411" s="98"/>
    </row>
    <row r="412">
      <c r="D412" s="98"/>
      <c r="E412" s="98"/>
      <c r="F412" s="98"/>
      <c r="G412" s="98"/>
      <c r="H412" s="98"/>
    </row>
    <row r="413">
      <c r="D413" s="98"/>
      <c r="E413" s="98"/>
      <c r="F413" s="98"/>
      <c r="G413" s="98"/>
      <c r="H413" s="98"/>
    </row>
    <row r="414">
      <c r="D414" s="98"/>
      <c r="E414" s="98"/>
      <c r="F414" s="98"/>
      <c r="G414" s="98"/>
      <c r="H414" s="98"/>
    </row>
    <row r="415">
      <c r="D415" s="98"/>
      <c r="E415" s="98"/>
      <c r="F415" s="98"/>
      <c r="G415" s="98"/>
      <c r="H415" s="98"/>
    </row>
    <row r="416">
      <c r="D416" s="98"/>
      <c r="E416" s="98"/>
      <c r="F416" s="98"/>
      <c r="G416" s="98"/>
      <c r="H416" s="98"/>
    </row>
    <row r="417">
      <c r="D417" s="98"/>
      <c r="E417" s="98"/>
      <c r="F417" s="98"/>
      <c r="G417" s="98"/>
      <c r="H417" s="98"/>
    </row>
    <row r="418">
      <c r="D418" s="98"/>
      <c r="E418" s="98"/>
      <c r="F418" s="98"/>
      <c r="G418" s="98"/>
      <c r="H418" s="98"/>
    </row>
    <row r="419">
      <c r="D419" s="98"/>
      <c r="E419" s="98"/>
      <c r="F419" s="98"/>
      <c r="G419" s="98"/>
      <c r="H419" s="98"/>
    </row>
    <row r="420">
      <c r="D420" s="98"/>
      <c r="E420" s="98"/>
      <c r="F420" s="98"/>
      <c r="G420" s="98"/>
      <c r="H420" s="98"/>
    </row>
    <row r="421">
      <c r="D421" s="98"/>
      <c r="E421" s="98"/>
      <c r="F421" s="98"/>
      <c r="G421" s="98"/>
      <c r="H421" s="98"/>
    </row>
    <row r="422">
      <c r="D422" s="98"/>
      <c r="E422" s="98"/>
      <c r="F422" s="98"/>
      <c r="G422" s="98"/>
      <c r="H422" s="98"/>
    </row>
    <row r="423">
      <c r="D423" s="98"/>
      <c r="E423" s="98"/>
      <c r="F423" s="98"/>
      <c r="G423" s="98"/>
      <c r="H423" s="98"/>
    </row>
    <row r="424">
      <c r="D424" s="98"/>
      <c r="E424" s="98"/>
      <c r="F424" s="98"/>
      <c r="G424" s="98"/>
      <c r="H424" s="98"/>
    </row>
    <row r="425">
      <c r="D425" s="98"/>
      <c r="E425" s="98"/>
      <c r="F425" s="98"/>
      <c r="G425" s="98"/>
      <c r="H425" s="98"/>
    </row>
    <row r="426">
      <c r="D426" s="98"/>
      <c r="E426" s="98"/>
      <c r="F426" s="98"/>
      <c r="G426" s="98"/>
      <c r="H426" s="98"/>
    </row>
    <row r="427">
      <c r="D427" s="98"/>
      <c r="E427" s="98"/>
      <c r="F427" s="98"/>
      <c r="G427" s="98"/>
      <c r="H427" s="98"/>
    </row>
    <row r="428">
      <c r="D428" s="98"/>
      <c r="E428" s="98"/>
      <c r="F428" s="98"/>
      <c r="G428" s="98"/>
      <c r="H428" s="98"/>
    </row>
    <row r="429">
      <c r="D429" s="98"/>
      <c r="E429" s="98"/>
      <c r="F429" s="98"/>
      <c r="G429" s="98"/>
      <c r="H429" s="98"/>
    </row>
    <row r="430">
      <c r="D430" s="98"/>
      <c r="E430" s="98"/>
      <c r="F430" s="98"/>
      <c r="G430" s="98"/>
      <c r="H430" s="98"/>
    </row>
    <row r="431">
      <c r="D431" s="98"/>
      <c r="E431" s="98"/>
      <c r="F431" s="98"/>
      <c r="G431" s="98"/>
      <c r="H431" s="98"/>
    </row>
    <row r="432">
      <c r="D432" s="98"/>
      <c r="E432" s="98"/>
      <c r="F432" s="98"/>
      <c r="G432" s="98"/>
      <c r="H432" s="98"/>
    </row>
    <row r="433">
      <c r="D433" s="98"/>
      <c r="E433" s="98"/>
      <c r="F433" s="98"/>
      <c r="G433" s="98"/>
      <c r="H433" s="98"/>
    </row>
    <row r="434">
      <c r="D434" s="98"/>
      <c r="E434" s="98"/>
      <c r="F434" s="98"/>
      <c r="G434" s="98"/>
      <c r="H434" s="98"/>
    </row>
    <row r="435">
      <c r="D435" s="98"/>
      <c r="E435" s="98"/>
      <c r="F435" s="98"/>
      <c r="G435" s="98"/>
      <c r="H435" s="98"/>
    </row>
    <row r="436">
      <c r="D436" s="98"/>
      <c r="E436" s="98"/>
      <c r="F436" s="98"/>
      <c r="G436" s="98"/>
      <c r="H436" s="98"/>
    </row>
    <row r="437">
      <c r="D437" s="98"/>
      <c r="E437" s="98"/>
      <c r="F437" s="98"/>
      <c r="G437" s="98"/>
      <c r="H437" s="98"/>
    </row>
    <row r="438">
      <c r="D438" s="98"/>
      <c r="E438" s="98"/>
      <c r="F438" s="98"/>
      <c r="G438" s="98"/>
      <c r="H438" s="98"/>
    </row>
    <row r="439">
      <c r="D439" s="98"/>
      <c r="E439" s="98"/>
      <c r="F439" s="98"/>
      <c r="G439" s="98"/>
      <c r="H439" s="98"/>
    </row>
    <row r="440">
      <c r="D440" s="98"/>
      <c r="E440" s="98"/>
      <c r="F440" s="98"/>
      <c r="G440" s="98"/>
      <c r="H440" s="98"/>
    </row>
    <row r="441">
      <c r="D441" s="98"/>
      <c r="E441" s="98"/>
      <c r="F441" s="98"/>
      <c r="G441" s="98"/>
      <c r="H441" s="98"/>
    </row>
    <row r="442">
      <c r="D442" s="98"/>
      <c r="E442" s="98"/>
      <c r="F442" s="98"/>
      <c r="G442" s="98"/>
      <c r="H442" s="98"/>
    </row>
    <row r="443">
      <c r="D443" s="98"/>
      <c r="E443" s="98"/>
      <c r="F443" s="98"/>
      <c r="G443" s="98"/>
      <c r="H443" s="98"/>
    </row>
    <row r="444">
      <c r="D444" s="98"/>
      <c r="E444" s="98"/>
      <c r="F444" s="98"/>
      <c r="G444" s="98"/>
      <c r="H444" s="98"/>
    </row>
    <row r="445">
      <c r="D445" s="98"/>
      <c r="E445" s="98"/>
      <c r="F445" s="98"/>
      <c r="G445" s="98"/>
      <c r="H445" s="98"/>
    </row>
    <row r="446">
      <c r="D446" s="98"/>
      <c r="E446" s="98"/>
      <c r="F446" s="98"/>
      <c r="G446" s="98"/>
      <c r="H446" s="98"/>
    </row>
    <row r="447">
      <c r="D447" s="98"/>
      <c r="E447" s="98"/>
      <c r="F447" s="98"/>
      <c r="G447" s="98"/>
      <c r="H447" s="98"/>
    </row>
    <row r="448">
      <c r="D448" s="98"/>
      <c r="E448" s="98"/>
      <c r="F448" s="98"/>
      <c r="G448" s="98"/>
      <c r="H448" s="98"/>
    </row>
    <row r="449">
      <c r="D449" s="98"/>
      <c r="E449" s="98"/>
      <c r="F449" s="98"/>
      <c r="G449" s="98"/>
      <c r="H449" s="98"/>
    </row>
    <row r="450">
      <c r="D450" s="98"/>
      <c r="E450" s="98"/>
      <c r="F450" s="98"/>
      <c r="G450" s="98"/>
      <c r="H450" s="98"/>
    </row>
    <row r="451">
      <c r="D451" s="98"/>
      <c r="E451" s="98"/>
      <c r="F451" s="98"/>
      <c r="G451" s="98"/>
      <c r="H451" s="98"/>
    </row>
    <row r="452">
      <c r="D452" s="98"/>
      <c r="E452" s="98"/>
      <c r="F452" s="98"/>
      <c r="G452" s="98"/>
      <c r="H452" s="98"/>
    </row>
    <row r="453">
      <c r="D453" s="98"/>
      <c r="E453" s="98"/>
      <c r="F453" s="98"/>
      <c r="G453" s="98"/>
      <c r="H453" s="98"/>
    </row>
    <row r="454">
      <c r="D454" s="98"/>
      <c r="E454" s="98"/>
      <c r="F454" s="98"/>
      <c r="G454" s="98"/>
      <c r="H454" s="98"/>
    </row>
    <row r="455">
      <c r="D455" s="98"/>
      <c r="E455" s="98"/>
      <c r="F455" s="98"/>
      <c r="G455" s="98"/>
      <c r="H455" s="98"/>
    </row>
    <row r="456">
      <c r="D456" s="98"/>
      <c r="E456" s="98"/>
      <c r="F456" s="98"/>
      <c r="G456" s="98"/>
      <c r="H456" s="98"/>
    </row>
    <row r="457">
      <c r="D457" s="98"/>
      <c r="E457" s="98"/>
      <c r="F457" s="98"/>
      <c r="G457" s="98"/>
      <c r="H457" s="98"/>
    </row>
    <row r="458">
      <c r="D458" s="98"/>
      <c r="E458" s="98"/>
      <c r="F458" s="98"/>
      <c r="G458" s="98"/>
      <c r="H458" s="98"/>
    </row>
    <row r="459">
      <c r="D459" s="98"/>
      <c r="E459" s="98"/>
      <c r="F459" s="98"/>
      <c r="G459" s="98"/>
      <c r="H459" s="98"/>
    </row>
    <row r="460">
      <c r="D460" s="98"/>
      <c r="E460" s="98"/>
      <c r="F460" s="98"/>
      <c r="G460" s="98"/>
      <c r="H460" s="98"/>
    </row>
    <row r="461">
      <c r="D461" s="98"/>
      <c r="E461" s="98"/>
      <c r="F461" s="98"/>
      <c r="G461" s="98"/>
      <c r="H461" s="98"/>
    </row>
    <row r="462">
      <c r="D462" s="98"/>
      <c r="E462" s="98"/>
      <c r="F462" s="98"/>
      <c r="G462" s="98"/>
      <c r="H462" s="98"/>
    </row>
    <row r="463">
      <c r="D463" s="98"/>
      <c r="E463" s="98"/>
      <c r="F463" s="98"/>
      <c r="G463" s="98"/>
      <c r="H463" s="98"/>
    </row>
    <row r="464">
      <c r="D464" s="98"/>
      <c r="E464" s="98"/>
      <c r="F464" s="98"/>
      <c r="G464" s="98"/>
      <c r="H464" s="98"/>
    </row>
    <row r="465">
      <c r="D465" s="98"/>
      <c r="E465" s="98"/>
      <c r="F465" s="98"/>
      <c r="G465" s="98"/>
      <c r="H465" s="98"/>
    </row>
    <row r="466">
      <c r="D466" s="98"/>
      <c r="E466" s="98"/>
      <c r="F466" s="98"/>
      <c r="G466" s="98"/>
      <c r="H466" s="98"/>
    </row>
    <row r="467">
      <c r="D467" s="98"/>
      <c r="E467" s="98"/>
      <c r="F467" s="98"/>
      <c r="G467" s="98"/>
      <c r="H467" s="98"/>
    </row>
    <row r="468">
      <c r="D468" s="98"/>
      <c r="E468" s="98"/>
      <c r="F468" s="98"/>
      <c r="G468" s="98"/>
      <c r="H468" s="98"/>
    </row>
    <row r="469">
      <c r="D469" s="98"/>
      <c r="E469" s="98"/>
      <c r="F469" s="98"/>
      <c r="G469" s="98"/>
      <c r="H469" s="98"/>
    </row>
    <row r="470">
      <c r="D470" s="98"/>
      <c r="E470" s="98"/>
      <c r="F470" s="98"/>
      <c r="G470" s="98"/>
      <c r="H470" s="98"/>
    </row>
    <row r="471">
      <c r="D471" s="98"/>
      <c r="E471" s="98"/>
      <c r="F471" s="98"/>
      <c r="G471" s="98"/>
      <c r="H471" s="98"/>
    </row>
    <row r="472">
      <c r="D472" s="98"/>
      <c r="E472" s="98"/>
      <c r="F472" s="98"/>
      <c r="G472" s="98"/>
      <c r="H472" s="98"/>
    </row>
    <row r="473">
      <c r="D473" s="98"/>
      <c r="E473" s="98"/>
      <c r="F473" s="98"/>
      <c r="G473" s="98"/>
      <c r="H473" s="98"/>
    </row>
    <row r="474">
      <c r="D474" s="98"/>
      <c r="E474" s="98"/>
      <c r="F474" s="98"/>
      <c r="G474" s="98"/>
      <c r="H474" s="98"/>
    </row>
    <row r="475">
      <c r="D475" s="98"/>
      <c r="E475" s="98"/>
      <c r="F475" s="98"/>
      <c r="G475" s="98"/>
      <c r="H475" s="98"/>
    </row>
    <row r="476">
      <c r="D476" s="98"/>
      <c r="E476" s="98"/>
      <c r="F476" s="98"/>
      <c r="G476" s="98"/>
      <c r="H476" s="98"/>
    </row>
    <row r="477">
      <c r="D477" s="98"/>
      <c r="E477" s="98"/>
      <c r="F477" s="98"/>
      <c r="G477" s="98"/>
      <c r="H477" s="98"/>
    </row>
    <row r="478">
      <c r="D478" s="98"/>
      <c r="E478" s="98"/>
      <c r="F478" s="98"/>
      <c r="G478" s="98"/>
      <c r="H478" s="98"/>
    </row>
    <row r="479">
      <c r="D479" s="98"/>
      <c r="E479" s="98"/>
      <c r="F479" s="98"/>
      <c r="G479" s="98"/>
      <c r="H479" s="98"/>
    </row>
    <row r="480">
      <c r="D480" s="98"/>
      <c r="E480" s="98"/>
      <c r="F480" s="98"/>
      <c r="G480" s="98"/>
      <c r="H480" s="98"/>
    </row>
    <row r="481">
      <c r="D481" s="98"/>
      <c r="E481" s="98"/>
      <c r="F481" s="98"/>
      <c r="G481" s="98"/>
      <c r="H481" s="98"/>
    </row>
    <row r="482">
      <c r="D482" s="98"/>
      <c r="E482" s="98"/>
      <c r="F482" s="98"/>
      <c r="G482" s="98"/>
      <c r="H482" s="98"/>
    </row>
    <row r="483">
      <c r="D483" s="98"/>
      <c r="E483" s="98"/>
      <c r="F483" s="98"/>
      <c r="G483" s="98"/>
      <c r="H483" s="98"/>
    </row>
    <row r="484">
      <c r="D484" s="98"/>
      <c r="E484" s="98"/>
      <c r="F484" s="98"/>
      <c r="G484" s="98"/>
      <c r="H484" s="98"/>
    </row>
    <row r="485">
      <c r="D485" s="98"/>
      <c r="E485" s="98"/>
      <c r="F485" s="98"/>
      <c r="G485" s="98"/>
      <c r="H485" s="98"/>
    </row>
    <row r="486">
      <c r="D486" s="98"/>
      <c r="E486" s="98"/>
      <c r="F486" s="98"/>
      <c r="G486" s="98"/>
      <c r="H486" s="98"/>
    </row>
    <row r="487">
      <c r="D487" s="98"/>
      <c r="E487" s="98"/>
      <c r="F487" s="98"/>
      <c r="G487" s="98"/>
      <c r="H487" s="98"/>
    </row>
    <row r="488">
      <c r="D488" s="98"/>
      <c r="E488" s="98"/>
      <c r="F488" s="98"/>
      <c r="G488" s="98"/>
      <c r="H488" s="98"/>
    </row>
    <row r="489">
      <c r="D489" s="98"/>
      <c r="E489" s="98"/>
      <c r="F489" s="98"/>
      <c r="G489" s="98"/>
      <c r="H489" s="98"/>
    </row>
    <row r="490">
      <c r="D490" s="98"/>
      <c r="E490" s="98"/>
      <c r="F490" s="98"/>
      <c r="G490" s="98"/>
      <c r="H490" s="98"/>
    </row>
    <row r="491">
      <c r="D491" s="98"/>
      <c r="E491" s="98"/>
      <c r="F491" s="98"/>
      <c r="G491" s="98"/>
      <c r="H491" s="98"/>
    </row>
    <row r="492">
      <c r="D492" s="98"/>
      <c r="E492" s="98"/>
      <c r="F492" s="98"/>
      <c r="G492" s="98"/>
      <c r="H492" s="98"/>
    </row>
    <row r="493">
      <c r="D493" s="98"/>
      <c r="E493" s="98"/>
      <c r="F493" s="98"/>
      <c r="G493" s="98"/>
      <c r="H493" s="98"/>
    </row>
    <row r="494">
      <c r="D494" s="98"/>
      <c r="E494" s="98"/>
      <c r="F494" s="98"/>
      <c r="G494" s="98"/>
      <c r="H494" s="98"/>
    </row>
    <row r="495">
      <c r="D495" s="98"/>
      <c r="E495" s="98"/>
      <c r="F495" s="98"/>
      <c r="G495" s="98"/>
      <c r="H495" s="98"/>
    </row>
    <row r="496">
      <c r="D496" s="98"/>
      <c r="E496" s="98"/>
      <c r="F496" s="98"/>
      <c r="G496" s="98"/>
      <c r="H496" s="98"/>
    </row>
    <row r="497">
      <c r="D497" s="98"/>
      <c r="E497" s="98"/>
      <c r="F497" s="98"/>
      <c r="G497" s="98"/>
      <c r="H497" s="98"/>
    </row>
    <row r="498">
      <c r="D498" s="98"/>
      <c r="E498" s="98"/>
      <c r="F498" s="98"/>
      <c r="G498" s="98"/>
      <c r="H498" s="98"/>
    </row>
    <row r="499">
      <c r="D499" s="98"/>
      <c r="E499" s="98"/>
      <c r="F499" s="98"/>
      <c r="G499" s="98"/>
      <c r="H499" s="98"/>
    </row>
    <row r="500">
      <c r="D500" s="98"/>
      <c r="E500" s="98"/>
      <c r="F500" s="98"/>
      <c r="G500" s="98"/>
      <c r="H500" s="98"/>
    </row>
    <row r="501">
      <c r="D501" s="98"/>
      <c r="E501" s="98"/>
      <c r="F501" s="98"/>
      <c r="G501" s="98"/>
      <c r="H501" s="98"/>
    </row>
    <row r="502">
      <c r="D502" s="98"/>
      <c r="E502" s="98"/>
      <c r="F502" s="98"/>
      <c r="G502" s="98"/>
      <c r="H502" s="98"/>
    </row>
    <row r="503">
      <c r="D503" s="98"/>
      <c r="E503" s="98"/>
      <c r="F503" s="98"/>
      <c r="G503" s="98"/>
      <c r="H503" s="98"/>
    </row>
    <row r="504">
      <c r="D504" s="98"/>
      <c r="E504" s="98"/>
      <c r="F504" s="98"/>
      <c r="G504" s="98"/>
      <c r="H504" s="98"/>
    </row>
    <row r="505">
      <c r="D505" s="98"/>
      <c r="E505" s="98"/>
      <c r="F505" s="98"/>
      <c r="G505" s="98"/>
      <c r="H505" s="98"/>
    </row>
    <row r="506">
      <c r="D506" s="98"/>
      <c r="E506" s="98"/>
      <c r="F506" s="98"/>
      <c r="G506" s="98"/>
      <c r="H506" s="98"/>
    </row>
    <row r="507">
      <c r="D507" s="98"/>
      <c r="E507" s="98"/>
      <c r="F507" s="98"/>
      <c r="G507" s="98"/>
      <c r="H507" s="98"/>
    </row>
    <row r="508">
      <c r="D508" s="98"/>
      <c r="E508" s="98"/>
      <c r="F508" s="98"/>
      <c r="G508" s="98"/>
      <c r="H508" s="98"/>
    </row>
    <row r="509">
      <c r="D509" s="98"/>
      <c r="E509" s="98"/>
      <c r="F509" s="98"/>
      <c r="G509" s="98"/>
      <c r="H509" s="98"/>
    </row>
    <row r="510">
      <c r="D510" s="98"/>
      <c r="E510" s="98"/>
      <c r="F510" s="98"/>
      <c r="G510" s="98"/>
      <c r="H510" s="98"/>
    </row>
    <row r="511">
      <c r="D511" s="98"/>
      <c r="E511" s="98"/>
      <c r="F511" s="98"/>
      <c r="G511" s="98"/>
      <c r="H511" s="98"/>
    </row>
    <row r="512">
      <c r="D512" s="98"/>
      <c r="E512" s="98"/>
      <c r="F512" s="98"/>
      <c r="G512" s="98"/>
      <c r="H512" s="98"/>
    </row>
    <row r="513">
      <c r="D513" s="98"/>
      <c r="E513" s="98"/>
      <c r="F513" s="98"/>
      <c r="G513" s="98"/>
      <c r="H513" s="98"/>
    </row>
    <row r="514">
      <c r="D514" s="98"/>
      <c r="E514" s="98"/>
      <c r="F514" s="98"/>
      <c r="G514" s="98"/>
      <c r="H514" s="98"/>
    </row>
    <row r="515">
      <c r="D515" s="98"/>
      <c r="E515" s="98"/>
      <c r="F515" s="98"/>
      <c r="G515" s="98"/>
      <c r="H515" s="98"/>
    </row>
    <row r="516">
      <c r="D516" s="98"/>
      <c r="E516" s="98"/>
      <c r="F516" s="98"/>
      <c r="G516" s="98"/>
      <c r="H516" s="98"/>
    </row>
    <row r="517">
      <c r="D517" s="98"/>
      <c r="E517" s="98"/>
      <c r="F517" s="98"/>
      <c r="G517" s="98"/>
      <c r="H517" s="98"/>
    </row>
    <row r="518">
      <c r="D518" s="98"/>
      <c r="E518" s="98"/>
      <c r="F518" s="98"/>
      <c r="G518" s="98"/>
      <c r="H518" s="98"/>
    </row>
    <row r="519">
      <c r="D519" s="98"/>
      <c r="E519" s="98"/>
      <c r="F519" s="98"/>
      <c r="G519" s="98"/>
      <c r="H519" s="98"/>
    </row>
    <row r="520">
      <c r="D520" s="98"/>
      <c r="E520" s="98"/>
      <c r="F520" s="98"/>
      <c r="G520" s="98"/>
      <c r="H520" s="98"/>
    </row>
    <row r="521">
      <c r="D521" s="98"/>
      <c r="E521" s="98"/>
      <c r="F521" s="98"/>
      <c r="G521" s="98"/>
      <c r="H521" s="98"/>
    </row>
    <row r="522">
      <c r="D522" s="98"/>
      <c r="E522" s="98"/>
      <c r="F522" s="98"/>
      <c r="G522" s="98"/>
      <c r="H522" s="98"/>
    </row>
    <row r="523">
      <c r="D523" s="98"/>
      <c r="E523" s="98"/>
      <c r="F523" s="98"/>
      <c r="G523" s="98"/>
      <c r="H523" s="98"/>
    </row>
    <row r="524">
      <c r="D524" s="98"/>
      <c r="E524" s="98"/>
      <c r="F524" s="98"/>
      <c r="G524" s="98"/>
      <c r="H524" s="98"/>
    </row>
    <row r="525">
      <c r="D525" s="98"/>
      <c r="E525" s="98"/>
      <c r="F525" s="98"/>
      <c r="G525" s="98"/>
      <c r="H525" s="98"/>
    </row>
    <row r="526">
      <c r="D526" s="98"/>
      <c r="E526" s="98"/>
      <c r="F526" s="98"/>
      <c r="G526" s="98"/>
      <c r="H526" s="98"/>
    </row>
    <row r="527">
      <c r="D527" s="98"/>
      <c r="E527" s="98"/>
      <c r="F527" s="98"/>
      <c r="G527" s="98"/>
      <c r="H527" s="98"/>
    </row>
    <row r="528">
      <c r="D528" s="98"/>
      <c r="E528" s="98"/>
      <c r="F528" s="98"/>
      <c r="G528" s="98"/>
      <c r="H528" s="98"/>
    </row>
    <row r="529">
      <c r="D529" s="98"/>
      <c r="E529" s="98"/>
      <c r="F529" s="98"/>
      <c r="G529" s="98"/>
      <c r="H529" s="98"/>
    </row>
    <row r="530">
      <c r="D530" s="98"/>
      <c r="E530" s="98"/>
      <c r="F530" s="98"/>
      <c r="G530" s="98"/>
      <c r="H530" s="98"/>
    </row>
    <row r="531">
      <c r="D531" s="98"/>
      <c r="E531" s="98"/>
      <c r="F531" s="98"/>
      <c r="G531" s="98"/>
      <c r="H531" s="98"/>
    </row>
    <row r="532">
      <c r="D532" s="98"/>
      <c r="E532" s="98"/>
      <c r="F532" s="98"/>
      <c r="G532" s="98"/>
      <c r="H532" s="98"/>
    </row>
    <row r="533">
      <c r="D533" s="98"/>
      <c r="E533" s="98"/>
      <c r="F533" s="98"/>
      <c r="G533" s="98"/>
      <c r="H533" s="98"/>
    </row>
    <row r="534">
      <c r="D534" s="98"/>
      <c r="E534" s="98"/>
      <c r="F534" s="98"/>
      <c r="G534" s="98"/>
      <c r="H534" s="98"/>
    </row>
    <row r="535">
      <c r="D535" s="98"/>
      <c r="E535" s="98"/>
      <c r="F535" s="98"/>
      <c r="G535" s="98"/>
      <c r="H535" s="98"/>
    </row>
    <row r="536">
      <c r="D536" s="98"/>
      <c r="E536" s="98"/>
      <c r="F536" s="98"/>
      <c r="G536" s="98"/>
      <c r="H536" s="98"/>
    </row>
    <row r="537">
      <c r="D537" s="98"/>
      <c r="E537" s="98"/>
      <c r="F537" s="98"/>
      <c r="G537" s="98"/>
      <c r="H537" s="98"/>
    </row>
    <row r="538">
      <c r="D538" s="98"/>
      <c r="E538" s="98"/>
      <c r="F538" s="98"/>
      <c r="G538" s="98"/>
      <c r="H538" s="98"/>
    </row>
    <row r="539">
      <c r="D539" s="98"/>
      <c r="E539" s="98"/>
      <c r="F539" s="98"/>
      <c r="G539" s="98"/>
      <c r="H539" s="98"/>
    </row>
    <row r="540">
      <c r="D540" s="98"/>
      <c r="E540" s="98"/>
      <c r="F540" s="98"/>
      <c r="G540" s="98"/>
      <c r="H540" s="98"/>
    </row>
    <row r="541">
      <c r="D541" s="98"/>
      <c r="E541" s="98"/>
      <c r="F541" s="98"/>
      <c r="G541" s="98"/>
      <c r="H541" s="98"/>
    </row>
    <row r="542">
      <c r="D542" s="98"/>
      <c r="E542" s="98"/>
      <c r="F542" s="98"/>
      <c r="G542" s="98"/>
      <c r="H542" s="98"/>
    </row>
    <row r="543">
      <c r="D543" s="98"/>
      <c r="E543" s="98"/>
      <c r="F543" s="98"/>
      <c r="G543" s="98"/>
      <c r="H543" s="98"/>
    </row>
    <row r="544">
      <c r="D544" s="98"/>
      <c r="E544" s="98"/>
      <c r="F544" s="98"/>
      <c r="G544" s="98"/>
      <c r="H544" s="98"/>
    </row>
    <row r="545">
      <c r="D545" s="98"/>
      <c r="E545" s="98"/>
      <c r="F545" s="98"/>
      <c r="G545" s="98"/>
      <c r="H545" s="98"/>
    </row>
    <row r="546">
      <c r="D546" s="98"/>
      <c r="E546" s="98"/>
      <c r="F546" s="98"/>
      <c r="G546" s="98"/>
      <c r="H546" s="98"/>
    </row>
    <row r="547">
      <c r="D547" s="98"/>
      <c r="E547" s="98"/>
      <c r="F547" s="98"/>
      <c r="G547" s="98"/>
      <c r="H547" s="98"/>
    </row>
    <row r="548">
      <c r="D548" s="98"/>
      <c r="E548" s="98"/>
      <c r="F548" s="98"/>
      <c r="G548" s="98"/>
      <c r="H548" s="98"/>
    </row>
    <row r="549">
      <c r="D549" s="98"/>
      <c r="E549" s="98"/>
      <c r="F549" s="98"/>
      <c r="G549" s="98"/>
      <c r="H549" s="98"/>
    </row>
    <row r="550">
      <c r="D550" s="98"/>
      <c r="E550" s="98"/>
      <c r="F550" s="98"/>
      <c r="G550" s="98"/>
      <c r="H550" s="98"/>
    </row>
    <row r="551">
      <c r="D551" s="98"/>
      <c r="E551" s="98"/>
      <c r="F551" s="98"/>
      <c r="G551" s="98"/>
      <c r="H551" s="98"/>
    </row>
    <row r="552">
      <c r="D552" s="98"/>
      <c r="E552" s="98"/>
      <c r="F552" s="98"/>
      <c r="G552" s="98"/>
      <c r="H552" s="98"/>
    </row>
    <row r="553">
      <c r="D553" s="98"/>
      <c r="E553" s="98"/>
      <c r="F553" s="98"/>
      <c r="G553" s="98"/>
      <c r="H553" s="98"/>
    </row>
    <row r="554">
      <c r="D554" s="98"/>
      <c r="E554" s="98"/>
      <c r="F554" s="98"/>
      <c r="G554" s="98"/>
      <c r="H554" s="98"/>
    </row>
    <row r="555">
      <c r="D555" s="98"/>
      <c r="E555" s="98"/>
      <c r="F555" s="98"/>
      <c r="G555" s="98"/>
      <c r="H555" s="98"/>
    </row>
    <row r="556">
      <c r="D556" s="98"/>
      <c r="E556" s="98"/>
      <c r="F556" s="98"/>
      <c r="G556" s="98"/>
      <c r="H556" s="98"/>
    </row>
    <row r="557">
      <c r="D557" s="98"/>
      <c r="E557" s="98"/>
      <c r="F557" s="98"/>
      <c r="G557" s="98"/>
      <c r="H557" s="98"/>
    </row>
    <row r="558">
      <c r="D558" s="98"/>
      <c r="E558" s="98"/>
      <c r="F558" s="98"/>
      <c r="G558" s="98"/>
      <c r="H558" s="98"/>
    </row>
    <row r="559">
      <c r="D559" s="98"/>
      <c r="E559" s="98"/>
      <c r="F559" s="98"/>
      <c r="G559" s="98"/>
      <c r="H559" s="98"/>
    </row>
    <row r="560">
      <c r="D560" s="98"/>
      <c r="E560" s="98"/>
      <c r="F560" s="98"/>
      <c r="G560" s="98"/>
      <c r="H560" s="98"/>
    </row>
    <row r="561">
      <c r="D561" s="98"/>
      <c r="E561" s="98"/>
      <c r="F561" s="98"/>
      <c r="G561" s="98"/>
      <c r="H561" s="98"/>
    </row>
    <row r="562">
      <c r="D562" s="98"/>
      <c r="E562" s="98"/>
      <c r="F562" s="98"/>
      <c r="G562" s="98"/>
      <c r="H562" s="98"/>
    </row>
    <row r="563">
      <c r="D563" s="98"/>
      <c r="E563" s="98"/>
      <c r="F563" s="98"/>
      <c r="G563" s="98"/>
      <c r="H563" s="98"/>
    </row>
    <row r="564">
      <c r="D564" s="98"/>
      <c r="E564" s="98"/>
      <c r="F564" s="98"/>
      <c r="G564" s="98"/>
      <c r="H564" s="98"/>
    </row>
    <row r="565">
      <c r="D565" s="98"/>
      <c r="E565" s="98"/>
      <c r="F565" s="98"/>
      <c r="G565" s="98"/>
      <c r="H565" s="98"/>
    </row>
    <row r="566">
      <c r="D566" s="98"/>
      <c r="E566" s="98"/>
      <c r="F566" s="98"/>
      <c r="G566" s="98"/>
      <c r="H566" s="98"/>
    </row>
    <row r="567">
      <c r="D567" s="98"/>
      <c r="E567" s="98"/>
      <c r="F567" s="98"/>
      <c r="G567" s="98"/>
      <c r="H567" s="98"/>
    </row>
    <row r="568">
      <c r="D568" s="98"/>
      <c r="E568" s="98"/>
      <c r="F568" s="98"/>
      <c r="G568" s="98"/>
      <c r="H568" s="98"/>
    </row>
    <row r="569">
      <c r="D569" s="98"/>
      <c r="E569" s="98"/>
      <c r="F569" s="98"/>
      <c r="G569" s="98"/>
      <c r="H569" s="98"/>
    </row>
    <row r="570">
      <c r="D570" s="98"/>
      <c r="E570" s="98"/>
      <c r="F570" s="98"/>
      <c r="G570" s="98"/>
      <c r="H570" s="98"/>
    </row>
    <row r="571">
      <c r="D571" s="98"/>
      <c r="E571" s="98"/>
      <c r="F571" s="98"/>
      <c r="G571" s="98"/>
      <c r="H571" s="98"/>
    </row>
    <row r="572">
      <c r="D572" s="98"/>
      <c r="E572" s="98"/>
      <c r="F572" s="98"/>
      <c r="G572" s="98"/>
      <c r="H572" s="98"/>
    </row>
    <row r="573">
      <c r="D573" s="98"/>
      <c r="E573" s="98"/>
      <c r="F573" s="98"/>
      <c r="G573" s="98"/>
      <c r="H573" s="98"/>
    </row>
    <row r="574">
      <c r="D574" s="98"/>
      <c r="E574" s="98"/>
      <c r="F574" s="98"/>
      <c r="G574" s="98"/>
      <c r="H574" s="98"/>
    </row>
    <row r="575">
      <c r="D575" s="98"/>
      <c r="E575" s="98"/>
      <c r="F575" s="98"/>
      <c r="G575" s="98"/>
      <c r="H575" s="98"/>
    </row>
    <row r="576">
      <c r="D576" s="98"/>
      <c r="E576" s="98"/>
      <c r="F576" s="98"/>
      <c r="G576" s="98"/>
      <c r="H576" s="98"/>
    </row>
    <row r="577">
      <c r="D577" s="98"/>
      <c r="E577" s="98"/>
      <c r="F577" s="98"/>
      <c r="G577" s="98"/>
      <c r="H577" s="98"/>
    </row>
    <row r="578">
      <c r="D578" s="98"/>
      <c r="E578" s="98"/>
      <c r="F578" s="98"/>
      <c r="G578" s="98"/>
      <c r="H578" s="98"/>
    </row>
    <row r="579">
      <c r="D579" s="98"/>
      <c r="E579" s="98"/>
      <c r="F579" s="98"/>
      <c r="G579" s="98"/>
      <c r="H579" s="98"/>
    </row>
    <row r="580">
      <c r="D580" s="98"/>
      <c r="E580" s="98"/>
      <c r="F580" s="98"/>
      <c r="G580" s="98"/>
      <c r="H580" s="98"/>
    </row>
    <row r="581">
      <c r="D581" s="98"/>
      <c r="E581" s="98"/>
      <c r="F581" s="98"/>
      <c r="G581" s="98"/>
      <c r="H581" s="98"/>
    </row>
    <row r="582">
      <c r="D582" s="98"/>
      <c r="E582" s="98"/>
      <c r="F582" s="98"/>
      <c r="G582" s="98"/>
      <c r="H582" s="98"/>
    </row>
    <row r="583">
      <c r="D583" s="98"/>
      <c r="E583" s="98"/>
      <c r="F583" s="98"/>
      <c r="G583" s="98"/>
      <c r="H583" s="98"/>
    </row>
    <row r="584">
      <c r="D584" s="98"/>
      <c r="E584" s="98"/>
      <c r="F584" s="98"/>
      <c r="G584" s="98"/>
      <c r="H584" s="98"/>
    </row>
    <row r="585">
      <c r="D585" s="98"/>
      <c r="E585" s="98"/>
      <c r="F585" s="98"/>
      <c r="G585" s="98"/>
      <c r="H585" s="98"/>
    </row>
    <row r="586">
      <c r="D586" s="98"/>
      <c r="E586" s="98"/>
      <c r="F586" s="98"/>
      <c r="G586" s="98"/>
      <c r="H586" s="98"/>
    </row>
    <row r="587">
      <c r="D587" s="98"/>
      <c r="E587" s="98"/>
      <c r="F587" s="98"/>
      <c r="G587" s="98"/>
      <c r="H587" s="98"/>
    </row>
    <row r="588">
      <c r="D588" s="98"/>
      <c r="E588" s="98"/>
      <c r="F588" s="98"/>
      <c r="G588" s="98"/>
      <c r="H588" s="98"/>
    </row>
    <row r="589">
      <c r="D589" s="98"/>
      <c r="E589" s="98"/>
      <c r="F589" s="98"/>
      <c r="G589" s="98"/>
      <c r="H589" s="98"/>
    </row>
    <row r="590">
      <c r="D590" s="98"/>
      <c r="E590" s="98"/>
      <c r="F590" s="98"/>
      <c r="G590" s="98"/>
      <c r="H590" s="98"/>
    </row>
    <row r="591">
      <c r="D591" s="98"/>
      <c r="E591" s="98"/>
      <c r="F591" s="98"/>
      <c r="G591" s="98"/>
      <c r="H591" s="98"/>
    </row>
    <row r="592">
      <c r="D592" s="98"/>
      <c r="E592" s="98"/>
      <c r="F592" s="98"/>
      <c r="G592" s="98"/>
      <c r="H592" s="98"/>
    </row>
    <row r="593">
      <c r="D593" s="98"/>
      <c r="E593" s="98"/>
      <c r="F593" s="98"/>
      <c r="G593" s="98"/>
      <c r="H593" s="98"/>
    </row>
    <row r="594">
      <c r="D594" s="98"/>
      <c r="E594" s="98"/>
      <c r="F594" s="98"/>
      <c r="G594" s="98"/>
      <c r="H594" s="98"/>
    </row>
    <row r="595">
      <c r="D595" s="98"/>
      <c r="E595" s="98"/>
      <c r="F595" s="98"/>
      <c r="G595" s="98"/>
      <c r="H595" s="98"/>
    </row>
    <row r="596">
      <c r="D596" s="98"/>
      <c r="E596" s="98"/>
      <c r="F596" s="98"/>
      <c r="G596" s="98"/>
      <c r="H596" s="98"/>
    </row>
    <row r="597">
      <c r="D597" s="98"/>
      <c r="E597" s="98"/>
      <c r="F597" s="98"/>
      <c r="G597" s="98"/>
      <c r="H597" s="98"/>
    </row>
    <row r="598">
      <c r="D598" s="98"/>
      <c r="E598" s="98"/>
      <c r="F598" s="98"/>
      <c r="G598" s="98"/>
      <c r="H598" s="98"/>
    </row>
    <row r="599">
      <c r="D599" s="98"/>
      <c r="E599" s="98"/>
      <c r="F599" s="98"/>
      <c r="G599" s="98"/>
      <c r="H599" s="98"/>
    </row>
    <row r="600">
      <c r="D600" s="98"/>
      <c r="E600" s="98"/>
      <c r="F600" s="98"/>
      <c r="G600" s="98"/>
      <c r="H600" s="98"/>
    </row>
    <row r="601">
      <c r="D601" s="98"/>
      <c r="E601" s="98"/>
      <c r="F601" s="98"/>
      <c r="G601" s="98"/>
      <c r="H601" s="98"/>
    </row>
    <row r="602">
      <c r="D602" s="98"/>
      <c r="E602" s="98"/>
      <c r="F602" s="98"/>
      <c r="G602" s="98"/>
      <c r="H602" s="98"/>
    </row>
    <row r="603">
      <c r="D603" s="98"/>
      <c r="E603" s="98"/>
      <c r="F603" s="98"/>
      <c r="G603" s="98"/>
      <c r="H603" s="98"/>
    </row>
    <row r="604">
      <c r="D604" s="98"/>
      <c r="E604" s="98"/>
      <c r="F604" s="98"/>
      <c r="G604" s="98"/>
      <c r="H604" s="98"/>
    </row>
    <row r="605">
      <c r="D605" s="98"/>
      <c r="E605" s="98"/>
      <c r="F605" s="98"/>
      <c r="G605" s="98"/>
      <c r="H605" s="98"/>
    </row>
    <row r="606">
      <c r="D606" s="98"/>
      <c r="E606" s="98"/>
      <c r="F606" s="98"/>
      <c r="G606" s="98"/>
      <c r="H606" s="98"/>
    </row>
    <row r="607">
      <c r="D607" s="98"/>
      <c r="E607" s="98"/>
      <c r="F607" s="98"/>
      <c r="G607" s="98"/>
      <c r="H607" s="98"/>
    </row>
    <row r="608">
      <c r="D608" s="98"/>
      <c r="E608" s="98"/>
      <c r="F608" s="98"/>
      <c r="G608" s="98"/>
      <c r="H608" s="98"/>
    </row>
    <row r="609">
      <c r="D609" s="98"/>
      <c r="E609" s="98"/>
      <c r="F609" s="98"/>
      <c r="G609" s="98"/>
      <c r="H609" s="98"/>
    </row>
    <row r="610">
      <c r="D610" s="98"/>
      <c r="E610" s="98"/>
      <c r="F610" s="98"/>
      <c r="G610" s="98"/>
      <c r="H610" s="98"/>
    </row>
    <row r="611">
      <c r="D611" s="98"/>
      <c r="E611" s="98"/>
      <c r="F611" s="98"/>
      <c r="G611" s="98"/>
      <c r="H611" s="98"/>
    </row>
    <row r="612">
      <c r="D612" s="98"/>
      <c r="E612" s="98"/>
      <c r="F612" s="98"/>
      <c r="G612" s="98"/>
      <c r="H612" s="98"/>
    </row>
    <row r="613">
      <c r="D613" s="98"/>
      <c r="E613" s="98"/>
      <c r="F613" s="98"/>
      <c r="G613" s="98"/>
      <c r="H613" s="98"/>
    </row>
    <row r="614">
      <c r="D614" s="98"/>
      <c r="E614" s="98"/>
      <c r="F614" s="98"/>
      <c r="G614" s="98"/>
      <c r="H614" s="98"/>
    </row>
    <row r="615">
      <c r="D615" s="98"/>
      <c r="E615" s="98"/>
      <c r="F615" s="98"/>
      <c r="G615" s="98"/>
      <c r="H615" s="98"/>
    </row>
    <row r="616">
      <c r="D616" s="98"/>
      <c r="E616" s="98"/>
      <c r="F616" s="98"/>
      <c r="G616" s="98"/>
      <c r="H616" s="98"/>
    </row>
    <row r="617">
      <c r="D617" s="98"/>
      <c r="E617" s="98"/>
      <c r="F617" s="98"/>
      <c r="G617" s="98"/>
      <c r="H617" s="98"/>
    </row>
    <row r="618">
      <c r="D618" s="98"/>
      <c r="E618" s="98"/>
      <c r="F618" s="98"/>
      <c r="G618" s="98"/>
      <c r="H618" s="98"/>
    </row>
    <row r="619">
      <c r="D619" s="98"/>
      <c r="E619" s="98"/>
      <c r="F619" s="98"/>
      <c r="G619" s="98"/>
      <c r="H619" s="98"/>
    </row>
    <row r="620">
      <c r="D620" s="98"/>
      <c r="E620" s="98"/>
      <c r="F620" s="98"/>
      <c r="G620" s="98"/>
      <c r="H620" s="98"/>
    </row>
    <row r="621">
      <c r="D621" s="98"/>
      <c r="E621" s="98"/>
      <c r="F621" s="98"/>
      <c r="G621" s="98"/>
      <c r="H621" s="98"/>
    </row>
    <row r="622">
      <c r="D622" s="98"/>
      <c r="E622" s="98"/>
      <c r="F622" s="98"/>
      <c r="G622" s="98"/>
      <c r="H622" s="98"/>
    </row>
    <row r="623">
      <c r="D623" s="98"/>
      <c r="E623" s="98"/>
      <c r="F623" s="98"/>
      <c r="G623" s="98"/>
      <c r="H623" s="98"/>
    </row>
    <row r="624">
      <c r="D624" s="98"/>
      <c r="E624" s="98"/>
      <c r="F624" s="98"/>
      <c r="G624" s="98"/>
      <c r="H624" s="98"/>
    </row>
    <row r="625">
      <c r="D625" s="98"/>
      <c r="E625" s="98"/>
      <c r="F625" s="98"/>
      <c r="G625" s="98"/>
      <c r="H625" s="98"/>
    </row>
    <row r="626">
      <c r="D626" s="98"/>
      <c r="E626" s="98"/>
      <c r="F626" s="98"/>
      <c r="G626" s="98"/>
      <c r="H626" s="98"/>
    </row>
    <row r="627">
      <c r="D627" s="98"/>
      <c r="E627" s="98"/>
      <c r="F627" s="98"/>
      <c r="G627" s="98"/>
      <c r="H627" s="98"/>
    </row>
    <row r="628">
      <c r="D628" s="98"/>
      <c r="E628" s="98"/>
      <c r="F628" s="98"/>
      <c r="G628" s="98"/>
      <c r="H628" s="98"/>
    </row>
    <row r="629">
      <c r="D629" s="98"/>
      <c r="E629" s="98"/>
      <c r="F629" s="98"/>
      <c r="G629" s="98"/>
      <c r="H629" s="98"/>
    </row>
    <row r="630">
      <c r="D630" s="98"/>
      <c r="E630" s="98"/>
      <c r="F630" s="98"/>
      <c r="G630" s="98"/>
      <c r="H630" s="98"/>
    </row>
    <row r="631">
      <c r="D631" s="98"/>
      <c r="E631" s="98"/>
      <c r="F631" s="98"/>
      <c r="G631" s="98"/>
      <c r="H631" s="98"/>
    </row>
    <row r="632">
      <c r="D632" s="98"/>
      <c r="E632" s="98"/>
      <c r="F632" s="98"/>
      <c r="G632" s="98"/>
      <c r="H632" s="98"/>
    </row>
    <row r="633">
      <c r="D633" s="98"/>
      <c r="E633" s="98"/>
      <c r="F633" s="98"/>
      <c r="G633" s="98"/>
      <c r="H633" s="98"/>
    </row>
    <row r="634">
      <c r="D634" s="98"/>
      <c r="E634" s="98"/>
      <c r="F634" s="98"/>
      <c r="G634" s="98"/>
      <c r="H634" s="98"/>
    </row>
    <row r="635">
      <c r="D635" s="98"/>
      <c r="E635" s="98"/>
      <c r="F635" s="98"/>
      <c r="G635" s="98"/>
      <c r="H635" s="98"/>
    </row>
    <row r="636">
      <c r="D636" s="98"/>
      <c r="E636" s="98"/>
      <c r="F636" s="98"/>
      <c r="G636" s="98"/>
      <c r="H636" s="98"/>
    </row>
    <row r="637">
      <c r="D637" s="98"/>
      <c r="E637" s="98"/>
      <c r="F637" s="98"/>
      <c r="G637" s="98"/>
      <c r="H637" s="98"/>
    </row>
    <row r="638">
      <c r="D638" s="98"/>
      <c r="E638" s="98"/>
      <c r="F638" s="98"/>
      <c r="G638" s="98"/>
      <c r="H638" s="98"/>
    </row>
    <row r="639">
      <c r="D639" s="98"/>
      <c r="E639" s="98"/>
      <c r="F639" s="98"/>
      <c r="G639" s="98"/>
      <c r="H639" s="98"/>
    </row>
    <row r="640">
      <c r="D640" s="98"/>
      <c r="E640" s="98"/>
      <c r="F640" s="98"/>
      <c r="G640" s="98"/>
      <c r="H640" s="98"/>
    </row>
    <row r="641">
      <c r="D641" s="98"/>
      <c r="E641" s="98"/>
      <c r="F641" s="98"/>
      <c r="G641" s="98"/>
      <c r="H641" s="98"/>
    </row>
    <row r="642">
      <c r="D642" s="98"/>
      <c r="E642" s="98"/>
      <c r="F642" s="98"/>
      <c r="G642" s="98"/>
      <c r="H642" s="98"/>
    </row>
    <row r="643">
      <c r="D643" s="98"/>
      <c r="E643" s="98"/>
      <c r="F643" s="98"/>
      <c r="G643" s="98"/>
      <c r="H643" s="98"/>
    </row>
    <row r="644">
      <c r="D644" s="98"/>
      <c r="E644" s="98"/>
      <c r="F644" s="98"/>
      <c r="G644" s="98"/>
      <c r="H644" s="98"/>
    </row>
    <row r="645">
      <c r="D645" s="98"/>
      <c r="E645" s="98"/>
      <c r="F645" s="98"/>
      <c r="G645" s="98"/>
      <c r="H645" s="98"/>
    </row>
    <row r="646">
      <c r="D646" s="98"/>
      <c r="E646" s="98"/>
      <c r="F646" s="98"/>
      <c r="G646" s="98"/>
      <c r="H646" s="98"/>
    </row>
    <row r="647">
      <c r="D647" s="98"/>
      <c r="E647" s="98"/>
      <c r="F647" s="98"/>
      <c r="G647" s="98"/>
      <c r="H647" s="98"/>
    </row>
    <row r="648">
      <c r="D648" s="98"/>
      <c r="E648" s="98"/>
      <c r="F648" s="98"/>
      <c r="G648" s="98"/>
      <c r="H648" s="98"/>
    </row>
    <row r="649">
      <c r="D649" s="98"/>
      <c r="E649" s="98"/>
      <c r="F649" s="98"/>
      <c r="G649" s="98"/>
      <c r="H649" s="98"/>
    </row>
    <row r="650">
      <c r="D650" s="98"/>
      <c r="E650" s="98"/>
      <c r="F650" s="98"/>
      <c r="G650" s="98"/>
      <c r="H650" s="98"/>
    </row>
    <row r="651">
      <c r="D651" s="98"/>
      <c r="E651" s="98"/>
      <c r="F651" s="98"/>
      <c r="G651" s="98"/>
      <c r="H651" s="98"/>
    </row>
    <row r="652">
      <c r="D652" s="98"/>
      <c r="E652" s="98"/>
      <c r="F652" s="98"/>
      <c r="G652" s="98"/>
      <c r="H652" s="98"/>
    </row>
    <row r="653">
      <c r="D653" s="98"/>
      <c r="E653" s="98"/>
      <c r="F653" s="98"/>
      <c r="G653" s="98"/>
      <c r="H653" s="98"/>
    </row>
    <row r="654">
      <c r="D654" s="98"/>
      <c r="E654" s="98"/>
      <c r="F654" s="98"/>
      <c r="G654" s="98"/>
      <c r="H654" s="98"/>
    </row>
    <row r="655">
      <c r="D655" s="98"/>
      <c r="E655" s="98"/>
      <c r="F655" s="98"/>
      <c r="G655" s="98"/>
      <c r="H655" s="98"/>
    </row>
    <row r="656">
      <c r="D656" s="98"/>
      <c r="E656" s="98"/>
      <c r="F656" s="98"/>
      <c r="G656" s="98"/>
      <c r="H656" s="98"/>
    </row>
    <row r="657">
      <c r="D657" s="98"/>
      <c r="E657" s="98"/>
      <c r="F657" s="98"/>
      <c r="G657" s="98"/>
      <c r="H657" s="98"/>
    </row>
    <row r="658">
      <c r="D658" s="98"/>
      <c r="E658" s="98"/>
      <c r="F658" s="98"/>
      <c r="G658" s="98"/>
      <c r="H658" s="98"/>
    </row>
    <row r="659">
      <c r="D659" s="98"/>
      <c r="E659" s="98"/>
      <c r="F659" s="98"/>
      <c r="G659" s="98"/>
      <c r="H659" s="98"/>
    </row>
    <row r="660">
      <c r="D660" s="98"/>
      <c r="E660" s="98"/>
      <c r="F660" s="98"/>
      <c r="G660" s="98"/>
      <c r="H660" s="98"/>
    </row>
    <row r="661">
      <c r="D661" s="98"/>
      <c r="E661" s="98"/>
      <c r="F661" s="98"/>
      <c r="G661" s="98"/>
      <c r="H661" s="98"/>
    </row>
    <row r="662">
      <c r="D662" s="98"/>
      <c r="E662" s="98"/>
      <c r="F662" s="98"/>
      <c r="G662" s="98"/>
      <c r="H662" s="98"/>
    </row>
    <row r="663">
      <c r="D663" s="98"/>
      <c r="E663" s="98"/>
      <c r="F663" s="98"/>
      <c r="G663" s="98"/>
      <c r="H663" s="98"/>
    </row>
    <row r="664">
      <c r="D664" s="98"/>
      <c r="E664" s="98"/>
      <c r="F664" s="98"/>
      <c r="G664" s="98"/>
      <c r="H664" s="98"/>
    </row>
    <row r="665">
      <c r="D665" s="98"/>
      <c r="E665" s="98"/>
      <c r="F665" s="98"/>
      <c r="G665" s="98"/>
      <c r="H665" s="98"/>
    </row>
    <row r="666">
      <c r="D666" s="98"/>
      <c r="E666" s="98"/>
      <c r="F666" s="98"/>
      <c r="G666" s="98"/>
      <c r="H666" s="98"/>
    </row>
    <row r="667">
      <c r="D667" s="98"/>
      <c r="E667" s="98"/>
      <c r="F667" s="98"/>
      <c r="G667" s="98"/>
      <c r="H667" s="98"/>
    </row>
    <row r="668">
      <c r="D668" s="98"/>
      <c r="E668" s="98"/>
      <c r="F668" s="98"/>
      <c r="G668" s="98"/>
      <c r="H668" s="98"/>
    </row>
    <row r="669">
      <c r="D669" s="98"/>
      <c r="E669" s="98"/>
      <c r="F669" s="98"/>
      <c r="G669" s="98"/>
      <c r="H669" s="98"/>
    </row>
    <row r="670">
      <c r="D670" s="98"/>
      <c r="E670" s="98"/>
      <c r="F670" s="98"/>
      <c r="G670" s="98"/>
      <c r="H670" s="98"/>
    </row>
    <row r="671">
      <c r="D671" s="98"/>
      <c r="E671" s="98"/>
      <c r="F671" s="98"/>
      <c r="G671" s="98"/>
      <c r="H671" s="98"/>
    </row>
    <row r="672">
      <c r="D672" s="98"/>
      <c r="E672" s="98"/>
      <c r="F672" s="98"/>
      <c r="G672" s="98"/>
      <c r="H672" s="98"/>
    </row>
    <row r="673">
      <c r="D673" s="98"/>
      <c r="E673" s="98"/>
      <c r="F673" s="98"/>
      <c r="G673" s="98"/>
      <c r="H673" s="98"/>
    </row>
    <row r="674">
      <c r="D674" s="98"/>
      <c r="E674" s="98"/>
      <c r="F674" s="98"/>
      <c r="G674" s="98"/>
      <c r="H674" s="98"/>
    </row>
    <row r="675">
      <c r="D675" s="98"/>
      <c r="E675" s="98"/>
      <c r="F675" s="98"/>
      <c r="G675" s="98"/>
      <c r="H675" s="98"/>
    </row>
    <row r="676">
      <c r="D676" s="98"/>
      <c r="E676" s="98"/>
      <c r="F676" s="98"/>
      <c r="G676" s="98"/>
      <c r="H676" s="98"/>
    </row>
    <row r="677">
      <c r="D677" s="98"/>
      <c r="E677" s="98"/>
      <c r="F677" s="98"/>
      <c r="G677" s="98"/>
      <c r="H677" s="98"/>
    </row>
    <row r="678">
      <c r="D678" s="98"/>
      <c r="E678" s="98"/>
      <c r="F678" s="98"/>
      <c r="G678" s="98"/>
      <c r="H678" s="98"/>
    </row>
    <row r="679">
      <c r="D679" s="98"/>
      <c r="E679" s="98"/>
      <c r="F679" s="98"/>
      <c r="G679" s="98"/>
      <c r="H679" s="98"/>
    </row>
    <row r="680">
      <c r="D680" s="98"/>
      <c r="E680" s="98"/>
      <c r="F680" s="98"/>
      <c r="G680" s="98"/>
      <c r="H680" s="98"/>
    </row>
    <row r="681">
      <c r="D681" s="98"/>
      <c r="E681" s="98"/>
      <c r="F681" s="98"/>
      <c r="G681" s="98"/>
      <c r="H681" s="98"/>
    </row>
    <row r="682">
      <c r="D682" s="98"/>
      <c r="E682" s="98"/>
      <c r="F682" s="98"/>
      <c r="G682" s="98"/>
      <c r="H682" s="98"/>
    </row>
    <row r="683">
      <c r="D683" s="98"/>
      <c r="E683" s="98"/>
      <c r="F683" s="98"/>
      <c r="G683" s="98"/>
      <c r="H683" s="98"/>
    </row>
    <row r="684">
      <c r="D684" s="98"/>
      <c r="E684" s="98"/>
      <c r="F684" s="98"/>
      <c r="G684" s="98"/>
      <c r="H684" s="98"/>
    </row>
    <row r="685">
      <c r="D685" s="98"/>
      <c r="E685" s="98"/>
      <c r="F685" s="98"/>
      <c r="G685" s="98"/>
      <c r="H685" s="98"/>
    </row>
    <row r="686">
      <c r="D686" s="98"/>
      <c r="E686" s="98"/>
      <c r="F686" s="98"/>
      <c r="G686" s="98"/>
      <c r="H686" s="98"/>
    </row>
    <row r="687">
      <c r="D687" s="98"/>
      <c r="E687" s="98"/>
      <c r="F687" s="98"/>
      <c r="G687" s="98"/>
      <c r="H687" s="98"/>
    </row>
    <row r="688">
      <c r="D688" s="98"/>
      <c r="E688" s="98"/>
      <c r="F688" s="98"/>
      <c r="G688" s="98"/>
      <c r="H688" s="98"/>
    </row>
    <row r="689">
      <c r="D689" s="98"/>
      <c r="E689" s="98"/>
      <c r="F689" s="98"/>
      <c r="G689" s="98"/>
      <c r="H689" s="98"/>
    </row>
    <row r="690">
      <c r="D690" s="98"/>
      <c r="E690" s="98"/>
      <c r="F690" s="98"/>
      <c r="G690" s="98"/>
      <c r="H690" s="98"/>
    </row>
    <row r="691">
      <c r="D691" s="98"/>
      <c r="E691" s="98"/>
      <c r="F691" s="98"/>
      <c r="G691" s="98"/>
      <c r="H691" s="98"/>
    </row>
    <row r="692">
      <c r="D692" s="98"/>
      <c r="E692" s="98"/>
      <c r="F692" s="98"/>
      <c r="G692" s="98"/>
      <c r="H692" s="98"/>
    </row>
    <row r="693">
      <c r="D693" s="98"/>
      <c r="E693" s="98"/>
      <c r="F693" s="98"/>
      <c r="G693" s="98"/>
      <c r="H693" s="98"/>
    </row>
    <row r="694">
      <c r="D694" s="98"/>
      <c r="E694" s="98"/>
      <c r="F694" s="98"/>
      <c r="G694" s="98"/>
      <c r="H694" s="98"/>
    </row>
    <row r="695">
      <c r="D695" s="98"/>
      <c r="E695" s="98"/>
      <c r="F695" s="98"/>
      <c r="G695" s="98"/>
      <c r="H695" s="98"/>
    </row>
    <row r="696">
      <c r="D696" s="98"/>
      <c r="E696" s="98"/>
      <c r="F696" s="98"/>
      <c r="G696" s="98"/>
      <c r="H696" s="98"/>
    </row>
    <row r="697">
      <c r="D697" s="98"/>
      <c r="E697" s="98"/>
      <c r="F697" s="98"/>
      <c r="G697" s="98"/>
      <c r="H697" s="98"/>
    </row>
    <row r="698">
      <c r="D698" s="98"/>
      <c r="E698" s="98"/>
      <c r="F698" s="98"/>
      <c r="G698" s="98"/>
      <c r="H698" s="98"/>
    </row>
    <row r="699">
      <c r="D699" s="98"/>
      <c r="E699" s="98"/>
      <c r="F699" s="98"/>
      <c r="G699" s="98"/>
      <c r="H699" s="98"/>
    </row>
    <row r="700">
      <c r="D700" s="98"/>
      <c r="E700" s="98"/>
      <c r="F700" s="98"/>
      <c r="G700" s="98"/>
      <c r="H700" s="98"/>
    </row>
    <row r="701">
      <c r="D701" s="98"/>
      <c r="E701" s="98"/>
      <c r="F701" s="98"/>
      <c r="G701" s="98"/>
      <c r="H701" s="98"/>
    </row>
    <row r="702">
      <c r="D702" s="98"/>
      <c r="E702" s="98"/>
      <c r="F702" s="98"/>
      <c r="G702" s="98"/>
      <c r="H702" s="98"/>
    </row>
    <row r="703">
      <c r="D703" s="98"/>
      <c r="E703" s="98"/>
      <c r="F703" s="98"/>
      <c r="G703" s="98"/>
      <c r="H703" s="98"/>
    </row>
    <row r="704">
      <c r="D704" s="98"/>
      <c r="E704" s="98"/>
      <c r="F704" s="98"/>
      <c r="G704" s="98"/>
      <c r="H704" s="98"/>
    </row>
    <row r="705">
      <c r="D705" s="98"/>
      <c r="E705" s="98"/>
      <c r="F705" s="98"/>
      <c r="G705" s="98"/>
      <c r="H705" s="98"/>
    </row>
    <row r="706">
      <c r="D706" s="98"/>
      <c r="E706" s="98"/>
      <c r="F706" s="98"/>
      <c r="G706" s="98"/>
      <c r="H706" s="98"/>
    </row>
    <row r="707">
      <c r="D707" s="98"/>
      <c r="E707" s="98"/>
      <c r="F707" s="98"/>
      <c r="G707" s="98"/>
      <c r="H707" s="98"/>
    </row>
    <row r="708">
      <c r="D708" s="98"/>
      <c r="E708" s="98"/>
      <c r="F708" s="98"/>
      <c r="G708" s="98"/>
      <c r="H708" s="98"/>
    </row>
    <row r="709">
      <c r="D709" s="98"/>
      <c r="E709" s="98"/>
      <c r="F709" s="98"/>
      <c r="G709" s="98"/>
      <c r="H709" s="98"/>
    </row>
    <row r="710">
      <c r="D710" s="98"/>
      <c r="E710" s="98"/>
      <c r="F710" s="98"/>
      <c r="G710" s="98"/>
      <c r="H710" s="98"/>
    </row>
    <row r="711">
      <c r="D711" s="98"/>
      <c r="E711" s="98"/>
      <c r="F711" s="98"/>
      <c r="G711" s="98"/>
      <c r="H711" s="98"/>
    </row>
    <row r="712">
      <c r="D712" s="98"/>
      <c r="E712" s="98"/>
      <c r="F712" s="98"/>
      <c r="G712" s="98"/>
      <c r="H712" s="98"/>
    </row>
    <row r="713">
      <c r="D713" s="98"/>
      <c r="E713" s="98"/>
      <c r="F713" s="98"/>
      <c r="G713" s="98"/>
      <c r="H713" s="98"/>
    </row>
    <row r="714">
      <c r="D714" s="98"/>
      <c r="E714" s="98"/>
      <c r="F714" s="98"/>
      <c r="G714" s="98"/>
      <c r="H714" s="98"/>
    </row>
    <row r="715">
      <c r="D715" s="98"/>
      <c r="E715" s="98"/>
      <c r="F715" s="98"/>
      <c r="G715" s="98"/>
      <c r="H715" s="98"/>
    </row>
    <row r="716">
      <c r="D716" s="98"/>
      <c r="E716" s="98"/>
      <c r="F716" s="98"/>
      <c r="G716" s="98"/>
      <c r="H716" s="98"/>
    </row>
    <row r="717">
      <c r="D717" s="98"/>
      <c r="E717" s="98"/>
      <c r="F717" s="98"/>
      <c r="G717" s="98"/>
      <c r="H717" s="98"/>
    </row>
    <row r="718">
      <c r="D718" s="98"/>
      <c r="E718" s="98"/>
      <c r="F718" s="98"/>
      <c r="G718" s="98"/>
      <c r="H718" s="98"/>
    </row>
    <row r="719">
      <c r="D719" s="98"/>
      <c r="E719" s="98"/>
      <c r="F719" s="98"/>
      <c r="G719" s="98"/>
      <c r="H719" s="98"/>
    </row>
    <row r="720">
      <c r="D720" s="98"/>
      <c r="E720" s="98"/>
      <c r="F720" s="98"/>
      <c r="G720" s="98"/>
      <c r="H720" s="98"/>
    </row>
    <row r="721">
      <c r="D721" s="98"/>
      <c r="E721" s="98"/>
      <c r="F721" s="98"/>
      <c r="G721" s="98"/>
      <c r="H721" s="98"/>
    </row>
    <row r="722">
      <c r="D722" s="98"/>
      <c r="E722" s="98"/>
      <c r="F722" s="98"/>
      <c r="G722" s="98"/>
      <c r="H722" s="98"/>
    </row>
    <row r="723">
      <c r="D723" s="98"/>
      <c r="E723" s="98"/>
      <c r="F723" s="98"/>
      <c r="G723" s="98"/>
      <c r="H723" s="98"/>
    </row>
    <row r="724">
      <c r="D724" s="98"/>
      <c r="E724" s="98"/>
      <c r="F724" s="98"/>
      <c r="G724" s="98"/>
      <c r="H724" s="98"/>
    </row>
    <row r="725">
      <c r="D725" s="98"/>
      <c r="E725" s="98"/>
      <c r="F725" s="98"/>
      <c r="G725" s="98"/>
      <c r="H725" s="98"/>
    </row>
    <row r="726">
      <c r="D726" s="98"/>
      <c r="E726" s="98"/>
      <c r="F726" s="98"/>
      <c r="G726" s="98"/>
      <c r="H726" s="98"/>
    </row>
    <row r="727">
      <c r="D727" s="98"/>
      <c r="E727" s="98"/>
      <c r="F727" s="98"/>
      <c r="G727" s="98"/>
      <c r="H727" s="98"/>
    </row>
    <row r="728">
      <c r="D728" s="98"/>
      <c r="E728" s="98"/>
      <c r="F728" s="98"/>
      <c r="G728" s="98"/>
      <c r="H728" s="98"/>
    </row>
    <row r="729">
      <c r="D729" s="98"/>
      <c r="E729" s="98"/>
      <c r="F729" s="98"/>
      <c r="G729" s="98"/>
      <c r="H729" s="98"/>
    </row>
    <row r="730">
      <c r="D730" s="98"/>
      <c r="E730" s="98"/>
      <c r="F730" s="98"/>
      <c r="G730" s="98"/>
      <c r="H730" s="98"/>
    </row>
    <row r="731">
      <c r="D731" s="98"/>
      <c r="E731" s="98"/>
      <c r="F731" s="98"/>
      <c r="G731" s="98"/>
      <c r="H731" s="98"/>
    </row>
    <row r="732">
      <c r="D732" s="98"/>
      <c r="E732" s="98"/>
      <c r="F732" s="98"/>
      <c r="G732" s="98"/>
      <c r="H732" s="98"/>
    </row>
    <row r="733">
      <c r="D733" s="98"/>
      <c r="E733" s="98"/>
      <c r="F733" s="98"/>
      <c r="G733" s="98"/>
      <c r="H733" s="98"/>
    </row>
    <row r="734">
      <c r="D734" s="98"/>
      <c r="E734" s="98"/>
      <c r="F734" s="98"/>
      <c r="G734" s="98"/>
      <c r="H734" s="98"/>
    </row>
    <row r="735">
      <c r="D735" s="98"/>
      <c r="E735" s="98"/>
      <c r="F735" s="98"/>
      <c r="G735" s="98"/>
      <c r="H735" s="98"/>
    </row>
    <row r="736">
      <c r="D736" s="98"/>
      <c r="E736" s="98"/>
      <c r="F736" s="98"/>
      <c r="G736" s="98"/>
      <c r="H736" s="98"/>
    </row>
    <row r="737">
      <c r="D737" s="98"/>
      <c r="E737" s="98"/>
      <c r="F737" s="98"/>
      <c r="G737" s="98"/>
      <c r="H737" s="98"/>
    </row>
    <row r="738">
      <c r="D738" s="98"/>
      <c r="E738" s="98"/>
      <c r="F738" s="98"/>
      <c r="G738" s="98"/>
      <c r="H738" s="98"/>
    </row>
    <row r="739">
      <c r="D739" s="98"/>
      <c r="E739" s="98"/>
      <c r="F739" s="98"/>
      <c r="G739" s="98"/>
      <c r="H739" s="98"/>
    </row>
    <row r="740">
      <c r="D740" s="98"/>
      <c r="E740" s="98"/>
      <c r="F740" s="98"/>
      <c r="G740" s="98"/>
      <c r="H740" s="98"/>
    </row>
    <row r="741">
      <c r="D741" s="98"/>
      <c r="E741" s="98"/>
      <c r="F741" s="98"/>
      <c r="G741" s="98"/>
      <c r="H741" s="98"/>
    </row>
    <row r="742">
      <c r="D742" s="98"/>
      <c r="E742" s="98"/>
      <c r="F742" s="98"/>
      <c r="G742" s="98"/>
      <c r="H742" s="98"/>
    </row>
    <row r="743">
      <c r="D743" s="98"/>
      <c r="E743" s="98"/>
      <c r="F743" s="98"/>
      <c r="G743" s="98"/>
      <c r="H743" s="98"/>
    </row>
    <row r="744">
      <c r="D744" s="98"/>
      <c r="E744" s="98"/>
      <c r="F744" s="98"/>
      <c r="G744" s="98"/>
      <c r="H744" s="98"/>
    </row>
    <row r="745">
      <c r="D745" s="98"/>
      <c r="E745" s="98"/>
      <c r="F745" s="98"/>
      <c r="G745" s="98"/>
      <c r="H745" s="98"/>
    </row>
    <row r="746">
      <c r="D746" s="98"/>
      <c r="E746" s="98"/>
      <c r="F746" s="98"/>
      <c r="G746" s="98"/>
      <c r="H746" s="98"/>
    </row>
    <row r="747">
      <c r="D747" s="98"/>
      <c r="E747" s="98"/>
      <c r="F747" s="98"/>
      <c r="G747" s="98"/>
      <c r="H747" s="98"/>
    </row>
    <row r="748">
      <c r="D748" s="98"/>
      <c r="E748" s="98"/>
      <c r="F748" s="98"/>
      <c r="G748" s="98"/>
      <c r="H748" s="98"/>
    </row>
    <row r="749">
      <c r="D749" s="98"/>
      <c r="E749" s="98"/>
      <c r="F749" s="98"/>
      <c r="G749" s="98"/>
      <c r="H749" s="98"/>
    </row>
    <row r="750">
      <c r="D750" s="98"/>
      <c r="E750" s="98"/>
      <c r="F750" s="98"/>
      <c r="G750" s="98"/>
      <c r="H750" s="98"/>
    </row>
    <row r="751">
      <c r="D751" s="98"/>
      <c r="E751" s="98"/>
      <c r="F751" s="98"/>
      <c r="G751" s="98"/>
      <c r="H751" s="98"/>
    </row>
    <row r="752">
      <c r="D752" s="98"/>
      <c r="E752" s="98"/>
      <c r="F752" s="98"/>
      <c r="G752" s="98"/>
      <c r="H752" s="98"/>
    </row>
    <row r="753">
      <c r="D753" s="98"/>
      <c r="E753" s="98"/>
      <c r="F753" s="98"/>
      <c r="G753" s="98"/>
      <c r="H753" s="98"/>
    </row>
    <row r="754">
      <c r="D754" s="98"/>
      <c r="E754" s="98"/>
      <c r="F754" s="98"/>
      <c r="G754" s="98"/>
      <c r="H754" s="98"/>
    </row>
    <row r="755">
      <c r="D755" s="98"/>
      <c r="E755" s="98"/>
      <c r="F755" s="98"/>
      <c r="G755" s="98"/>
      <c r="H755" s="98"/>
    </row>
    <row r="756">
      <c r="D756" s="98"/>
      <c r="E756" s="98"/>
      <c r="F756" s="98"/>
      <c r="G756" s="98"/>
      <c r="H756" s="98"/>
    </row>
    <row r="757">
      <c r="D757" s="98"/>
      <c r="E757" s="98"/>
      <c r="F757" s="98"/>
      <c r="G757" s="98"/>
      <c r="H757" s="98"/>
    </row>
    <row r="758">
      <c r="D758" s="98"/>
      <c r="E758" s="98"/>
      <c r="F758" s="98"/>
      <c r="G758" s="98"/>
      <c r="H758" s="98"/>
    </row>
    <row r="759">
      <c r="D759" s="98"/>
      <c r="E759" s="98"/>
      <c r="F759" s="98"/>
      <c r="G759" s="98"/>
      <c r="H759" s="98"/>
    </row>
    <row r="760">
      <c r="D760" s="98"/>
      <c r="E760" s="98"/>
      <c r="F760" s="98"/>
      <c r="G760" s="98"/>
      <c r="H760" s="98"/>
    </row>
    <row r="761">
      <c r="D761" s="98"/>
      <c r="E761" s="98"/>
      <c r="F761" s="98"/>
      <c r="G761" s="98"/>
      <c r="H761" s="98"/>
    </row>
    <row r="762">
      <c r="D762" s="98"/>
      <c r="E762" s="98"/>
      <c r="F762" s="98"/>
      <c r="G762" s="98"/>
      <c r="H762" s="98"/>
    </row>
    <row r="763">
      <c r="D763" s="98"/>
      <c r="E763" s="98"/>
      <c r="F763" s="98"/>
      <c r="G763" s="98"/>
      <c r="H763" s="98"/>
    </row>
    <row r="764">
      <c r="D764" s="98"/>
      <c r="E764" s="98"/>
      <c r="F764" s="98"/>
      <c r="G764" s="98"/>
      <c r="H764" s="98"/>
    </row>
    <row r="765">
      <c r="D765" s="98"/>
      <c r="E765" s="98"/>
      <c r="F765" s="98"/>
      <c r="G765" s="98"/>
      <c r="H765" s="98"/>
    </row>
    <row r="766">
      <c r="D766" s="98"/>
      <c r="E766" s="98"/>
      <c r="F766" s="98"/>
      <c r="G766" s="98"/>
      <c r="H766" s="98"/>
    </row>
    <row r="767">
      <c r="D767" s="98"/>
      <c r="E767" s="98"/>
      <c r="F767" s="98"/>
      <c r="G767" s="98"/>
      <c r="H767" s="98"/>
    </row>
    <row r="768">
      <c r="D768" s="98"/>
      <c r="E768" s="98"/>
      <c r="F768" s="98"/>
      <c r="G768" s="98"/>
      <c r="H768" s="98"/>
    </row>
    <row r="769">
      <c r="D769" s="98"/>
      <c r="E769" s="98"/>
      <c r="F769" s="98"/>
      <c r="G769" s="98"/>
      <c r="H769" s="98"/>
    </row>
    <row r="770">
      <c r="D770" s="98"/>
      <c r="E770" s="98"/>
      <c r="F770" s="98"/>
      <c r="G770" s="98"/>
      <c r="H770" s="98"/>
    </row>
    <row r="771">
      <c r="D771" s="98"/>
      <c r="E771" s="98"/>
      <c r="F771" s="98"/>
      <c r="G771" s="98"/>
      <c r="H771" s="98"/>
    </row>
    <row r="772">
      <c r="D772" s="98"/>
      <c r="E772" s="98"/>
      <c r="F772" s="98"/>
      <c r="G772" s="98"/>
      <c r="H772" s="98"/>
    </row>
    <row r="773">
      <c r="D773" s="98"/>
      <c r="E773" s="98"/>
      <c r="F773" s="98"/>
      <c r="G773" s="98"/>
      <c r="H773" s="98"/>
    </row>
    <row r="774">
      <c r="D774" s="98"/>
      <c r="E774" s="98"/>
      <c r="F774" s="98"/>
      <c r="G774" s="98"/>
      <c r="H774" s="98"/>
    </row>
    <row r="775">
      <c r="D775" s="98"/>
      <c r="E775" s="98"/>
      <c r="F775" s="98"/>
      <c r="G775" s="98"/>
      <c r="H775" s="98"/>
    </row>
    <row r="776">
      <c r="D776" s="98"/>
      <c r="E776" s="98"/>
      <c r="F776" s="98"/>
      <c r="G776" s="98"/>
      <c r="H776" s="98"/>
    </row>
    <row r="777">
      <c r="D777" s="98"/>
      <c r="E777" s="98"/>
      <c r="F777" s="98"/>
      <c r="G777" s="98"/>
      <c r="H777" s="98"/>
    </row>
    <row r="778">
      <c r="D778" s="98"/>
      <c r="E778" s="98"/>
      <c r="F778" s="98"/>
      <c r="G778" s="98"/>
      <c r="H778" s="98"/>
    </row>
    <row r="779">
      <c r="D779" s="98"/>
      <c r="E779" s="98"/>
      <c r="F779" s="98"/>
      <c r="G779" s="98"/>
      <c r="H779" s="98"/>
    </row>
    <row r="780">
      <c r="D780" s="98"/>
      <c r="E780" s="98"/>
      <c r="F780" s="98"/>
      <c r="G780" s="98"/>
      <c r="H780" s="98"/>
    </row>
    <row r="781">
      <c r="D781" s="98"/>
      <c r="E781" s="98"/>
      <c r="F781" s="98"/>
      <c r="G781" s="98"/>
      <c r="H781" s="98"/>
    </row>
    <row r="782">
      <c r="D782" s="98"/>
      <c r="E782" s="98"/>
      <c r="F782" s="98"/>
      <c r="G782" s="98"/>
      <c r="H782" s="98"/>
    </row>
    <row r="783">
      <c r="D783" s="98"/>
      <c r="E783" s="98"/>
      <c r="F783" s="98"/>
      <c r="G783" s="98"/>
      <c r="H783" s="98"/>
    </row>
    <row r="784">
      <c r="D784" s="98"/>
      <c r="E784" s="98"/>
      <c r="F784" s="98"/>
      <c r="G784" s="98"/>
      <c r="H784" s="98"/>
    </row>
    <row r="785">
      <c r="D785" s="98"/>
      <c r="E785" s="98"/>
      <c r="F785" s="98"/>
      <c r="G785" s="98"/>
      <c r="H785" s="98"/>
    </row>
    <row r="786">
      <c r="D786" s="98"/>
      <c r="E786" s="98"/>
      <c r="F786" s="98"/>
      <c r="G786" s="98"/>
      <c r="H786" s="98"/>
    </row>
    <row r="787">
      <c r="D787" s="98"/>
      <c r="E787" s="98"/>
      <c r="F787" s="98"/>
      <c r="G787" s="98"/>
      <c r="H787" s="98"/>
    </row>
    <row r="788">
      <c r="D788" s="98"/>
      <c r="E788" s="98"/>
      <c r="F788" s="98"/>
      <c r="G788" s="98"/>
      <c r="H788" s="98"/>
    </row>
    <row r="789">
      <c r="D789" s="98"/>
      <c r="E789" s="98"/>
      <c r="F789" s="98"/>
      <c r="G789" s="98"/>
      <c r="H789" s="98"/>
    </row>
    <row r="790">
      <c r="D790" s="98"/>
      <c r="E790" s="98"/>
      <c r="F790" s="98"/>
      <c r="G790" s="98"/>
      <c r="H790" s="98"/>
    </row>
    <row r="791">
      <c r="D791" s="98"/>
      <c r="E791" s="98"/>
      <c r="F791" s="98"/>
      <c r="G791" s="98"/>
      <c r="H791" s="98"/>
    </row>
    <row r="792">
      <c r="D792" s="98"/>
      <c r="E792" s="98"/>
      <c r="F792" s="98"/>
      <c r="G792" s="98"/>
      <c r="H792" s="98"/>
    </row>
    <row r="793">
      <c r="D793" s="98"/>
      <c r="E793" s="98"/>
      <c r="F793" s="98"/>
      <c r="G793" s="98"/>
      <c r="H793" s="98"/>
    </row>
    <row r="794">
      <c r="D794" s="98"/>
      <c r="E794" s="98"/>
      <c r="F794" s="98"/>
      <c r="G794" s="98"/>
      <c r="H794" s="98"/>
    </row>
    <row r="795">
      <c r="D795" s="98"/>
      <c r="E795" s="98"/>
      <c r="F795" s="98"/>
      <c r="G795" s="98"/>
      <c r="H795" s="98"/>
    </row>
    <row r="796">
      <c r="D796" s="98"/>
      <c r="E796" s="98"/>
      <c r="F796" s="98"/>
      <c r="G796" s="98"/>
      <c r="H796" s="98"/>
    </row>
    <row r="797">
      <c r="D797" s="98"/>
      <c r="E797" s="98"/>
      <c r="F797" s="98"/>
      <c r="G797" s="98"/>
      <c r="H797" s="98"/>
    </row>
    <row r="798">
      <c r="D798" s="98"/>
      <c r="E798" s="98"/>
      <c r="F798" s="98"/>
      <c r="G798" s="98"/>
      <c r="H798" s="98"/>
    </row>
    <row r="799">
      <c r="D799" s="98"/>
      <c r="E799" s="98"/>
      <c r="F799" s="98"/>
      <c r="G799" s="98"/>
      <c r="H799" s="98"/>
    </row>
    <row r="800">
      <c r="D800" s="98"/>
      <c r="E800" s="98"/>
      <c r="F800" s="98"/>
      <c r="G800" s="98"/>
      <c r="H800" s="98"/>
    </row>
    <row r="801">
      <c r="D801" s="98"/>
      <c r="E801" s="98"/>
      <c r="F801" s="98"/>
      <c r="G801" s="98"/>
      <c r="H801" s="98"/>
    </row>
    <row r="802">
      <c r="D802" s="98"/>
      <c r="E802" s="98"/>
      <c r="F802" s="98"/>
      <c r="G802" s="98"/>
      <c r="H802" s="98"/>
    </row>
    <row r="803">
      <c r="D803" s="98"/>
      <c r="E803" s="98"/>
      <c r="F803" s="98"/>
      <c r="G803" s="98"/>
      <c r="H803" s="98"/>
    </row>
    <row r="804">
      <c r="D804" s="98"/>
      <c r="E804" s="98"/>
      <c r="F804" s="98"/>
      <c r="G804" s="98"/>
      <c r="H804" s="98"/>
    </row>
    <row r="805">
      <c r="D805" s="98"/>
      <c r="E805" s="98"/>
      <c r="F805" s="98"/>
      <c r="G805" s="98"/>
      <c r="H805" s="98"/>
    </row>
    <row r="806">
      <c r="D806" s="98"/>
      <c r="E806" s="98"/>
      <c r="F806" s="98"/>
      <c r="G806" s="98"/>
      <c r="H806" s="98"/>
    </row>
    <row r="807">
      <c r="D807" s="98"/>
      <c r="E807" s="98"/>
      <c r="F807" s="98"/>
      <c r="G807" s="98"/>
      <c r="H807" s="98"/>
    </row>
    <row r="808">
      <c r="D808" s="98"/>
      <c r="E808" s="98"/>
      <c r="F808" s="98"/>
      <c r="G808" s="98"/>
      <c r="H808" s="98"/>
    </row>
    <row r="809">
      <c r="D809" s="98"/>
      <c r="E809" s="98"/>
      <c r="F809" s="98"/>
      <c r="G809" s="98"/>
      <c r="H809" s="98"/>
    </row>
    <row r="810">
      <c r="D810" s="98"/>
      <c r="E810" s="98"/>
      <c r="F810" s="98"/>
      <c r="G810" s="98"/>
      <c r="H810" s="98"/>
    </row>
    <row r="811">
      <c r="D811" s="98"/>
      <c r="E811" s="98"/>
      <c r="F811" s="98"/>
      <c r="G811" s="98"/>
      <c r="H811" s="98"/>
    </row>
    <row r="812">
      <c r="D812" s="98"/>
      <c r="E812" s="98"/>
      <c r="F812" s="98"/>
      <c r="G812" s="98"/>
      <c r="H812" s="98"/>
    </row>
    <row r="813">
      <c r="D813" s="98"/>
      <c r="E813" s="98"/>
      <c r="F813" s="98"/>
      <c r="G813" s="98"/>
      <c r="H813" s="98"/>
    </row>
    <row r="814">
      <c r="D814" s="98"/>
      <c r="E814" s="98"/>
      <c r="F814" s="98"/>
      <c r="G814" s="98"/>
      <c r="H814" s="98"/>
    </row>
    <row r="815">
      <c r="D815" s="98"/>
      <c r="E815" s="98"/>
      <c r="F815" s="98"/>
      <c r="G815" s="98"/>
      <c r="H815" s="98"/>
    </row>
    <row r="816">
      <c r="D816" s="98"/>
      <c r="E816" s="98"/>
      <c r="F816" s="98"/>
      <c r="G816" s="98"/>
      <c r="H816" s="98"/>
    </row>
    <row r="817">
      <c r="D817" s="98"/>
      <c r="E817" s="98"/>
      <c r="F817" s="98"/>
      <c r="G817" s="98"/>
      <c r="H817" s="98"/>
    </row>
    <row r="818">
      <c r="D818" s="98"/>
      <c r="E818" s="98"/>
      <c r="F818" s="98"/>
      <c r="G818" s="98"/>
      <c r="H818" s="98"/>
    </row>
    <row r="819">
      <c r="D819" s="98"/>
      <c r="E819" s="98"/>
      <c r="F819" s="98"/>
      <c r="G819" s="98"/>
      <c r="H819" s="98"/>
    </row>
    <row r="820">
      <c r="D820" s="98"/>
      <c r="E820" s="98"/>
      <c r="F820" s="98"/>
      <c r="G820" s="98"/>
      <c r="H820" s="98"/>
    </row>
    <row r="821">
      <c r="D821" s="98"/>
      <c r="E821" s="98"/>
      <c r="F821" s="98"/>
      <c r="G821" s="98"/>
      <c r="H821" s="98"/>
    </row>
    <row r="822">
      <c r="D822" s="98"/>
      <c r="E822" s="98"/>
      <c r="F822" s="98"/>
      <c r="G822" s="98"/>
      <c r="H822" s="98"/>
    </row>
    <row r="823">
      <c r="D823" s="98"/>
      <c r="E823" s="98"/>
      <c r="F823" s="98"/>
      <c r="G823" s="98"/>
      <c r="H823" s="98"/>
    </row>
    <row r="824">
      <c r="D824" s="98"/>
      <c r="E824" s="98"/>
      <c r="F824" s="98"/>
      <c r="G824" s="98"/>
      <c r="H824" s="98"/>
    </row>
    <row r="825">
      <c r="D825" s="98"/>
      <c r="E825" s="98"/>
      <c r="F825" s="98"/>
      <c r="G825" s="98"/>
      <c r="H825" s="98"/>
    </row>
    <row r="826">
      <c r="D826" s="98"/>
      <c r="E826" s="98"/>
      <c r="F826" s="98"/>
      <c r="G826" s="98"/>
      <c r="H826" s="98"/>
    </row>
    <row r="827">
      <c r="D827" s="98"/>
      <c r="E827" s="98"/>
      <c r="F827" s="98"/>
      <c r="G827" s="98"/>
      <c r="H827" s="98"/>
    </row>
    <row r="828">
      <c r="D828" s="98"/>
      <c r="E828" s="98"/>
      <c r="F828" s="98"/>
      <c r="G828" s="98"/>
      <c r="H828" s="98"/>
    </row>
    <row r="829">
      <c r="D829" s="98"/>
      <c r="E829" s="98"/>
      <c r="F829" s="98"/>
      <c r="G829" s="98"/>
      <c r="H829" s="98"/>
    </row>
    <row r="830">
      <c r="D830" s="98"/>
      <c r="E830" s="98"/>
      <c r="F830" s="98"/>
      <c r="G830" s="98"/>
      <c r="H830" s="98"/>
    </row>
    <row r="831">
      <c r="D831" s="98"/>
      <c r="E831" s="98"/>
      <c r="F831" s="98"/>
      <c r="G831" s="98"/>
      <c r="H831" s="98"/>
    </row>
    <row r="832">
      <c r="D832" s="98"/>
      <c r="E832" s="98"/>
      <c r="F832" s="98"/>
      <c r="G832" s="98"/>
      <c r="H832" s="98"/>
    </row>
    <row r="833">
      <c r="D833" s="98"/>
      <c r="E833" s="98"/>
      <c r="F833" s="98"/>
      <c r="G833" s="98"/>
      <c r="H833" s="98"/>
    </row>
    <row r="834">
      <c r="D834" s="98"/>
      <c r="E834" s="98"/>
      <c r="F834" s="98"/>
      <c r="G834" s="98"/>
      <c r="H834" s="98"/>
    </row>
    <row r="835">
      <c r="D835" s="98"/>
      <c r="E835" s="98"/>
      <c r="F835" s="98"/>
      <c r="G835" s="98"/>
      <c r="H835" s="98"/>
    </row>
    <row r="836">
      <c r="D836" s="98"/>
      <c r="E836" s="98"/>
      <c r="F836" s="98"/>
      <c r="G836" s="98"/>
      <c r="H836" s="98"/>
    </row>
    <row r="837">
      <c r="D837" s="98"/>
      <c r="E837" s="98"/>
      <c r="F837" s="98"/>
      <c r="G837" s="98"/>
      <c r="H837" s="98"/>
    </row>
    <row r="838">
      <c r="D838" s="98"/>
      <c r="E838" s="98"/>
      <c r="F838" s="98"/>
      <c r="G838" s="98"/>
      <c r="H838" s="98"/>
    </row>
    <row r="839">
      <c r="D839" s="98"/>
      <c r="E839" s="98"/>
      <c r="F839" s="98"/>
      <c r="G839" s="98"/>
      <c r="H839" s="98"/>
    </row>
    <row r="840">
      <c r="D840" s="98"/>
      <c r="E840" s="98"/>
      <c r="F840" s="98"/>
      <c r="G840" s="98"/>
      <c r="H840" s="98"/>
    </row>
    <row r="841">
      <c r="D841" s="98"/>
      <c r="E841" s="98"/>
      <c r="F841" s="98"/>
      <c r="G841" s="98"/>
      <c r="H841" s="98"/>
    </row>
    <row r="842">
      <c r="D842" s="98"/>
      <c r="E842" s="98"/>
      <c r="F842" s="98"/>
      <c r="G842" s="98"/>
      <c r="H842" s="98"/>
    </row>
    <row r="843">
      <c r="D843" s="98"/>
      <c r="E843" s="98"/>
      <c r="F843" s="98"/>
      <c r="G843" s="98"/>
      <c r="H843" s="98"/>
    </row>
    <row r="844">
      <c r="D844" s="98"/>
      <c r="E844" s="98"/>
      <c r="F844" s="98"/>
      <c r="G844" s="98"/>
      <c r="H844" s="98"/>
    </row>
    <row r="845">
      <c r="D845" s="98"/>
      <c r="E845" s="98"/>
      <c r="F845" s="98"/>
      <c r="G845" s="98"/>
      <c r="H845" s="98"/>
    </row>
    <row r="846">
      <c r="D846" s="98"/>
      <c r="E846" s="98"/>
      <c r="F846" s="98"/>
      <c r="G846" s="98"/>
      <c r="H846" s="98"/>
    </row>
    <row r="847">
      <c r="D847" s="98"/>
      <c r="E847" s="98"/>
      <c r="F847" s="98"/>
      <c r="G847" s="98"/>
      <c r="H847" s="98"/>
    </row>
    <row r="848">
      <c r="D848" s="98"/>
      <c r="E848" s="98"/>
      <c r="F848" s="98"/>
      <c r="G848" s="98"/>
      <c r="H848" s="98"/>
    </row>
    <row r="849">
      <c r="D849" s="98"/>
      <c r="E849" s="98"/>
      <c r="F849" s="98"/>
      <c r="G849" s="98"/>
      <c r="H849" s="98"/>
    </row>
    <row r="850">
      <c r="D850" s="98"/>
      <c r="E850" s="98"/>
      <c r="F850" s="98"/>
      <c r="G850" s="98"/>
      <c r="H850" s="98"/>
    </row>
    <row r="851">
      <c r="D851" s="98"/>
      <c r="E851" s="98"/>
      <c r="F851" s="98"/>
      <c r="G851" s="98"/>
      <c r="H851" s="98"/>
    </row>
    <row r="852">
      <c r="D852" s="98"/>
      <c r="E852" s="98"/>
      <c r="F852" s="98"/>
      <c r="G852" s="98"/>
      <c r="H852" s="98"/>
    </row>
    <row r="853">
      <c r="D853" s="98"/>
      <c r="E853" s="98"/>
      <c r="F853" s="98"/>
      <c r="G853" s="98"/>
      <c r="H853" s="98"/>
    </row>
    <row r="854">
      <c r="D854" s="98"/>
      <c r="E854" s="98"/>
      <c r="F854" s="98"/>
      <c r="G854" s="98"/>
      <c r="H854" s="98"/>
    </row>
    <row r="855">
      <c r="D855" s="98"/>
      <c r="E855" s="98"/>
      <c r="F855" s="98"/>
      <c r="G855" s="98"/>
      <c r="H855" s="98"/>
    </row>
    <row r="856">
      <c r="D856" s="98"/>
      <c r="E856" s="98"/>
      <c r="F856" s="98"/>
      <c r="G856" s="98"/>
      <c r="H856" s="98"/>
    </row>
    <row r="857">
      <c r="D857" s="98"/>
      <c r="E857" s="98"/>
      <c r="F857" s="98"/>
      <c r="G857" s="98"/>
      <c r="H857" s="98"/>
    </row>
    <row r="858">
      <c r="D858" s="98"/>
      <c r="E858" s="98"/>
      <c r="F858" s="98"/>
      <c r="G858" s="98"/>
      <c r="H858" s="98"/>
    </row>
    <row r="859">
      <c r="D859" s="98"/>
      <c r="E859" s="98"/>
      <c r="F859" s="98"/>
      <c r="G859" s="98"/>
      <c r="H859" s="98"/>
    </row>
    <row r="860">
      <c r="D860" s="98"/>
      <c r="E860" s="98"/>
      <c r="F860" s="98"/>
      <c r="G860" s="98"/>
      <c r="H860" s="98"/>
    </row>
    <row r="861">
      <c r="D861" s="98"/>
      <c r="E861" s="98"/>
      <c r="F861" s="98"/>
      <c r="G861" s="98"/>
      <c r="H861" s="98"/>
    </row>
    <row r="862">
      <c r="D862" s="98"/>
      <c r="E862" s="98"/>
      <c r="F862" s="98"/>
      <c r="G862" s="98"/>
      <c r="H862" s="98"/>
    </row>
    <row r="863">
      <c r="D863" s="98"/>
      <c r="E863" s="98"/>
      <c r="F863" s="98"/>
      <c r="G863" s="98"/>
      <c r="H863" s="98"/>
    </row>
    <row r="864">
      <c r="D864" s="98"/>
      <c r="E864" s="98"/>
      <c r="F864" s="98"/>
      <c r="G864" s="98"/>
      <c r="H864" s="98"/>
    </row>
    <row r="865">
      <c r="D865" s="98"/>
      <c r="E865" s="98"/>
      <c r="F865" s="98"/>
      <c r="G865" s="98"/>
      <c r="H865" s="98"/>
    </row>
    <row r="866">
      <c r="D866" s="98"/>
      <c r="E866" s="98"/>
      <c r="F866" s="98"/>
      <c r="G866" s="98"/>
      <c r="H866" s="98"/>
    </row>
    <row r="867">
      <c r="D867" s="98"/>
      <c r="E867" s="98"/>
      <c r="F867" s="98"/>
      <c r="G867" s="98"/>
      <c r="H867" s="98"/>
    </row>
    <row r="868">
      <c r="D868" s="98"/>
      <c r="E868" s="98"/>
      <c r="F868" s="98"/>
      <c r="G868" s="98"/>
      <c r="H868" s="98"/>
    </row>
    <row r="869">
      <c r="D869" s="98"/>
      <c r="E869" s="98"/>
      <c r="F869" s="98"/>
      <c r="G869" s="98"/>
      <c r="H869" s="98"/>
    </row>
    <row r="870">
      <c r="D870" s="98"/>
      <c r="E870" s="98"/>
      <c r="F870" s="98"/>
      <c r="G870" s="98"/>
      <c r="H870" s="98"/>
    </row>
    <row r="871">
      <c r="D871" s="98"/>
      <c r="E871" s="98"/>
      <c r="F871" s="98"/>
      <c r="G871" s="98"/>
      <c r="H871" s="98"/>
    </row>
    <row r="872">
      <c r="D872" s="98"/>
      <c r="E872" s="98"/>
      <c r="F872" s="98"/>
      <c r="G872" s="98"/>
      <c r="H872" s="98"/>
    </row>
    <row r="873">
      <c r="D873" s="98"/>
      <c r="E873" s="98"/>
      <c r="F873" s="98"/>
      <c r="G873" s="98"/>
      <c r="H873" s="98"/>
    </row>
    <row r="874">
      <c r="D874" s="98"/>
      <c r="E874" s="98"/>
      <c r="F874" s="98"/>
      <c r="G874" s="98"/>
      <c r="H874" s="98"/>
    </row>
    <row r="875">
      <c r="D875" s="98"/>
      <c r="E875" s="98"/>
      <c r="F875" s="98"/>
      <c r="G875" s="98"/>
      <c r="H875" s="98"/>
    </row>
    <row r="876">
      <c r="D876" s="98"/>
      <c r="E876" s="98"/>
      <c r="F876" s="98"/>
      <c r="G876" s="98"/>
      <c r="H876" s="98"/>
    </row>
    <row r="877">
      <c r="D877" s="98"/>
      <c r="E877" s="98"/>
      <c r="F877" s="98"/>
      <c r="G877" s="98"/>
      <c r="H877" s="98"/>
    </row>
    <row r="878">
      <c r="D878" s="98"/>
      <c r="E878" s="98"/>
      <c r="F878" s="98"/>
      <c r="G878" s="98"/>
      <c r="H878" s="98"/>
    </row>
    <row r="879">
      <c r="D879" s="98"/>
      <c r="E879" s="98"/>
      <c r="F879" s="98"/>
      <c r="G879" s="98"/>
      <c r="H879" s="98"/>
    </row>
    <row r="880">
      <c r="D880" s="98"/>
      <c r="E880" s="98"/>
      <c r="F880" s="98"/>
      <c r="G880" s="98"/>
      <c r="H880" s="98"/>
    </row>
    <row r="881">
      <c r="D881" s="98"/>
      <c r="E881" s="98"/>
      <c r="F881" s="98"/>
      <c r="G881" s="98"/>
      <c r="H881" s="98"/>
    </row>
    <row r="882">
      <c r="D882" s="98"/>
      <c r="E882" s="98"/>
      <c r="F882" s="98"/>
      <c r="G882" s="98"/>
      <c r="H882" s="98"/>
    </row>
    <row r="883">
      <c r="D883" s="98"/>
      <c r="E883" s="98"/>
      <c r="F883" s="98"/>
      <c r="G883" s="98"/>
      <c r="H883" s="98"/>
    </row>
    <row r="884">
      <c r="D884" s="98"/>
      <c r="E884" s="98"/>
      <c r="F884" s="98"/>
      <c r="G884" s="98"/>
      <c r="H884" s="98"/>
    </row>
    <row r="885">
      <c r="D885" s="98"/>
      <c r="E885" s="98"/>
      <c r="F885" s="98"/>
      <c r="G885" s="98"/>
      <c r="H885" s="98"/>
    </row>
    <row r="886">
      <c r="D886" s="98"/>
      <c r="E886" s="98"/>
      <c r="F886" s="98"/>
      <c r="G886" s="98"/>
      <c r="H886" s="98"/>
    </row>
    <row r="887">
      <c r="D887" s="98"/>
      <c r="E887" s="98"/>
      <c r="F887" s="98"/>
      <c r="G887" s="98"/>
      <c r="H887" s="98"/>
    </row>
    <row r="888">
      <c r="D888" s="98"/>
      <c r="E888" s="98"/>
      <c r="F888" s="98"/>
      <c r="G888" s="98"/>
      <c r="H888" s="98"/>
    </row>
    <row r="889">
      <c r="D889" s="98"/>
      <c r="E889" s="98"/>
      <c r="F889" s="98"/>
      <c r="G889" s="98"/>
      <c r="H889" s="98"/>
    </row>
    <row r="890">
      <c r="D890" s="98"/>
      <c r="E890" s="98"/>
      <c r="F890" s="98"/>
      <c r="G890" s="98"/>
      <c r="H890" s="98"/>
    </row>
    <row r="891">
      <c r="D891" s="98"/>
      <c r="E891" s="98"/>
      <c r="F891" s="98"/>
      <c r="G891" s="98"/>
      <c r="H891" s="98"/>
    </row>
    <row r="892">
      <c r="D892" s="98"/>
      <c r="E892" s="98"/>
      <c r="F892" s="98"/>
      <c r="G892" s="98"/>
      <c r="H892" s="98"/>
    </row>
    <row r="893">
      <c r="D893" s="98"/>
      <c r="E893" s="98"/>
      <c r="F893" s="98"/>
      <c r="G893" s="98"/>
      <c r="H893" s="98"/>
    </row>
    <row r="894">
      <c r="D894" s="98"/>
      <c r="E894" s="98"/>
      <c r="F894" s="98"/>
      <c r="G894" s="98"/>
      <c r="H894" s="98"/>
    </row>
    <row r="895">
      <c r="D895" s="98"/>
      <c r="E895" s="98"/>
      <c r="F895" s="98"/>
      <c r="G895" s="98"/>
      <c r="H895" s="98"/>
    </row>
    <row r="896">
      <c r="D896" s="98"/>
      <c r="E896" s="98"/>
      <c r="F896" s="98"/>
      <c r="G896" s="98"/>
      <c r="H896" s="98"/>
    </row>
    <row r="897">
      <c r="D897" s="98"/>
      <c r="E897" s="98"/>
      <c r="F897" s="98"/>
      <c r="G897" s="98"/>
      <c r="H897" s="98"/>
    </row>
    <row r="898">
      <c r="D898" s="98"/>
      <c r="E898" s="98"/>
      <c r="F898" s="98"/>
      <c r="G898" s="98"/>
      <c r="H898" s="98"/>
    </row>
    <row r="899">
      <c r="D899" s="98"/>
      <c r="E899" s="98"/>
      <c r="F899" s="98"/>
      <c r="G899" s="98"/>
      <c r="H899" s="98"/>
    </row>
    <row r="900">
      <c r="D900" s="98"/>
      <c r="E900" s="98"/>
      <c r="F900" s="98"/>
      <c r="G900" s="98"/>
      <c r="H900" s="98"/>
    </row>
    <row r="901">
      <c r="D901" s="98"/>
      <c r="E901" s="98"/>
      <c r="F901" s="98"/>
      <c r="G901" s="98"/>
      <c r="H901" s="98"/>
    </row>
    <row r="902">
      <c r="D902" s="98"/>
      <c r="E902" s="98"/>
      <c r="F902" s="98"/>
      <c r="G902" s="98"/>
      <c r="H902" s="98"/>
    </row>
    <row r="903">
      <c r="D903" s="98"/>
      <c r="E903" s="98"/>
      <c r="F903" s="98"/>
      <c r="G903" s="98"/>
      <c r="H903" s="98"/>
    </row>
    <row r="904">
      <c r="D904" s="98"/>
      <c r="E904" s="98"/>
      <c r="F904" s="98"/>
      <c r="G904" s="98"/>
      <c r="H904" s="98"/>
    </row>
    <row r="905">
      <c r="D905" s="98"/>
      <c r="E905" s="98"/>
      <c r="F905" s="98"/>
      <c r="G905" s="98"/>
      <c r="H905" s="98"/>
    </row>
    <row r="906">
      <c r="D906" s="98"/>
      <c r="E906" s="98"/>
      <c r="F906" s="98"/>
      <c r="G906" s="98"/>
      <c r="H906" s="98"/>
    </row>
    <row r="907">
      <c r="D907" s="98"/>
      <c r="E907" s="98"/>
      <c r="F907" s="98"/>
      <c r="G907" s="98"/>
      <c r="H907" s="98"/>
    </row>
    <row r="908">
      <c r="D908" s="98"/>
      <c r="E908" s="98"/>
      <c r="F908" s="98"/>
      <c r="G908" s="98"/>
      <c r="H908" s="98"/>
    </row>
    <row r="909">
      <c r="D909" s="98"/>
      <c r="E909" s="98"/>
      <c r="F909" s="98"/>
      <c r="G909" s="98"/>
      <c r="H909" s="98"/>
    </row>
    <row r="910">
      <c r="D910" s="98"/>
      <c r="E910" s="98"/>
      <c r="F910" s="98"/>
      <c r="G910" s="98"/>
      <c r="H910" s="98"/>
    </row>
    <row r="911">
      <c r="D911" s="98"/>
      <c r="E911" s="98"/>
      <c r="F911" s="98"/>
      <c r="G911" s="98"/>
      <c r="H911" s="98"/>
    </row>
    <row r="912">
      <c r="D912" s="98"/>
      <c r="E912" s="98"/>
      <c r="F912" s="98"/>
      <c r="G912" s="98"/>
      <c r="H912" s="98"/>
    </row>
    <row r="913">
      <c r="D913" s="98"/>
      <c r="E913" s="98"/>
      <c r="F913" s="98"/>
      <c r="G913" s="98"/>
      <c r="H913" s="98"/>
    </row>
    <row r="914">
      <c r="D914" s="98"/>
      <c r="E914" s="98"/>
      <c r="F914" s="98"/>
      <c r="G914" s="98"/>
      <c r="H914" s="98"/>
    </row>
    <row r="915">
      <c r="D915" s="98"/>
      <c r="E915" s="98"/>
      <c r="F915" s="98"/>
      <c r="G915" s="98"/>
      <c r="H915" s="98"/>
    </row>
    <row r="916">
      <c r="D916" s="98"/>
      <c r="E916" s="98"/>
      <c r="F916" s="98"/>
      <c r="G916" s="98"/>
      <c r="H916" s="98"/>
    </row>
    <row r="917">
      <c r="D917" s="98"/>
      <c r="E917" s="98"/>
      <c r="F917" s="98"/>
      <c r="G917" s="98"/>
      <c r="H917" s="98"/>
    </row>
    <row r="918">
      <c r="D918" s="98"/>
      <c r="E918" s="98"/>
      <c r="F918" s="98"/>
      <c r="G918" s="98"/>
      <c r="H918" s="98"/>
    </row>
    <row r="919">
      <c r="D919" s="98"/>
      <c r="E919" s="98"/>
      <c r="F919" s="98"/>
      <c r="G919" s="98"/>
      <c r="H919" s="98"/>
    </row>
    <row r="920">
      <c r="D920" s="98"/>
      <c r="E920" s="98"/>
      <c r="F920" s="98"/>
      <c r="G920" s="98"/>
      <c r="H920" s="98"/>
    </row>
    <row r="921">
      <c r="D921" s="98"/>
      <c r="E921" s="98"/>
      <c r="F921" s="98"/>
      <c r="G921" s="98"/>
      <c r="H921" s="98"/>
    </row>
    <row r="922">
      <c r="D922" s="98"/>
      <c r="E922" s="98"/>
      <c r="F922" s="98"/>
      <c r="G922" s="98"/>
      <c r="H922" s="98"/>
    </row>
    <row r="923">
      <c r="D923" s="98"/>
      <c r="E923" s="98"/>
      <c r="F923" s="98"/>
      <c r="G923" s="98"/>
      <c r="H923" s="98"/>
    </row>
    <row r="924">
      <c r="D924" s="98"/>
      <c r="E924" s="98"/>
      <c r="F924" s="98"/>
      <c r="G924" s="98"/>
      <c r="H924" s="98"/>
    </row>
    <row r="925">
      <c r="D925" s="98"/>
      <c r="E925" s="98"/>
      <c r="F925" s="98"/>
      <c r="G925" s="98"/>
      <c r="H925" s="98"/>
    </row>
    <row r="926">
      <c r="D926" s="98"/>
      <c r="E926" s="98"/>
      <c r="F926" s="98"/>
      <c r="G926" s="98"/>
      <c r="H926" s="98"/>
    </row>
    <row r="927">
      <c r="D927" s="98"/>
      <c r="E927" s="98"/>
      <c r="F927" s="98"/>
      <c r="G927" s="98"/>
      <c r="H927" s="98"/>
    </row>
    <row r="928">
      <c r="D928" s="98"/>
      <c r="E928" s="98"/>
      <c r="F928" s="98"/>
      <c r="G928" s="98"/>
      <c r="H928" s="98"/>
    </row>
    <row r="929">
      <c r="D929" s="98"/>
      <c r="E929" s="98"/>
      <c r="F929" s="98"/>
      <c r="G929" s="98"/>
      <c r="H929" s="98"/>
    </row>
    <row r="930">
      <c r="D930" s="98"/>
      <c r="E930" s="98"/>
      <c r="F930" s="98"/>
      <c r="G930" s="98"/>
      <c r="H930" s="98"/>
    </row>
    <row r="931">
      <c r="D931" s="98"/>
      <c r="E931" s="98"/>
      <c r="F931" s="98"/>
      <c r="G931" s="98"/>
      <c r="H931" s="98"/>
    </row>
    <row r="932">
      <c r="D932" s="98"/>
      <c r="E932" s="98"/>
      <c r="F932" s="98"/>
      <c r="G932" s="98"/>
      <c r="H932" s="98"/>
    </row>
    <row r="933">
      <c r="D933" s="98"/>
      <c r="E933" s="98"/>
      <c r="F933" s="98"/>
      <c r="G933" s="98"/>
      <c r="H933" s="98"/>
    </row>
    <row r="934">
      <c r="D934" s="98"/>
      <c r="E934" s="98"/>
      <c r="F934" s="98"/>
      <c r="G934" s="98"/>
      <c r="H934" s="98"/>
    </row>
    <row r="935">
      <c r="D935" s="98"/>
      <c r="E935" s="98"/>
      <c r="F935" s="98"/>
      <c r="G935" s="98"/>
      <c r="H935" s="98"/>
    </row>
    <row r="936">
      <c r="D936" s="98"/>
      <c r="E936" s="98"/>
      <c r="F936" s="98"/>
      <c r="G936" s="98"/>
      <c r="H936" s="98"/>
    </row>
    <row r="937">
      <c r="D937" s="98"/>
      <c r="E937" s="98"/>
      <c r="F937" s="98"/>
      <c r="G937" s="98"/>
      <c r="H937" s="98"/>
    </row>
    <row r="938">
      <c r="D938" s="98"/>
      <c r="E938" s="98"/>
      <c r="F938" s="98"/>
      <c r="G938" s="98"/>
      <c r="H938" s="98"/>
    </row>
    <row r="939">
      <c r="D939" s="98"/>
      <c r="E939" s="98"/>
      <c r="F939" s="98"/>
      <c r="G939" s="98"/>
      <c r="H939" s="98"/>
    </row>
    <row r="940">
      <c r="D940" s="98"/>
      <c r="E940" s="98"/>
      <c r="F940" s="98"/>
      <c r="G940" s="98"/>
      <c r="H940" s="98"/>
    </row>
    <row r="941">
      <c r="D941" s="98"/>
      <c r="E941" s="98"/>
      <c r="F941" s="98"/>
      <c r="G941" s="98"/>
      <c r="H941" s="98"/>
    </row>
    <row r="942">
      <c r="D942" s="98"/>
      <c r="E942" s="98"/>
      <c r="F942" s="98"/>
      <c r="G942" s="98"/>
      <c r="H942" s="98"/>
    </row>
    <row r="943">
      <c r="D943" s="98"/>
      <c r="E943" s="98"/>
      <c r="F943" s="98"/>
      <c r="G943" s="98"/>
      <c r="H943" s="98"/>
    </row>
    <row r="944">
      <c r="D944" s="98"/>
      <c r="E944" s="98"/>
      <c r="F944" s="98"/>
      <c r="G944" s="98"/>
      <c r="H944" s="98"/>
    </row>
    <row r="945">
      <c r="D945" s="98"/>
      <c r="E945" s="98"/>
      <c r="F945" s="98"/>
      <c r="G945" s="98"/>
      <c r="H945" s="98"/>
    </row>
    <row r="946">
      <c r="D946" s="98"/>
      <c r="E946" s="98"/>
      <c r="F946" s="98"/>
      <c r="G946" s="98"/>
      <c r="H946" s="98"/>
    </row>
    <row r="947">
      <c r="D947" s="98"/>
      <c r="E947" s="98"/>
      <c r="F947" s="98"/>
      <c r="G947" s="98"/>
      <c r="H947" s="98"/>
    </row>
    <row r="948">
      <c r="D948" s="98"/>
      <c r="E948" s="98"/>
      <c r="F948" s="98"/>
      <c r="G948" s="98"/>
      <c r="H948" s="98"/>
    </row>
    <row r="949">
      <c r="D949" s="98"/>
      <c r="E949" s="98"/>
      <c r="F949" s="98"/>
      <c r="G949" s="98"/>
      <c r="H949" s="98"/>
    </row>
    <row r="950">
      <c r="D950" s="98"/>
      <c r="E950" s="98"/>
      <c r="F950" s="98"/>
      <c r="G950" s="98"/>
      <c r="H950" s="98"/>
    </row>
    <row r="951">
      <c r="D951" s="98"/>
      <c r="E951" s="98"/>
      <c r="F951" s="98"/>
      <c r="G951" s="98"/>
      <c r="H951" s="98"/>
    </row>
    <row r="952">
      <c r="D952" s="98"/>
      <c r="E952" s="98"/>
      <c r="F952" s="98"/>
      <c r="G952" s="98"/>
      <c r="H952" s="98"/>
    </row>
    <row r="953">
      <c r="D953" s="98"/>
      <c r="E953" s="98"/>
      <c r="F953" s="98"/>
      <c r="G953" s="98"/>
      <c r="H953" s="98"/>
    </row>
    <row r="954">
      <c r="D954" s="98"/>
      <c r="E954" s="98"/>
      <c r="F954" s="98"/>
      <c r="G954" s="98"/>
      <c r="H954" s="98"/>
    </row>
    <row r="955">
      <c r="D955" s="98"/>
      <c r="E955" s="98"/>
      <c r="F955" s="98"/>
      <c r="G955" s="98"/>
      <c r="H955" s="98"/>
    </row>
    <row r="956">
      <c r="D956" s="98"/>
      <c r="E956" s="98"/>
      <c r="F956" s="98"/>
      <c r="G956" s="98"/>
      <c r="H956" s="98"/>
    </row>
    <row r="957">
      <c r="D957" s="98"/>
      <c r="E957" s="98"/>
      <c r="F957" s="98"/>
      <c r="G957" s="98"/>
      <c r="H957" s="98"/>
    </row>
    <row r="958">
      <c r="D958" s="98"/>
      <c r="E958" s="98"/>
      <c r="F958" s="98"/>
      <c r="G958" s="98"/>
      <c r="H958" s="98"/>
    </row>
    <row r="959">
      <c r="D959" s="98"/>
      <c r="E959" s="98"/>
      <c r="F959" s="98"/>
      <c r="G959" s="98"/>
      <c r="H959" s="98"/>
    </row>
    <row r="960">
      <c r="D960" s="98"/>
      <c r="E960" s="98"/>
      <c r="F960" s="98"/>
      <c r="G960" s="98"/>
      <c r="H960" s="98"/>
    </row>
    <row r="961">
      <c r="D961" s="98"/>
      <c r="E961" s="98"/>
      <c r="F961" s="98"/>
      <c r="G961" s="98"/>
      <c r="H961" s="98"/>
    </row>
    <row r="962">
      <c r="D962" s="98"/>
      <c r="E962" s="98"/>
      <c r="F962" s="98"/>
      <c r="G962" s="98"/>
      <c r="H962" s="98"/>
    </row>
    <row r="963">
      <c r="D963" s="98"/>
      <c r="E963" s="98"/>
      <c r="F963" s="98"/>
      <c r="G963" s="98"/>
      <c r="H963" s="98"/>
    </row>
    <row r="964">
      <c r="D964" s="98"/>
      <c r="E964" s="98"/>
      <c r="F964" s="98"/>
      <c r="G964" s="98"/>
      <c r="H964" s="98"/>
    </row>
    <row r="965">
      <c r="D965" s="98"/>
      <c r="E965" s="98"/>
      <c r="F965" s="98"/>
      <c r="G965" s="98"/>
      <c r="H965" s="98"/>
    </row>
    <row r="966">
      <c r="D966" s="98"/>
      <c r="E966" s="98"/>
      <c r="F966" s="98"/>
      <c r="G966" s="98"/>
      <c r="H966" s="98"/>
    </row>
    <row r="967">
      <c r="D967" s="98"/>
      <c r="E967" s="98"/>
      <c r="F967" s="98"/>
      <c r="G967" s="98"/>
      <c r="H967" s="98"/>
    </row>
    <row r="968">
      <c r="D968" s="98"/>
      <c r="E968" s="98"/>
      <c r="F968" s="98"/>
      <c r="G968" s="98"/>
      <c r="H968" s="98"/>
    </row>
    <row r="969">
      <c r="D969" s="98"/>
      <c r="E969" s="98"/>
      <c r="F969" s="98"/>
      <c r="G969" s="98"/>
      <c r="H969" s="98"/>
    </row>
    <row r="970">
      <c r="D970" s="98"/>
      <c r="E970" s="98"/>
      <c r="F970" s="98"/>
      <c r="G970" s="98"/>
      <c r="H970" s="98"/>
    </row>
    <row r="971">
      <c r="D971" s="98"/>
      <c r="E971" s="98"/>
      <c r="F971" s="98"/>
      <c r="G971" s="98"/>
      <c r="H971" s="98"/>
    </row>
    <row r="972">
      <c r="D972" s="98"/>
      <c r="E972" s="98"/>
      <c r="F972" s="98"/>
      <c r="G972" s="98"/>
      <c r="H972" s="98"/>
    </row>
    <row r="973">
      <c r="D973" s="98"/>
      <c r="E973" s="98"/>
      <c r="F973" s="98"/>
      <c r="G973" s="98"/>
      <c r="H973" s="98"/>
    </row>
    <row r="974">
      <c r="D974" s="98"/>
      <c r="E974" s="98"/>
      <c r="F974" s="98"/>
      <c r="G974" s="98"/>
      <c r="H974" s="98"/>
    </row>
    <row r="975">
      <c r="D975" s="98"/>
      <c r="E975" s="98"/>
      <c r="F975" s="98"/>
      <c r="G975" s="98"/>
      <c r="H975" s="98"/>
    </row>
    <row r="976">
      <c r="D976" s="98"/>
      <c r="E976" s="98"/>
      <c r="F976" s="98"/>
      <c r="G976" s="98"/>
      <c r="H976" s="98"/>
    </row>
    <row r="977">
      <c r="D977" s="98"/>
      <c r="E977" s="98"/>
      <c r="F977" s="98"/>
      <c r="G977" s="98"/>
      <c r="H977" s="98"/>
    </row>
    <row r="978">
      <c r="D978" s="98"/>
      <c r="E978" s="98"/>
      <c r="F978" s="98"/>
      <c r="G978" s="98"/>
      <c r="H978" s="98"/>
    </row>
    <row r="979">
      <c r="D979" s="98"/>
      <c r="E979" s="98"/>
      <c r="F979" s="98"/>
      <c r="G979" s="98"/>
      <c r="H979" s="98"/>
    </row>
    <row r="980">
      <c r="D980" s="98"/>
      <c r="E980" s="98"/>
      <c r="F980" s="98"/>
      <c r="G980" s="98"/>
      <c r="H980" s="98"/>
    </row>
    <row r="981">
      <c r="D981" s="98"/>
      <c r="E981" s="98"/>
      <c r="F981" s="98"/>
      <c r="G981" s="98"/>
      <c r="H981" s="98"/>
    </row>
    <row r="982">
      <c r="D982" s="98"/>
      <c r="E982" s="98"/>
      <c r="F982" s="98"/>
      <c r="G982" s="98"/>
      <c r="H982" s="98"/>
    </row>
    <row r="983">
      <c r="D983" s="98"/>
      <c r="E983" s="98"/>
      <c r="F983" s="98"/>
      <c r="G983" s="98"/>
      <c r="H983" s="98"/>
    </row>
    <row r="984">
      <c r="D984" s="98"/>
      <c r="E984" s="98"/>
      <c r="F984" s="98"/>
      <c r="G984" s="98"/>
      <c r="H984" s="98"/>
    </row>
    <row r="985">
      <c r="D985" s="98"/>
      <c r="E985" s="98"/>
      <c r="F985" s="98"/>
      <c r="G985" s="98"/>
      <c r="H985" s="98"/>
    </row>
    <row r="986">
      <c r="D986" s="98"/>
      <c r="E986" s="98"/>
      <c r="F986" s="98"/>
      <c r="G986" s="98"/>
      <c r="H986" s="98"/>
    </row>
    <row r="987">
      <c r="D987" s="98"/>
      <c r="E987" s="98"/>
      <c r="F987" s="98"/>
      <c r="G987" s="98"/>
      <c r="H987" s="98"/>
    </row>
    <row r="988">
      <c r="D988" s="98"/>
      <c r="E988" s="98"/>
      <c r="F988" s="98"/>
      <c r="G988" s="98"/>
      <c r="H988" s="98"/>
    </row>
    <row r="989">
      <c r="D989" s="98"/>
      <c r="E989" s="98"/>
      <c r="F989" s="98"/>
      <c r="G989" s="98"/>
      <c r="H989" s="98"/>
    </row>
    <row r="990">
      <c r="D990" s="98"/>
      <c r="E990" s="98"/>
      <c r="F990" s="98"/>
      <c r="G990" s="98"/>
      <c r="H990" s="98"/>
    </row>
    <row r="991">
      <c r="D991" s="98"/>
      <c r="E991" s="98"/>
      <c r="F991" s="98"/>
      <c r="G991" s="98"/>
      <c r="H991" s="98"/>
    </row>
    <row r="992">
      <c r="D992" s="98"/>
      <c r="E992" s="98"/>
      <c r="F992" s="98"/>
      <c r="G992" s="98"/>
      <c r="H992" s="98"/>
    </row>
    <row r="993">
      <c r="D993" s="98"/>
      <c r="E993" s="98"/>
      <c r="F993" s="98"/>
      <c r="G993" s="98"/>
      <c r="H993" s="98"/>
    </row>
    <row r="994">
      <c r="D994" s="98"/>
      <c r="E994" s="98"/>
      <c r="F994" s="98"/>
      <c r="G994" s="98"/>
      <c r="H994" s="98"/>
    </row>
    <row r="995">
      <c r="D995" s="98"/>
      <c r="E995" s="98"/>
      <c r="F995" s="98"/>
      <c r="G995" s="98"/>
      <c r="H995" s="98"/>
    </row>
    <row r="996">
      <c r="D996" s="98"/>
      <c r="E996" s="98"/>
      <c r="F996" s="98"/>
      <c r="G996" s="98"/>
      <c r="H996" s="98"/>
    </row>
    <row r="997">
      <c r="D997" s="98"/>
      <c r="E997" s="98"/>
      <c r="F997" s="98"/>
      <c r="G997" s="98"/>
      <c r="H997" s="98"/>
    </row>
    <row r="998">
      <c r="D998" s="98"/>
      <c r="E998" s="98"/>
      <c r="F998" s="98"/>
      <c r="G998" s="98"/>
      <c r="H998" s="98"/>
    </row>
    <row r="999">
      <c r="D999" s="98"/>
      <c r="E999" s="98"/>
      <c r="F999" s="98"/>
      <c r="G999" s="98"/>
      <c r="H999" s="98"/>
    </row>
    <row r="1000">
      <c r="D1000" s="98"/>
      <c r="E1000" s="98"/>
      <c r="F1000" s="98"/>
      <c r="G1000" s="98"/>
      <c r="H1000" s="98"/>
    </row>
  </sheetData>
  <mergeCells count="2">
    <mergeCell ref="E1:H1"/>
    <mergeCell ref="K1:N1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4" t="s">
        <v>252</v>
      </c>
      <c r="B1" s="98"/>
      <c r="C1" s="98"/>
      <c r="D1" s="98"/>
      <c r="E1" s="102" t="s">
        <v>253</v>
      </c>
    </row>
    <row r="2">
      <c r="A2" s="144" t="s">
        <v>90</v>
      </c>
      <c r="B2" s="98"/>
      <c r="C2" s="98"/>
      <c r="D2" s="98"/>
      <c r="E2" s="143"/>
      <c r="F2" s="143"/>
      <c r="G2" s="143"/>
      <c r="H2" s="143"/>
    </row>
    <row r="3">
      <c r="A3" s="145" t="s">
        <v>111</v>
      </c>
      <c r="B3" s="98"/>
      <c r="C3" s="98"/>
      <c r="D3" s="104"/>
      <c r="E3" s="105" t="s">
        <v>10</v>
      </c>
      <c r="F3" s="105" t="s">
        <v>11</v>
      </c>
      <c r="G3" s="105" t="s">
        <v>12</v>
      </c>
      <c r="H3" s="106" t="s">
        <v>85</v>
      </c>
    </row>
    <row r="4">
      <c r="A4" s="145" t="s">
        <v>118</v>
      </c>
      <c r="B4" s="98"/>
      <c r="C4" s="98"/>
      <c r="D4" s="107" t="s">
        <v>113</v>
      </c>
      <c r="E4" s="108">
        <v>283.0764</v>
      </c>
      <c r="F4" s="108">
        <v>301.0</v>
      </c>
      <c r="G4" s="108">
        <v>275.46</v>
      </c>
      <c r="H4" s="108">
        <v>7.61645</v>
      </c>
    </row>
    <row r="5">
      <c r="D5" s="104"/>
      <c r="E5" s="108">
        <v>283.4721</v>
      </c>
      <c r="F5" s="108">
        <v>774.0</v>
      </c>
      <c r="G5" s="108">
        <v>275.61</v>
      </c>
      <c r="H5" s="108">
        <v>7.86206</v>
      </c>
    </row>
    <row r="6">
      <c r="D6" s="104"/>
      <c r="E6" s="108">
        <v>284.302</v>
      </c>
      <c r="F6" s="108">
        <v>1248.0</v>
      </c>
      <c r="G6" s="108">
        <v>276.17</v>
      </c>
      <c r="H6" s="108">
        <v>8.13203</v>
      </c>
    </row>
    <row r="7">
      <c r="D7" s="104"/>
      <c r="E7" s="108">
        <v>284.7828</v>
      </c>
      <c r="F7" s="108">
        <v>1720.0</v>
      </c>
      <c r="G7" s="108">
        <v>277.09</v>
      </c>
      <c r="H7" s="108">
        <v>7.69275</v>
      </c>
    </row>
    <row r="8">
      <c r="D8" s="104"/>
      <c r="E8" s="108">
        <v>285.839</v>
      </c>
      <c r="F8" s="108">
        <v>2194.0</v>
      </c>
      <c r="G8" s="108">
        <v>277.74</v>
      </c>
      <c r="H8" s="108">
        <v>8.09901</v>
      </c>
    </row>
    <row r="9">
      <c r="D9" s="104"/>
      <c r="E9" s="108">
        <v>285.6763</v>
      </c>
      <c r="F9" s="108">
        <v>2668.0</v>
      </c>
      <c r="G9" s="108">
        <v>277.66</v>
      </c>
      <c r="H9" s="108">
        <v>8.01625</v>
      </c>
    </row>
    <row r="10">
      <c r="D10" s="104"/>
      <c r="E10" s="109">
        <v>286.406</v>
      </c>
      <c r="F10" s="109">
        <v>3153.0</v>
      </c>
      <c r="G10" s="109">
        <v>279.02</v>
      </c>
      <c r="H10" s="109">
        <v>7.38601</v>
      </c>
    </row>
    <row r="11">
      <c r="D11" s="107" t="s">
        <v>107</v>
      </c>
      <c r="E11" s="108">
        <v>286.438</v>
      </c>
      <c r="F11" s="108">
        <v>3619.0</v>
      </c>
      <c r="G11" s="108">
        <v>280.04</v>
      </c>
      <c r="H11" s="108">
        <v>6.39799</v>
      </c>
    </row>
    <row r="12">
      <c r="D12" s="104"/>
      <c r="E12" s="108">
        <v>286.9808</v>
      </c>
      <c r="F12" s="108">
        <v>4090.0</v>
      </c>
      <c r="G12" s="108">
        <v>280.81</v>
      </c>
      <c r="H12" s="108">
        <v>6.17075</v>
      </c>
    </row>
    <row r="13">
      <c r="D13" s="104"/>
      <c r="E13" s="108">
        <v>287.2163</v>
      </c>
      <c r="F13" s="108">
        <v>4567.0</v>
      </c>
      <c r="G13" s="108">
        <v>281.57</v>
      </c>
      <c r="H13" s="108">
        <v>5.64624</v>
      </c>
    </row>
    <row r="14">
      <c r="D14" s="104"/>
      <c r="E14" s="108">
        <v>287.2955</v>
      </c>
      <c r="F14" s="108">
        <v>5039.0</v>
      </c>
      <c r="G14" s="108">
        <v>282.78</v>
      </c>
      <c r="H14" s="108">
        <v>4.5155</v>
      </c>
    </row>
    <row r="15">
      <c r="D15" s="104"/>
      <c r="E15" s="108">
        <v>288.294</v>
      </c>
      <c r="F15" s="108">
        <v>5512.0</v>
      </c>
      <c r="G15" s="108">
        <v>283.22</v>
      </c>
      <c r="H15" s="108">
        <v>5.074</v>
      </c>
    </row>
    <row r="16">
      <c r="D16" s="104"/>
      <c r="E16" s="108">
        <v>287.9805</v>
      </c>
      <c r="F16" s="108">
        <v>5990.0</v>
      </c>
      <c r="G16" s="108">
        <v>282.99</v>
      </c>
      <c r="H16" s="108">
        <v>4.99051</v>
      </c>
    </row>
    <row r="17">
      <c r="D17" s="98"/>
      <c r="E17" s="98"/>
      <c r="F17" s="98"/>
      <c r="G17" s="98"/>
      <c r="H17" s="98"/>
    </row>
    <row r="18">
      <c r="D18" s="98"/>
      <c r="E18" s="98"/>
      <c r="F18" s="98"/>
      <c r="G18" s="98"/>
      <c r="H18" s="98"/>
    </row>
    <row r="19">
      <c r="D19" s="98"/>
      <c r="E19" s="98"/>
      <c r="F19" s="98"/>
      <c r="G19" s="98"/>
      <c r="H19" s="98"/>
    </row>
    <row r="20">
      <c r="D20" s="98"/>
      <c r="E20" s="98"/>
      <c r="F20" s="98"/>
      <c r="G20" s="98"/>
      <c r="H20" s="98"/>
    </row>
    <row r="21">
      <c r="D21" s="98"/>
      <c r="E21" s="98"/>
      <c r="F21" s="98"/>
      <c r="G21" s="98"/>
      <c r="H21" s="98"/>
    </row>
    <row r="22">
      <c r="D22" s="98"/>
      <c r="E22" s="98"/>
      <c r="F22" s="98"/>
      <c r="G22" s="98"/>
      <c r="H22" s="98"/>
    </row>
    <row r="23">
      <c r="D23" s="98"/>
      <c r="E23" s="98"/>
      <c r="F23" s="98"/>
      <c r="G23" s="98"/>
      <c r="H23" s="98"/>
    </row>
    <row r="24">
      <c r="D24" s="98"/>
      <c r="E24" s="98"/>
      <c r="F24" s="98"/>
      <c r="G24" s="98"/>
      <c r="H24" s="98"/>
    </row>
    <row r="25">
      <c r="D25" s="98"/>
      <c r="E25" s="98"/>
      <c r="F25" s="98"/>
      <c r="G25" s="98"/>
      <c r="H25" s="98"/>
    </row>
    <row r="26">
      <c r="D26" s="98"/>
      <c r="E26" s="98"/>
      <c r="F26" s="98"/>
      <c r="G26" s="98"/>
      <c r="H26" s="98"/>
    </row>
    <row r="27">
      <c r="D27" s="98"/>
      <c r="E27" s="98"/>
      <c r="F27" s="98"/>
      <c r="G27" s="98"/>
      <c r="H27" s="98"/>
    </row>
    <row r="28">
      <c r="D28" s="98"/>
      <c r="E28" s="98"/>
      <c r="F28" s="98"/>
      <c r="G28" s="98"/>
      <c r="H28" s="98"/>
    </row>
    <row r="29">
      <c r="D29" s="98"/>
      <c r="E29" s="98"/>
      <c r="F29" s="98"/>
      <c r="G29" s="98"/>
      <c r="H29" s="98"/>
    </row>
    <row r="30">
      <c r="D30" s="98"/>
      <c r="E30" s="98"/>
      <c r="F30" s="98"/>
      <c r="G30" s="98"/>
      <c r="H30" s="98"/>
    </row>
    <row r="31">
      <c r="D31" s="98"/>
      <c r="E31" s="98"/>
      <c r="F31" s="98"/>
      <c r="G31" s="98"/>
      <c r="H31" s="98"/>
    </row>
    <row r="32">
      <c r="D32" s="98"/>
      <c r="E32" s="98"/>
      <c r="F32" s="98"/>
      <c r="G32" s="98"/>
      <c r="H32" s="98"/>
    </row>
    <row r="33">
      <c r="D33" s="98"/>
      <c r="E33" s="98"/>
      <c r="F33" s="98"/>
      <c r="G33" s="98"/>
      <c r="H33" s="98"/>
    </row>
    <row r="34">
      <c r="D34" s="98"/>
      <c r="E34" s="98"/>
      <c r="F34" s="98"/>
      <c r="G34" s="98"/>
      <c r="H34" s="98"/>
    </row>
    <row r="35">
      <c r="D35" s="98"/>
      <c r="E35" s="98"/>
      <c r="F35" s="98"/>
      <c r="G35" s="98"/>
      <c r="H35" s="98"/>
    </row>
    <row r="36">
      <c r="D36" s="98"/>
      <c r="E36" s="98"/>
      <c r="F36" s="98"/>
      <c r="G36" s="98"/>
      <c r="H36" s="98"/>
    </row>
    <row r="37">
      <c r="D37" s="98"/>
      <c r="E37" s="98"/>
      <c r="F37" s="98"/>
      <c r="G37" s="98"/>
      <c r="H37" s="98"/>
    </row>
    <row r="38">
      <c r="D38" s="98"/>
      <c r="E38" s="98"/>
      <c r="F38" s="98"/>
      <c r="G38" s="98"/>
      <c r="H38" s="98"/>
    </row>
    <row r="39">
      <c r="D39" s="98"/>
      <c r="E39" s="98"/>
      <c r="F39" s="98"/>
      <c r="G39" s="98"/>
      <c r="H39" s="98"/>
    </row>
    <row r="40">
      <c r="D40" s="98"/>
      <c r="E40" s="98"/>
      <c r="F40" s="98"/>
      <c r="G40" s="98"/>
      <c r="H40" s="98"/>
    </row>
    <row r="41">
      <c r="D41" s="98"/>
      <c r="E41" s="98"/>
      <c r="F41" s="98"/>
      <c r="G41" s="98"/>
      <c r="H41" s="98"/>
    </row>
    <row r="42">
      <c r="D42" s="98"/>
      <c r="E42" s="98"/>
      <c r="F42" s="98"/>
      <c r="G42" s="98"/>
      <c r="H42" s="98"/>
    </row>
    <row r="43">
      <c r="D43" s="98"/>
      <c r="E43" s="98"/>
      <c r="F43" s="98"/>
      <c r="G43" s="98"/>
      <c r="H43" s="98"/>
    </row>
    <row r="44">
      <c r="D44" s="98"/>
      <c r="E44" s="98"/>
      <c r="F44" s="98"/>
      <c r="G44" s="98"/>
      <c r="H44" s="98"/>
    </row>
    <row r="45">
      <c r="D45" s="98"/>
      <c r="E45" s="98"/>
      <c r="F45" s="98"/>
      <c r="G45" s="98"/>
      <c r="H45" s="98"/>
    </row>
    <row r="46">
      <c r="D46" s="98"/>
      <c r="E46" s="98"/>
      <c r="F46" s="98"/>
      <c r="G46" s="98"/>
      <c r="H46" s="98"/>
    </row>
    <row r="47">
      <c r="D47" s="98"/>
      <c r="E47" s="98"/>
      <c r="F47" s="98"/>
      <c r="G47" s="98"/>
      <c r="H47" s="98"/>
    </row>
    <row r="48">
      <c r="D48" s="98"/>
      <c r="E48" s="98"/>
      <c r="F48" s="98"/>
      <c r="G48" s="98"/>
      <c r="H48" s="98"/>
    </row>
    <row r="49">
      <c r="D49" s="98"/>
      <c r="E49" s="98"/>
      <c r="F49" s="98"/>
      <c r="G49" s="98"/>
      <c r="H49" s="98"/>
    </row>
    <row r="50">
      <c r="D50" s="98"/>
      <c r="E50" s="98"/>
      <c r="F50" s="98"/>
      <c r="G50" s="98"/>
      <c r="H50" s="98"/>
    </row>
    <row r="51">
      <c r="D51" s="98"/>
      <c r="E51" s="98"/>
      <c r="F51" s="98"/>
      <c r="G51" s="98"/>
      <c r="H51" s="98"/>
    </row>
    <row r="52">
      <c r="D52" s="98"/>
      <c r="E52" s="98"/>
      <c r="F52" s="98"/>
      <c r="G52" s="98"/>
      <c r="H52" s="98"/>
    </row>
    <row r="53">
      <c r="D53" s="98"/>
      <c r="E53" s="98"/>
      <c r="F53" s="98"/>
      <c r="G53" s="98"/>
      <c r="H53" s="98"/>
    </row>
    <row r="54">
      <c r="D54" s="98"/>
      <c r="E54" s="98"/>
      <c r="F54" s="98"/>
      <c r="G54" s="98"/>
      <c r="H54" s="98"/>
    </row>
    <row r="55">
      <c r="D55" s="98"/>
      <c r="E55" s="98"/>
      <c r="F55" s="98"/>
      <c r="G55" s="98"/>
      <c r="H55" s="98"/>
    </row>
    <row r="56">
      <c r="D56" s="98"/>
      <c r="E56" s="98"/>
      <c r="F56" s="98"/>
      <c r="G56" s="98"/>
      <c r="H56" s="98"/>
    </row>
    <row r="57">
      <c r="D57" s="98"/>
      <c r="E57" s="98"/>
      <c r="F57" s="98"/>
      <c r="G57" s="98"/>
      <c r="H57" s="98"/>
    </row>
    <row r="58">
      <c r="D58" s="98"/>
      <c r="E58" s="98"/>
      <c r="F58" s="98"/>
      <c r="G58" s="98"/>
      <c r="H58" s="98"/>
    </row>
    <row r="59">
      <c r="D59" s="98"/>
      <c r="E59" s="98"/>
      <c r="F59" s="98"/>
      <c r="G59" s="98"/>
      <c r="H59" s="98"/>
    </row>
    <row r="60">
      <c r="D60" s="98"/>
      <c r="E60" s="98"/>
      <c r="F60" s="98"/>
      <c r="G60" s="98"/>
      <c r="H60" s="98"/>
    </row>
    <row r="61">
      <c r="D61" s="98"/>
      <c r="E61" s="98"/>
      <c r="F61" s="98"/>
      <c r="G61" s="98"/>
      <c r="H61" s="98"/>
    </row>
    <row r="62">
      <c r="D62" s="98"/>
      <c r="E62" s="98"/>
      <c r="F62" s="98"/>
      <c r="G62" s="98"/>
      <c r="H62" s="98"/>
    </row>
    <row r="63">
      <c r="D63" s="98"/>
      <c r="E63" s="98"/>
      <c r="F63" s="98"/>
      <c r="G63" s="98"/>
      <c r="H63" s="98"/>
    </row>
    <row r="64">
      <c r="D64" s="98"/>
      <c r="E64" s="98"/>
      <c r="F64" s="98"/>
      <c r="G64" s="98"/>
      <c r="H64" s="98"/>
    </row>
    <row r="65">
      <c r="D65" s="98"/>
      <c r="E65" s="98"/>
      <c r="F65" s="98"/>
      <c r="G65" s="98"/>
      <c r="H65" s="98"/>
    </row>
    <row r="66">
      <c r="D66" s="98"/>
      <c r="E66" s="98"/>
      <c r="F66" s="98"/>
      <c r="G66" s="98"/>
      <c r="H66" s="98"/>
    </row>
    <row r="67">
      <c r="D67" s="98"/>
      <c r="E67" s="98"/>
      <c r="F67" s="98"/>
      <c r="G67" s="98"/>
      <c r="H67" s="98"/>
    </row>
    <row r="68">
      <c r="D68" s="98"/>
      <c r="E68" s="98"/>
      <c r="F68" s="98"/>
      <c r="G68" s="98"/>
      <c r="H68" s="98"/>
    </row>
    <row r="69">
      <c r="D69" s="98"/>
      <c r="E69" s="98"/>
      <c r="F69" s="98"/>
      <c r="G69" s="98"/>
      <c r="H69" s="98"/>
    </row>
    <row r="70">
      <c r="D70" s="98"/>
      <c r="E70" s="98"/>
      <c r="F70" s="98"/>
      <c r="G70" s="98"/>
      <c r="H70" s="98"/>
    </row>
    <row r="71">
      <c r="D71" s="98"/>
      <c r="E71" s="98"/>
      <c r="F71" s="98"/>
      <c r="G71" s="98"/>
      <c r="H71" s="98"/>
    </row>
    <row r="72">
      <c r="D72" s="98"/>
      <c r="E72" s="98"/>
      <c r="F72" s="98"/>
      <c r="G72" s="98"/>
      <c r="H72" s="98"/>
    </row>
    <row r="73">
      <c r="D73" s="98"/>
      <c r="E73" s="98"/>
      <c r="F73" s="98"/>
      <c r="G73" s="98"/>
      <c r="H73" s="98"/>
    </row>
    <row r="74">
      <c r="D74" s="98"/>
      <c r="E74" s="98"/>
      <c r="F74" s="98"/>
      <c r="G74" s="98"/>
      <c r="H74" s="98"/>
    </row>
    <row r="75">
      <c r="D75" s="98"/>
      <c r="E75" s="98"/>
      <c r="F75" s="98"/>
      <c r="G75" s="98"/>
      <c r="H75" s="98"/>
    </row>
    <row r="76">
      <c r="D76" s="98"/>
      <c r="E76" s="98"/>
      <c r="F76" s="98"/>
      <c r="G76" s="98"/>
      <c r="H76" s="98"/>
    </row>
    <row r="77">
      <c r="D77" s="98"/>
      <c r="E77" s="98"/>
      <c r="F77" s="98"/>
      <c r="G77" s="98"/>
      <c r="H77" s="98"/>
    </row>
    <row r="78">
      <c r="D78" s="98"/>
      <c r="E78" s="98"/>
      <c r="F78" s="98"/>
      <c r="G78" s="98"/>
      <c r="H78" s="98"/>
    </row>
    <row r="79">
      <c r="D79" s="98"/>
      <c r="E79" s="98"/>
      <c r="F79" s="98"/>
      <c r="G79" s="98"/>
      <c r="H79" s="98"/>
    </row>
    <row r="80">
      <c r="D80" s="98"/>
      <c r="E80" s="98"/>
      <c r="F80" s="98"/>
      <c r="G80" s="98"/>
      <c r="H80" s="98"/>
    </row>
    <row r="81">
      <c r="D81" s="98"/>
      <c r="E81" s="98"/>
      <c r="F81" s="98"/>
      <c r="G81" s="98"/>
      <c r="H81" s="98"/>
    </row>
    <row r="82">
      <c r="D82" s="98"/>
      <c r="E82" s="98"/>
      <c r="F82" s="98"/>
      <c r="G82" s="98"/>
      <c r="H82" s="98"/>
    </row>
    <row r="83">
      <c r="D83" s="98"/>
      <c r="E83" s="98"/>
      <c r="F83" s="98"/>
      <c r="G83" s="98"/>
      <c r="H83" s="98"/>
    </row>
    <row r="84">
      <c r="D84" s="98"/>
      <c r="E84" s="98"/>
      <c r="F84" s="98"/>
      <c r="G84" s="98"/>
      <c r="H84" s="98"/>
    </row>
    <row r="85">
      <c r="D85" s="98"/>
      <c r="E85" s="98"/>
      <c r="F85" s="98"/>
      <c r="G85" s="98"/>
      <c r="H85" s="98"/>
    </row>
    <row r="86">
      <c r="D86" s="98"/>
      <c r="E86" s="98"/>
      <c r="F86" s="98"/>
      <c r="G86" s="98"/>
      <c r="H86" s="98"/>
    </row>
    <row r="87">
      <c r="D87" s="98"/>
      <c r="E87" s="98"/>
      <c r="F87" s="98"/>
      <c r="G87" s="98"/>
      <c r="H87" s="98"/>
    </row>
    <row r="88">
      <c r="D88" s="98"/>
      <c r="E88" s="98"/>
      <c r="F88" s="98"/>
      <c r="G88" s="98"/>
      <c r="H88" s="98"/>
    </row>
    <row r="89">
      <c r="D89" s="98"/>
      <c r="E89" s="98"/>
      <c r="F89" s="98"/>
      <c r="G89" s="98"/>
      <c r="H89" s="98"/>
    </row>
    <row r="90">
      <c r="D90" s="98"/>
      <c r="E90" s="98"/>
      <c r="F90" s="98"/>
      <c r="G90" s="98"/>
      <c r="H90" s="98"/>
    </row>
    <row r="91">
      <c r="D91" s="98"/>
      <c r="E91" s="98"/>
      <c r="F91" s="98"/>
      <c r="G91" s="98"/>
      <c r="H91" s="98"/>
    </row>
    <row r="92">
      <c r="D92" s="98"/>
      <c r="E92" s="98"/>
      <c r="F92" s="98"/>
      <c r="G92" s="98"/>
      <c r="H92" s="98"/>
    </row>
    <row r="93">
      <c r="D93" s="98"/>
      <c r="E93" s="98"/>
      <c r="F93" s="98"/>
      <c r="G93" s="98"/>
      <c r="H93" s="98"/>
    </row>
    <row r="94">
      <c r="D94" s="98"/>
      <c r="E94" s="98"/>
      <c r="F94" s="98"/>
      <c r="G94" s="98"/>
      <c r="H94" s="98"/>
    </row>
    <row r="95">
      <c r="D95" s="98"/>
      <c r="E95" s="98"/>
      <c r="F95" s="98"/>
      <c r="G95" s="98"/>
      <c r="H95" s="98"/>
    </row>
    <row r="96">
      <c r="D96" s="98"/>
      <c r="E96" s="98"/>
      <c r="F96" s="98"/>
      <c r="G96" s="98"/>
      <c r="H96" s="98"/>
    </row>
    <row r="97">
      <c r="D97" s="98"/>
      <c r="E97" s="98"/>
      <c r="F97" s="98"/>
      <c r="G97" s="98"/>
      <c r="H97" s="98"/>
    </row>
    <row r="98">
      <c r="D98" s="98"/>
      <c r="E98" s="98"/>
      <c r="F98" s="98"/>
      <c r="G98" s="98"/>
      <c r="H98" s="98"/>
    </row>
    <row r="99">
      <c r="D99" s="98"/>
      <c r="E99" s="98"/>
      <c r="F99" s="98"/>
      <c r="G99" s="98"/>
      <c r="H99" s="98"/>
    </row>
    <row r="100">
      <c r="D100" s="98"/>
      <c r="E100" s="98"/>
      <c r="F100" s="98"/>
      <c r="G100" s="98"/>
      <c r="H100" s="98"/>
    </row>
    <row r="101">
      <c r="D101" s="98"/>
      <c r="E101" s="98"/>
      <c r="F101" s="98"/>
      <c r="G101" s="98"/>
      <c r="H101" s="98"/>
    </row>
    <row r="102">
      <c r="D102" s="98"/>
      <c r="E102" s="98"/>
      <c r="F102" s="98"/>
      <c r="G102" s="98"/>
      <c r="H102" s="98"/>
    </row>
    <row r="103">
      <c r="D103" s="98"/>
      <c r="E103" s="98"/>
      <c r="F103" s="98"/>
      <c r="G103" s="98"/>
      <c r="H103" s="98"/>
    </row>
    <row r="104">
      <c r="D104" s="98"/>
      <c r="E104" s="98"/>
      <c r="F104" s="98"/>
      <c r="G104" s="98"/>
      <c r="H104" s="98"/>
    </row>
    <row r="105">
      <c r="D105" s="98"/>
      <c r="E105" s="98"/>
      <c r="F105" s="98"/>
      <c r="G105" s="98"/>
      <c r="H105" s="98"/>
    </row>
    <row r="106">
      <c r="D106" s="98"/>
      <c r="E106" s="98"/>
      <c r="F106" s="98"/>
      <c r="G106" s="98"/>
      <c r="H106" s="98"/>
    </row>
    <row r="107">
      <c r="D107" s="98"/>
      <c r="E107" s="98"/>
      <c r="F107" s="98"/>
      <c r="G107" s="98"/>
      <c r="H107" s="98"/>
    </row>
    <row r="108">
      <c r="D108" s="98"/>
      <c r="E108" s="98"/>
      <c r="F108" s="98"/>
      <c r="G108" s="98"/>
      <c r="H108" s="98"/>
    </row>
    <row r="109">
      <c r="D109" s="98"/>
      <c r="E109" s="98"/>
      <c r="F109" s="98"/>
      <c r="G109" s="98"/>
      <c r="H109" s="98"/>
    </row>
    <row r="110">
      <c r="D110" s="98"/>
      <c r="E110" s="98"/>
      <c r="F110" s="98"/>
      <c r="G110" s="98"/>
      <c r="H110" s="98"/>
    </row>
    <row r="111">
      <c r="D111" s="98"/>
      <c r="E111" s="98"/>
      <c r="F111" s="98"/>
      <c r="G111" s="98"/>
      <c r="H111" s="98"/>
    </row>
    <row r="112">
      <c r="D112" s="98"/>
      <c r="E112" s="98"/>
      <c r="F112" s="98"/>
      <c r="G112" s="98"/>
      <c r="H112" s="98"/>
    </row>
    <row r="113">
      <c r="D113" s="98"/>
      <c r="E113" s="98"/>
      <c r="F113" s="98"/>
      <c r="G113" s="98"/>
      <c r="H113" s="98"/>
    </row>
    <row r="114">
      <c r="D114" s="98"/>
      <c r="E114" s="98"/>
      <c r="F114" s="98"/>
      <c r="G114" s="98"/>
      <c r="H114" s="98"/>
    </row>
    <row r="115">
      <c r="D115" s="98"/>
      <c r="E115" s="98"/>
      <c r="F115" s="98"/>
      <c r="G115" s="98"/>
      <c r="H115" s="98"/>
    </row>
    <row r="116">
      <c r="D116" s="98"/>
      <c r="E116" s="98"/>
      <c r="F116" s="98"/>
      <c r="G116" s="98"/>
      <c r="H116" s="98"/>
    </row>
    <row r="117">
      <c r="D117" s="98"/>
      <c r="E117" s="98"/>
      <c r="F117" s="98"/>
      <c r="G117" s="98"/>
      <c r="H117" s="98"/>
    </row>
    <row r="118">
      <c r="D118" s="98"/>
      <c r="E118" s="98"/>
      <c r="F118" s="98"/>
      <c r="G118" s="98"/>
      <c r="H118" s="98"/>
    </row>
    <row r="119">
      <c r="D119" s="98"/>
      <c r="E119" s="98"/>
      <c r="F119" s="98"/>
      <c r="G119" s="98"/>
      <c r="H119" s="98"/>
    </row>
    <row r="120">
      <c r="D120" s="98"/>
      <c r="E120" s="98"/>
      <c r="F120" s="98"/>
      <c r="G120" s="98"/>
      <c r="H120" s="98"/>
    </row>
    <row r="121">
      <c r="D121" s="98"/>
      <c r="E121" s="98"/>
      <c r="F121" s="98"/>
      <c r="G121" s="98"/>
      <c r="H121" s="98"/>
    </row>
    <row r="122">
      <c r="D122" s="98"/>
      <c r="E122" s="98"/>
      <c r="F122" s="98"/>
      <c r="G122" s="98"/>
      <c r="H122" s="98"/>
    </row>
    <row r="123">
      <c r="D123" s="98"/>
      <c r="E123" s="98"/>
      <c r="F123" s="98"/>
      <c r="G123" s="98"/>
      <c r="H123" s="98"/>
    </row>
    <row r="124">
      <c r="D124" s="98"/>
      <c r="E124" s="98"/>
      <c r="F124" s="98"/>
      <c r="G124" s="98"/>
      <c r="H124" s="98"/>
    </row>
    <row r="125">
      <c r="D125" s="98"/>
      <c r="E125" s="98"/>
      <c r="F125" s="98"/>
      <c r="G125" s="98"/>
      <c r="H125" s="98"/>
    </row>
    <row r="126">
      <c r="D126" s="98"/>
      <c r="E126" s="98"/>
      <c r="F126" s="98"/>
      <c r="G126" s="98"/>
      <c r="H126" s="98"/>
    </row>
    <row r="127">
      <c r="D127" s="98"/>
      <c r="E127" s="98"/>
      <c r="F127" s="98"/>
      <c r="G127" s="98"/>
      <c r="H127" s="98"/>
    </row>
    <row r="128">
      <c r="D128" s="98"/>
      <c r="E128" s="98"/>
      <c r="F128" s="98"/>
      <c r="G128" s="98"/>
      <c r="H128" s="98"/>
    </row>
    <row r="129">
      <c r="D129" s="98"/>
      <c r="E129" s="98"/>
      <c r="F129" s="98"/>
      <c r="G129" s="98"/>
      <c r="H129" s="98"/>
    </row>
    <row r="130">
      <c r="D130" s="98"/>
      <c r="E130" s="98"/>
      <c r="F130" s="98"/>
      <c r="G130" s="98"/>
      <c r="H130" s="98"/>
    </row>
    <row r="131">
      <c r="D131" s="98"/>
      <c r="E131" s="98"/>
      <c r="F131" s="98"/>
      <c r="G131" s="98"/>
      <c r="H131" s="98"/>
    </row>
    <row r="132">
      <c r="D132" s="98"/>
      <c r="E132" s="98"/>
      <c r="F132" s="98"/>
      <c r="G132" s="98"/>
      <c r="H132" s="98"/>
    </row>
    <row r="133">
      <c r="D133" s="98"/>
      <c r="E133" s="98"/>
      <c r="F133" s="98"/>
      <c r="G133" s="98"/>
      <c r="H133" s="98"/>
    </row>
    <row r="134">
      <c r="D134" s="98"/>
      <c r="E134" s="98"/>
      <c r="F134" s="98"/>
      <c r="G134" s="98"/>
      <c r="H134" s="98"/>
    </row>
    <row r="135">
      <c r="D135" s="98"/>
      <c r="E135" s="98"/>
      <c r="F135" s="98"/>
      <c r="G135" s="98"/>
      <c r="H135" s="98"/>
    </row>
    <row r="136">
      <c r="D136" s="98"/>
      <c r="E136" s="98"/>
      <c r="F136" s="98"/>
      <c r="G136" s="98"/>
      <c r="H136" s="98"/>
    </row>
    <row r="137">
      <c r="D137" s="98"/>
      <c r="E137" s="98"/>
      <c r="F137" s="98"/>
      <c r="G137" s="98"/>
      <c r="H137" s="98"/>
    </row>
    <row r="138">
      <c r="D138" s="98"/>
      <c r="E138" s="98"/>
      <c r="F138" s="98"/>
      <c r="G138" s="98"/>
      <c r="H138" s="98"/>
    </row>
    <row r="139">
      <c r="D139" s="98"/>
      <c r="E139" s="98"/>
      <c r="F139" s="98"/>
      <c r="G139" s="98"/>
      <c r="H139" s="98"/>
    </row>
    <row r="140">
      <c r="D140" s="98"/>
      <c r="E140" s="98"/>
      <c r="F140" s="98"/>
      <c r="G140" s="98"/>
      <c r="H140" s="98"/>
    </row>
    <row r="141">
      <c r="D141" s="98"/>
      <c r="E141" s="98"/>
      <c r="F141" s="98"/>
      <c r="G141" s="98"/>
      <c r="H141" s="98"/>
    </row>
    <row r="142">
      <c r="D142" s="98"/>
      <c r="E142" s="98"/>
      <c r="F142" s="98"/>
      <c r="G142" s="98"/>
      <c r="H142" s="98"/>
    </row>
    <row r="143">
      <c r="D143" s="98"/>
      <c r="E143" s="98"/>
      <c r="F143" s="98"/>
      <c r="G143" s="98"/>
      <c r="H143" s="98"/>
    </row>
    <row r="144">
      <c r="D144" s="98"/>
      <c r="E144" s="98"/>
      <c r="F144" s="98"/>
      <c r="G144" s="98"/>
      <c r="H144" s="98"/>
    </row>
    <row r="145">
      <c r="D145" s="98"/>
      <c r="E145" s="98"/>
      <c r="F145" s="98"/>
      <c r="G145" s="98"/>
      <c r="H145" s="98"/>
    </row>
    <row r="146">
      <c r="D146" s="98"/>
      <c r="E146" s="98"/>
      <c r="F146" s="98"/>
      <c r="G146" s="98"/>
      <c r="H146" s="98"/>
    </row>
    <row r="147">
      <c r="D147" s="98"/>
      <c r="E147" s="98"/>
      <c r="F147" s="98"/>
      <c r="G147" s="98"/>
      <c r="H147" s="98"/>
    </row>
    <row r="148">
      <c r="D148" s="98"/>
      <c r="E148" s="98"/>
      <c r="F148" s="98"/>
      <c r="G148" s="98"/>
      <c r="H148" s="98"/>
    </row>
    <row r="149">
      <c r="D149" s="98"/>
      <c r="E149" s="98"/>
      <c r="F149" s="98"/>
      <c r="G149" s="98"/>
      <c r="H149" s="98"/>
    </row>
    <row r="150">
      <c r="D150" s="98"/>
      <c r="E150" s="98"/>
      <c r="F150" s="98"/>
      <c r="G150" s="98"/>
      <c r="H150" s="98"/>
    </row>
    <row r="151">
      <c r="D151" s="98"/>
      <c r="E151" s="98"/>
      <c r="F151" s="98"/>
      <c r="G151" s="98"/>
      <c r="H151" s="98"/>
    </row>
    <row r="152">
      <c r="D152" s="98"/>
      <c r="E152" s="98"/>
      <c r="F152" s="98"/>
      <c r="G152" s="98"/>
      <c r="H152" s="98"/>
    </row>
    <row r="153">
      <c r="D153" s="98"/>
      <c r="E153" s="98"/>
      <c r="F153" s="98"/>
      <c r="G153" s="98"/>
      <c r="H153" s="98"/>
    </row>
    <row r="154">
      <c r="D154" s="98"/>
      <c r="E154" s="98"/>
      <c r="F154" s="98"/>
      <c r="G154" s="98"/>
      <c r="H154" s="98"/>
    </row>
    <row r="155">
      <c r="D155" s="98"/>
      <c r="E155" s="98"/>
      <c r="F155" s="98"/>
      <c r="G155" s="98"/>
      <c r="H155" s="98"/>
    </row>
    <row r="156">
      <c r="D156" s="98"/>
      <c r="E156" s="98"/>
      <c r="F156" s="98"/>
      <c r="G156" s="98"/>
      <c r="H156" s="98"/>
    </row>
    <row r="157">
      <c r="D157" s="98"/>
      <c r="E157" s="98"/>
      <c r="F157" s="98"/>
      <c r="G157" s="98"/>
      <c r="H157" s="98"/>
    </row>
    <row r="158">
      <c r="D158" s="98"/>
      <c r="E158" s="98"/>
      <c r="F158" s="98"/>
      <c r="G158" s="98"/>
      <c r="H158" s="98"/>
    </row>
    <row r="159">
      <c r="D159" s="98"/>
      <c r="E159" s="98"/>
      <c r="F159" s="98"/>
      <c r="G159" s="98"/>
      <c r="H159" s="98"/>
    </row>
    <row r="160">
      <c r="D160" s="98"/>
      <c r="E160" s="98"/>
      <c r="F160" s="98"/>
      <c r="G160" s="98"/>
      <c r="H160" s="98"/>
    </row>
    <row r="161">
      <c r="D161" s="98"/>
      <c r="E161" s="98"/>
      <c r="F161" s="98"/>
      <c r="G161" s="98"/>
      <c r="H161" s="98"/>
    </row>
    <row r="162">
      <c r="D162" s="98"/>
      <c r="E162" s="98"/>
      <c r="F162" s="98"/>
      <c r="G162" s="98"/>
      <c r="H162" s="98"/>
    </row>
    <row r="163">
      <c r="D163" s="98"/>
      <c r="E163" s="98"/>
      <c r="F163" s="98"/>
      <c r="G163" s="98"/>
      <c r="H163" s="98"/>
    </row>
    <row r="164">
      <c r="D164" s="98"/>
      <c r="E164" s="98"/>
      <c r="F164" s="98"/>
      <c r="G164" s="98"/>
      <c r="H164" s="98"/>
    </row>
    <row r="165">
      <c r="D165" s="98"/>
      <c r="E165" s="98"/>
      <c r="F165" s="98"/>
      <c r="G165" s="98"/>
      <c r="H165" s="98"/>
    </row>
    <row r="166">
      <c r="D166" s="98"/>
      <c r="E166" s="98"/>
      <c r="F166" s="98"/>
      <c r="G166" s="98"/>
      <c r="H166" s="98"/>
    </row>
    <row r="167">
      <c r="D167" s="98"/>
      <c r="E167" s="98"/>
      <c r="F167" s="98"/>
      <c r="G167" s="98"/>
      <c r="H167" s="98"/>
    </row>
    <row r="168">
      <c r="D168" s="98"/>
      <c r="E168" s="98"/>
      <c r="F168" s="98"/>
      <c r="G168" s="98"/>
      <c r="H168" s="98"/>
    </row>
    <row r="169">
      <c r="D169" s="98"/>
      <c r="E169" s="98"/>
      <c r="F169" s="98"/>
      <c r="G169" s="98"/>
      <c r="H169" s="98"/>
    </row>
    <row r="170">
      <c r="D170" s="98"/>
      <c r="E170" s="98"/>
      <c r="F170" s="98"/>
      <c r="G170" s="98"/>
      <c r="H170" s="98"/>
    </row>
    <row r="171">
      <c r="D171" s="98"/>
      <c r="E171" s="98"/>
      <c r="F171" s="98"/>
      <c r="G171" s="98"/>
      <c r="H171" s="98"/>
    </row>
    <row r="172">
      <c r="D172" s="98"/>
      <c r="E172" s="98"/>
      <c r="F172" s="98"/>
      <c r="G172" s="98"/>
      <c r="H172" s="98"/>
    </row>
    <row r="173">
      <c r="D173" s="98"/>
      <c r="E173" s="98"/>
      <c r="F173" s="98"/>
      <c r="G173" s="98"/>
      <c r="H173" s="98"/>
    </row>
    <row r="174">
      <c r="D174" s="98"/>
      <c r="E174" s="98"/>
      <c r="F174" s="98"/>
      <c r="G174" s="98"/>
      <c r="H174" s="98"/>
    </row>
    <row r="175">
      <c r="D175" s="98"/>
      <c r="E175" s="98"/>
      <c r="F175" s="98"/>
      <c r="G175" s="98"/>
      <c r="H175" s="98"/>
    </row>
    <row r="176">
      <c r="D176" s="98"/>
      <c r="E176" s="98"/>
      <c r="F176" s="98"/>
      <c r="G176" s="98"/>
      <c r="H176" s="98"/>
    </row>
    <row r="177">
      <c r="D177" s="98"/>
      <c r="E177" s="98"/>
      <c r="F177" s="98"/>
      <c r="G177" s="98"/>
      <c r="H177" s="98"/>
    </row>
    <row r="178">
      <c r="D178" s="98"/>
      <c r="E178" s="98"/>
      <c r="F178" s="98"/>
      <c r="G178" s="98"/>
      <c r="H178" s="98"/>
    </row>
    <row r="179">
      <c r="D179" s="98"/>
      <c r="E179" s="98"/>
      <c r="F179" s="98"/>
      <c r="G179" s="98"/>
      <c r="H179" s="98"/>
    </row>
    <row r="180">
      <c r="D180" s="98"/>
      <c r="E180" s="98"/>
      <c r="F180" s="98"/>
      <c r="G180" s="98"/>
      <c r="H180" s="98"/>
    </row>
    <row r="181">
      <c r="D181" s="98"/>
      <c r="E181" s="98"/>
      <c r="F181" s="98"/>
      <c r="G181" s="98"/>
      <c r="H181" s="98"/>
    </row>
    <row r="182">
      <c r="D182" s="98"/>
      <c r="E182" s="98"/>
      <c r="F182" s="98"/>
      <c r="G182" s="98"/>
      <c r="H182" s="98"/>
    </row>
    <row r="183">
      <c r="D183" s="98"/>
      <c r="E183" s="98"/>
      <c r="F183" s="98"/>
      <c r="G183" s="98"/>
      <c r="H183" s="98"/>
    </row>
    <row r="184">
      <c r="D184" s="98"/>
      <c r="E184" s="98"/>
      <c r="F184" s="98"/>
      <c r="G184" s="98"/>
      <c r="H184" s="98"/>
    </row>
    <row r="185">
      <c r="D185" s="98"/>
      <c r="E185" s="98"/>
      <c r="F185" s="98"/>
      <c r="G185" s="98"/>
      <c r="H185" s="98"/>
    </row>
    <row r="186">
      <c r="D186" s="98"/>
      <c r="E186" s="98"/>
      <c r="F186" s="98"/>
      <c r="G186" s="98"/>
      <c r="H186" s="98"/>
    </row>
    <row r="187">
      <c r="D187" s="98"/>
      <c r="E187" s="98"/>
      <c r="F187" s="98"/>
      <c r="G187" s="98"/>
      <c r="H187" s="98"/>
    </row>
    <row r="188">
      <c r="D188" s="98"/>
      <c r="E188" s="98"/>
      <c r="F188" s="98"/>
      <c r="G188" s="98"/>
      <c r="H188" s="98"/>
    </row>
    <row r="189">
      <c r="D189" s="98"/>
      <c r="E189" s="98"/>
      <c r="F189" s="98"/>
      <c r="G189" s="98"/>
      <c r="H189" s="98"/>
    </row>
    <row r="190">
      <c r="D190" s="98"/>
      <c r="E190" s="98"/>
      <c r="F190" s="98"/>
      <c r="G190" s="98"/>
      <c r="H190" s="98"/>
    </row>
    <row r="191">
      <c r="D191" s="98"/>
      <c r="E191" s="98"/>
      <c r="F191" s="98"/>
      <c r="G191" s="98"/>
      <c r="H191" s="98"/>
    </row>
    <row r="192">
      <c r="D192" s="98"/>
      <c r="E192" s="98"/>
      <c r="F192" s="98"/>
      <c r="G192" s="98"/>
      <c r="H192" s="98"/>
    </row>
    <row r="193">
      <c r="D193" s="98"/>
      <c r="E193" s="98"/>
      <c r="F193" s="98"/>
      <c r="G193" s="98"/>
      <c r="H193" s="98"/>
    </row>
    <row r="194">
      <c r="D194" s="98"/>
      <c r="E194" s="98"/>
      <c r="F194" s="98"/>
      <c r="G194" s="98"/>
      <c r="H194" s="98"/>
    </row>
    <row r="195">
      <c r="D195" s="98"/>
      <c r="E195" s="98"/>
      <c r="F195" s="98"/>
      <c r="G195" s="98"/>
      <c r="H195" s="98"/>
    </row>
    <row r="196">
      <c r="D196" s="98"/>
      <c r="E196" s="98"/>
      <c r="F196" s="98"/>
      <c r="G196" s="98"/>
      <c r="H196" s="98"/>
    </row>
    <row r="197">
      <c r="D197" s="98"/>
      <c r="E197" s="98"/>
      <c r="F197" s="98"/>
      <c r="G197" s="98"/>
      <c r="H197" s="98"/>
    </row>
    <row r="198">
      <c r="D198" s="98"/>
      <c r="E198" s="98"/>
      <c r="F198" s="98"/>
      <c r="G198" s="98"/>
      <c r="H198" s="98"/>
    </row>
    <row r="199">
      <c r="D199" s="98"/>
      <c r="E199" s="98"/>
      <c r="F199" s="98"/>
      <c r="G199" s="98"/>
      <c r="H199" s="98"/>
    </row>
    <row r="200">
      <c r="D200" s="98"/>
      <c r="E200" s="98"/>
      <c r="F200" s="98"/>
      <c r="G200" s="98"/>
      <c r="H200" s="98"/>
    </row>
    <row r="201">
      <c r="D201" s="98"/>
      <c r="E201" s="98"/>
      <c r="F201" s="98"/>
      <c r="G201" s="98"/>
      <c r="H201" s="98"/>
    </row>
    <row r="202">
      <c r="D202" s="98"/>
      <c r="E202" s="98"/>
      <c r="F202" s="98"/>
      <c r="G202" s="98"/>
      <c r="H202" s="98"/>
    </row>
    <row r="203">
      <c r="D203" s="98"/>
      <c r="E203" s="98"/>
      <c r="F203" s="98"/>
      <c r="G203" s="98"/>
      <c r="H203" s="98"/>
    </row>
    <row r="204">
      <c r="D204" s="98"/>
      <c r="E204" s="98"/>
      <c r="F204" s="98"/>
      <c r="G204" s="98"/>
      <c r="H204" s="98"/>
    </row>
    <row r="205">
      <c r="D205" s="98"/>
      <c r="E205" s="98"/>
      <c r="F205" s="98"/>
      <c r="G205" s="98"/>
      <c r="H205" s="98"/>
    </row>
    <row r="206">
      <c r="D206" s="98"/>
      <c r="E206" s="98"/>
      <c r="F206" s="98"/>
      <c r="G206" s="98"/>
      <c r="H206" s="98"/>
    </row>
    <row r="207">
      <c r="D207" s="98"/>
      <c r="E207" s="98"/>
      <c r="F207" s="98"/>
      <c r="G207" s="98"/>
      <c r="H207" s="98"/>
    </row>
    <row r="208">
      <c r="D208" s="98"/>
      <c r="E208" s="98"/>
      <c r="F208" s="98"/>
      <c r="G208" s="98"/>
      <c r="H208" s="98"/>
    </row>
    <row r="209">
      <c r="D209" s="98"/>
      <c r="E209" s="98"/>
      <c r="F209" s="98"/>
      <c r="G209" s="98"/>
      <c r="H209" s="98"/>
    </row>
    <row r="210">
      <c r="D210" s="98"/>
      <c r="E210" s="98"/>
      <c r="F210" s="98"/>
      <c r="G210" s="98"/>
      <c r="H210" s="98"/>
    </row>
    <row r="211">
      <c r="D211" s="98"/>
      <c r="E211" s="98"/>
      <c r="F211" s="98"/>
      <c r="G211" s="98"/>
      <c r="H211" s="98"/>
    </row>
    <row r="212">
      <c r="D212" s="98"/>
      <c r="E212" s="98"/>
      <c r="F212" s="98"/>
      <c r="G212" s="98"/>
      <c r="H212" s="98"/>
    </row>
    <row r="213">
      <c r="D213" s="98"/>
      <c r="E213" s="98"/>
      <c r="F213" s="98"/>
      <c r="G213" s="98"/>
      <c r="H213" s="98"/>
    </row>
    <row r="214">
      <c r="D214" s="98"/>
      <c r="E214" s="98"/>
      <c r="F214" s="98"/>
      <c r="G214" s="98"/>
      <c r="H214" s="98"/>
    </row>
    <row r="215">
      <c r="D215" s="98"/>
      <c r="E215" s="98"/>
      <c r="F215" s="98"/>
      <c r="G215" s="98"/>
      <c r="H215" s="98"/>
    </row>
    <row r="216">
      <c r="D216" s="98"/>
      <c r="E216" s="98"/>
      <c r="F216" s="98"/>
      <c r="G216" s="98"/>
      <c r="H216" s="98"/>
    </row>
    <row r="217">
      <c r="D217" s="98"/>
      <c r="E217" s="98"/>
      <c r="F217" s="98"/>
      <c r="G217" s="98"/>
      <c r="H217" s="98"/>
    </row>
    <row r="218">
      <c r="D218" s="98"/>
      <c r="E218" s="98"/>
      <c r="F218" s="98"/>
      <c r="G218" s="98"/>
      <c r="H218" s="98"/>
    </row>
    <row r="219">
      <c r="D219" s="98"/>
      <c r="E219" s="98"/>
      <c r="F219" s="98"/>
      <c r="G219" s="98"/>
      <c r="H219" s="98"/>
    </row>
    <row r="220">
      <c r="D220" s="98"/>
      <c r="E220" s="98"/>
      <c r="F220" s="98"/>
      <c r="G220" s="98"/>
      <c r="H220" s="98"/>
    </row>
    <row r="221">
      <c r="D221" s="98"/>
      <c r="E221" s="98"/>
      <c r="F221" s="98"/>
      <c r="G221" s="98"/>
      <c r="H221" s="98"/>
    </row>
    <row r="222">
      <c r="D222" s="98"/>
      <c r="E222" s="98"/>
      <c r="F222" s="98"/>
      <c r="G222" s="98"/>
      <c r="H222" s="98"/>
    </row>
    <row r="223">
      <c r="D223" s="98"/>
      <c r="E223" s="98"/>
      <c r="F223" s="98"/>
      <c r="G223" s="98"/>
      <c r="H223" s="98"/>
    </row>
    <row r="224">
      <c r="D224" s="98"/>
      <c r="E224" s="98"/>
      <c r="F224" s="98"/>
      <c r="G224" s="98"/>
      <c r="H224" s="98"/>
    </row>
    <row r="225">
      <c r="D225" s="98"/>
      <c r="E225" s="98"/>
      <c r="F225" s="98"/>
      <c r="G225" s="98"/>
      <c r="H225" s="98"/>
    </row>
    <row r="226">
      <c r="D226" s="98"/>
      <c r="E226" s="98"/>
      <c r="F226" s="98"/>
      <c r="G226" s="98"/>
      <c r="H226" s="98"/>
    </row>
    <row r="227">
      <c r="D227" s="98"/>
      <c r="E227" s="98"/>
      <c r="F227" s="98"/>
      <c r="G227" s="98"/>
      <c r="H227" s="98"/>
    </row>
    <row r="228">
      <c r="D228" s="98"/>
      <c r="E228" s="98"/>
      <c r="F228" s="98"/>
      <c r="G228" s="98"/>
      <c r="H228" s="98"/>
    </row>
    <row r="229">
      <c r="D229" s="98"/>
      <c r="E229" s="98"/>
      <c r="F229" s="98"/>
      <c r="G229" s="98"/>
      <c r="H229" s="98"/>
    </row>
    <row r="230">
      <c r="D230" s="98"/>
      <c r="E230" s="98"/>
      <c r="F230" s="98"/>
      <c r="G230" s="98"/>
      <c r="H230" s="98"/>
    </row>
    <row r="231">
      <c r="D231" s="98"/>
      <c r="E231" s="98"/>
      <c r="F231" s="98"/>
      <c r="G231" s="98"/>
      <c r="H231" s="98"/>
    </row>
    <row r="232">
      <c r="D232" s="98"/>
      <c r="E232" s="98"/>
      <c r="F232" s="98"/>
      <c r="G232" s="98"/>
      <c r="H232" s="98"/>
    </row>
    <row r="233">
      <c r="D233" s="98"/>
      <c r="E233" s="98"/>
      <c r="F233" s="98"/>
      <c r="G233" s="98"/>
      <c r="H233" s="98"/>
    </row>
    <row r="234">
      <c r="D234" s="98"/>
      <c r="E234" s="98"/>
      <c r="F234" s="98"/>
      <c r="G234" s="98"/>
      <c r="H234" s="98"/>
    </row>
    <row r="235">
      <c r="D235" s="98"/>
      <c r="E235" s="98"/>
      <c r="F235" s="98"/>
      <c r="G235" s="98"/>
      <c r="H235" s="98"/>
    </row>
    <row r="236">
      <c r="D236" s="98"/>
      <c r="E236" s="98"/>
      <c r="F236" s="98"/>
      <c r="G236" s="98"/>
      <c r="H236" s="98"/>
    </row>
    <row r="237">
      <c r="D237" s="98"/>
      <c r="E237" s="98"/>
      <c r="F237" s="98"/>
      <c r="G237" s="98"/>
      <c r="H237" s="98"/>
    </row>
    <row r="238">
      <c r="D238" s="98"/>
      <c r="E238" s="98"/>
      <c r="F238" s="98"/>
      <c r="G238" s="98"/>
      <c r="H238" s="98"/>
    </row>
    <row r="239">
      <c r="D239" s="98"/>
      <c r="E239" s="98"/>
      <c r="F239" s="98"/>
      <c r="G239" s="98"/>
      <c r="H239" s="98"/>
    </row>
    <row r="240">
      <c r="D240" s="98"/>
      <c r="E240" s="98"/>
      <c r="F240" s="98"/>
      <c r="G240" s="98"/>
      <c r="H240" s="98"/>
    </row>
    <row r="241">
      <c r="D241" s="98"/>
      <c r="E241" s="98"/>
      <c r="F241" s="98"/>
      <c r="G241" s="98"/>
      <c r="H241" s="98"/>
    </row>
    <row r="242">
      <c r="D242" s="98"/>
      <c r="E242" s="98"/>
      <c r="F242" s="98"/>
      <c r="G242" s="98"/>
      <c r="H242" s="98"/>
    </row>
    <row r="243">
      <c r="D243" s="98"/>
      <c r="E243" s="98"/>
      <c r="F243" s="98"/>
      <c r="G243" s="98"/>
      <c r="H243" s="98"/>
    </row>
    <row r="244">
      <c r="D244" s="98"/>
      <c r="E244" s="98"/>
      <c r="F244" s="98"/>
      <c r="G244" s="98"/>
      <c r="H244" s="98"/>
    </row>
    <row r="245">
      <c r="D245" s="98"/>
      <c r="E245" s="98"/>
      <c r="F245" s="98"/>
      <c r="G245" s="98"/>
      <c r="H245" s="98"/>
    </row>
    <row r="246">
      <c r="D246" s="98"/>
      <c r="E246" s="98"/>
      <c r="F246" s="98"/>
      <c r="G246" s="98"/>
      <c r="H246" s="98"/>
    </row>
    <row r="247">
      <c r="D247" s="98"/>
      <c r="E247" s="98"/>
      <c r="F247" s="98"/>
      <c r="G247" s="98"/>
      <c r="H247" s="98"/>
    </row>
    <row r="248">
      <c r="D248" s="98"/>
      <c r="E248" s="98"/>
      <c r="F248" s="98"/>
      <c r="G248" s="98"/>
      <c r="H248" s="98"/>
    </row>
    <row r="249">
      <c r="D249" s="98"/>
      <c r="E249" s="98"/>
      <c r="F249" s="98"/>
      <c r="G249" s="98"/>
      <c r="H249" s="98"/>
    </row>
    <row r="250">
      <c r="D250" s="98"/>
      <c r="E250" s="98"/>
      <c r="F250" s="98"/>
      <c r="G250" s="98"/>
      <c r="H250" s="98"/>
    </row>
    <row r="251">
      <c r="D251" s="98"/>
      <c r="E251" s="98"/>
      <c r="F251" s="98"/>
      <c r="G251" s="98"/>
      <c r="H251" s="98"/>
    </row>
    <row r="252">
      <c r="D252" s="98"/>
      <c r="E252" s="98"/>
      <c r="F252" s="98"/>
      <c r="G252" s="98"/>
      <c r="H252" s="98"/>
    </row>
    <row r="253">
      <c r="D253" s="98"/>
      <c r="E253" s="98"/>
      <c r="F253" s="98"/>
      <c r="G253" s="98"/>
      <c r="H253" s="98"/>
    </row>
    <row r="254">
      <c r="D254" s="98"/>
      <c r="E254" s="98"/>
      <c r="F254" s="98"/>
      <c r="G254" s="98"/>
      <c r="H254" s="98"/>
    </row>
    <row r="255">
      <c r="D255" s="98"/>
      <c r="E255" s="98"/>
      <c r="F255" s="98"/>
      <c r="G255" s="98"/>
      <c r="H255" s="98"/>
    </row>
    <row r="256">
      <c r="D256" s="98"/>
      <c r="E256" s="98"/>
      <c r="F256" s="98"/>
      <c r="G256" s="98"/>
      <c r="H256" s="98"/>
    </row>
    <row r="257">
      <c r="D257" s="98"/>
      <c r="E257" s="98"/>
      <c r="F257" s="98"/>
      <c r="G257" s="98"/>
      <c r="H257" s="98"/>
    </row>
    <row r="258">
      <c r="D258" s="98"/>
      <c r="E258" s="98"/>
      <c r="F258" s="98"/>
      <c r="G258" s="98"/>
      <c r="H258" s="98"/>
    </row>
    <row r="259">
      <c r="D259" s="98"/>
      <c r="E259" s="98"/>
      <c r="F259" s="98"/>
      <c r="G259" s="98"/>
      <c r="H259" s="98"/>
    </row>
    <row r="260">
      <c r="D260" s="98"/>
      <c r="E260" s="98"/>
      <c r="F260" s="98"/>
      <c r="G260" s="98"/>
      <c r="H260" s="98"/>
    </row>
    <row r="261">
      <c r="D261" s="98"/>
      <c r="E261" s="98"/>
      <c r="F261" s="98"/>
      <c r="G261" s="98"/>
      <c r="H261" s="98"/>
    </row>
    <row r="262">
      <c r="D262" s="98"/>
      <c r="E262" s="98"/>
      <c r="F262" s="98"/>
      <c r="G262" s="98"/>
      <c r="H262" s="98"/>
    </row>
    <row r="263">
      <c r="D263" s="98"/>
      <c r="E263" s="98"/>
      <c r="F263" s="98"/>
      <c r="G263" s="98"/>
      <c r="H263" s="98"/>
    </row>
    <row r="264">
      <c r="D264" s="98"/>
      <c r="E264" s="98"/>
      <c r="F264" s="98"/>
      <c r="G264" s="98"/>
      <c r="H264" s="98"/>
    </row>
    <row r="265">
      <c r="D265" s="98"/>
      <c r="E265" s="98"/>
      <c r="F265" s="98"/>
      <c r="G265" s="98"/>
      <c r="H265" s="98"/>
    </row>
    <row r="266">
      <c r="D266" s="98"/>
      <c r="E266" s="98"/>
      <c r="F266" s="98"/>
      <c r="G266" s="98"/>
      <c r="H266" s="98"/>
    </row>
    <row r="267">
      <c r="D267" s="98"/>
      <c r="E267" s="98"/>
      <c r="F267" s="98"/>
      <c r="G267" s="98"/>
      <c r="H267" s="98"/>
    </row>
    <row r="268">
      <c r="D268" s="98"/>
      <c r="E268" s="98"/>
      <c r="F268" s="98"/>
      <c r="G268" s="98"/>
      <c r="H268" s="98"/>
    </row>
    <row r="269">
      <c r="D269" s="98"/>
      <c r="E269" s="98"/>
      <c r="F269" s="98"/>
      <c r="G269" s="98"/>
      <c r="H269" s="98"/>
    </row>
    <row r="270">
      <c r="D270" s="98"/>
      <c r="E270" s="98"/>
      <c r="F270" s="98"/>
      <c r="G270" s="98"/>
      <c r="H270" s="98"/>
    </row>
    <row r="271">
      <c r="D271" s="98"/>
      <c r="E271" s="98"/>
      <c r="F271" s="98"/>
      <c r="G271" s="98"/>
      <c r="H271" s="98"/>
    </row>
    <row r="272">
      <c r="D272" s="98"/>
      <c r="E272" s="98"/>
      <c r="F272" s="98"/>
      <c r="G272" s="98"/>
      <c r="H272" s="98"/>
    </row>
    <row r="273">
      <c r="D273" s="98"/>
      <c r="E273" s="98"/>
      <c r="F273" s="98"/>
      <c r="G273" s="98"/>
      <c r="H273" s="98"/>
    </row>
    <row r="274">
      <c r="D274" s="98"/>
      <c r="E274" s="98"/>
      <c r="F274" s="98"/>
      <c r="G274" s="98"/>
      <c r="H274" s="98"/>
    </row>
    <row r="275">
      <c r="D275" s="98"/>
      <c r="E275" s="98"/>
      <c r="F275" s="98"/>
      <c r="G275" s="98"/>
      <c r="H275" s="98"/>
    </row>
    <row r="276">
      <c r="D276" s="98"/>
      <c r="E276" s="98"/>
      <c r="F276" s="98"/>
      <c r="G276" s="98"/>
      <c r="H276" s="98"/>
    </row>
    <row r="277">
      <c r="D277" s="98"/>
      <c r="E277" s="98"/>
      <c r="F277" s="98"/>
      <c r="G277" s="98"/>
      <c r="H277" s="98"/>
    </row>
    <row r="278">
      <c r="D278" s="98"/>
      <c r="E278" s="98"/>
      <c r="F278" s="98"/>
      <c r="G278" s="98"/>
      <c r="H278" s="98"/>
    </row>
    <row r="279">
      <c r="D279" s="98"/>
      <c r="E279" s="98"/>
      <c r="F279" s="98"/>
      <c r="G279" s="98"/>
      <c r="H279" s="98"/>
    </row>
    <row r="280">
      <c r="D280" s="98"/>
      <c r="E280" s="98"/>
      <c r="F280" s="98"/>
      <c r="G280" s="98"/>
      <c r="H280" s="98"/>
    </row>
    <row r="281">
      <c r="D281" s="98"/>
      <c r="E281" s="98"/>
      <c r="F281" s="98"/>
      <c r="G281" s="98"/>
      <c r="H281" s="98"/>
    </row>
    <row r="282">
      <c r="D282" s="98"/>
      <c r="E282" s="98"/>
      <c r="F282" s="98"/>
      <c r="G282" s="98"/>
      <c r="H282" s="98"/>
    </row>
    <row r="283">
      <c r="D283" s="98"/>
      <c r="E283" s="98"/>
      <c r="F283" s="98"/>
      <c r="G283" s="98"/>
      <c r="H283" s="98"/>
    </row>
    <row r="284">
      <c r="D284" s="98"/>
      <c r="E284" s="98"/>
      <c r="F284" s="98"/>
      <c r="G284" s="98"/>
      <c r="H284" s="98"/>
    </row>
    <row r="285">
      <c r="D285" s="98"/>
      <c r="E285" s="98"/>
      <c r="F285" s="98"/>
      <c r="G285" s="98"/>
      <c r="H285" s="98"/>
    </row>
    <row r="286">
      <c r="D286" s="98"/>
      <c r="E286" s="98"/>
      <c r="F286" s="98"/>
      <c r="G286" s="98"/>
      <c r="H286" s="98"/>
    </row>
    <row r="287">
      <c r="D287" s="98"/>
      <c r="E287" s="98"/>
      <c r="F287" s="98"/>
      <c r="G287" s="98"/>
      <c r="H287" s="98"/>
    </row>
    <row r="288">
      <c r="D288" s="98"/>
      <c r="E288" s="98"/>
      <c r="F288" s="98"/>
      <c r="G288" s="98"/>
      <c r="H288" s="98"/>
    </row>
    <row r="289">
      <c r="D289" s="98"/>
      <c r="E289" s="98"/>
      <c r="F289" s="98"/>
      <c r="G289" s="98"/>
      <c r="H289" s="98"/>
    </row>
    <row r="290">
      <c r="D290" s="98"/>
      <c r="E290" s="98"/>
      <c r="F290" s="98"/>
      <c r="G290" s="98"/>
      <c r="H290" s="98"/>
    </row>
    <row r="291">
      <c r="D291" s="98"/>
      <c r="E291" s="98"/>
      <c r="F291" s="98"/>
      <c r="G291" s="98"/>
      <c r="H291" s="98"/>
    </row>
    <row r="292">
      <c r="D292" s="98"/>
      <c r="E292" s="98"/>
      <c r="F292" s="98"/>
      <c r="G292" s="98"/>
      <c r="H292" s="98"/>
    </row>
    <row r="293">
      <c r="D293" s="98"/>
      <c r="E293" s="98"/>
      <c r="F293" s="98"/>
      <c r="G293" s="98"/>
      <c r="H293" s="98"/>
    </row>
    <row r="294">
      <c r="D294" s="98"/>
      <c r="E294" s="98"/>
      <c r="F294" s="98"/>
      <c r="G294" s="98"/>
      <c r="H294" s="98"/>
    </row>
    <row r="295">
      <c r="D295" s="98"/>
      <c r="E295" s="98"/>
      <c r="F295" s="98"/>
      <c r="G295" s="98"/>
      <c r="H295" s="98"/>
    </row>
    <row r="296">
      <c r="D296" s="98"/>
      <c r="E296" s="98"/>
      <c r="F296" s="98"/>
      <c r="G296" s="98"/>
      <c r="H296" s="98"/>
    </row>
    <row r="297">
      <c r="D297" s="98"/>
      <c r="E297" s="98"/>
      <c r="F297" s="98"/>
      <c r="G297" s="98"/>
      <c r="H297" s="98"/>
    </row>
    <row r="298">
      <c r="D298" s="98"/>
      <c r="E298" s="98"/>
      <c r="F298" s="98"/>
      <c r="G298" s="98"/>
      <c r="H298" s="98"/>
    </row>
    <row r="299">
      <c r="D299" s="98"/>
      <c r="E299" s="98"/>
      <c r="F299" s="98"/>
      <c r="G299" s="98"/>
      <c r="H299" s="98"/>
    </row>
    <row r="300">
      <c r="D300" s="98"/>
      <c r="E300" s="98"/>
      <c r="F300" s="98"/>
      <c r="G300" s="98"/>
      <c r="H300" s="98"/>
    </row>
    <row r="301">
      <c r="D301" s="98"/>
      <c r="E301" s="98"/>
      <c r="F301" s="98"/>
      <c r="G301" s="98"/>
      <c r="H301" s="98"/>
    </row>
    <row r="302">
      <c r="D302" s="98"/>
      <c r="E302" s="98"/>
      <c r="F302" s="98"/>
      <c r="G302" s="98"/>
      <c r="H302" s="98"/>
    </row>
    <row r="303">
      <c r="D303" s="98"/>
      <c r="E303" s="98"/>
      <c r="F303" s="98"/>
      <c r="G303" s="98"/>
      <c r="H303" s="98"/>
    </row>
    <row r="304">
      <c r="D304" s="98"/>
      <c r="E304" s="98"/>
      <c r="F304" s="98"/>
      <c r="G304" s="98"/>
      <c r="H304" s="98"/>
    </row>
    <row r="305">
      <c r="D305" s="98"/>
      <c r="E305" s="98"/>
      <c r="F305" s="98"/>
      <c r="G305" s="98"/>
      <c r="H305" s="98"/>
    </row>
    <row r="306">
      <c r="D306" s="98"/>
      <c r="E306" s="98"/>
      <c r="F306" s="98"/>
      <c r="G306" s="98"/>
      <c r="H306" s="98"/>
    </row>
    <row r="307">
      <c r="D307" s="98"/>
      <c r="E307" s="98"/>
      <c r="F307" s="98"/>
      <c r="G307" s="98"/>
      <c r="H307" s="98"/>
    </row>
    <row r="308">
      <c r="D308" s="98"/>
      <c r="E308" s="98"/>
      <c r="F308" s="98"/>
      <c r="G308" s="98"/>
      <c r="H308" s="98"/>
    </row>
    <row r="309">
      <c r="D309" s="98"/>
      <c r="E309" s="98"/>
      <c r="F309" s="98"/>
      <c r="G309" s="98"/>
      <c r="H309" s="98"/>
    </row>
    <row r="310">
      <c r="D310" s="98"/>
      <c r="E310" s="98"/>
      <c r="F310" s="98"/>
      <c r="G310" s="98"/>
      <c r="H310" s="98"/>
    </row>
    <row r="311">
      <c r="D311" s="98"/>
      <c r="E311" s="98"/>
      <c r="F311" s="98"/>
      <c r="G311" s="98"/>
      <c r="H311" s="98"/>
    </row>
    <row r="312">
      <c r="D312" s="98"/>
      <c r="E312" s="98"/>
      <c r="F312" s="98"/>
      <c r="G312" s="98"/>
      <c r="H312" s="98"/>
    </row>
    <row r="313">
      <c r="D313" s="98"/>
      <c r="E313" s="98"/>
      <c r="F313" s="98"/>
      <c r="G313" s="98"/>
      <c r="H313" s="98"/>
    </row>
    <row r="314">
      <c r="D314" s="98"/>
      <c r="E314" s="98"/>
      <c r="F314" s="98"/>
      <c r="G314" s="98"/>
      <c r="H314" s="98"/>
    </row>
    <row r="315">
      <c r="D315" s="98"/>
      <c r="E315" s="98"/>
      <c r="F315" s="98"/>
      <c r="G315" s="98"/>
      <c r="H315" s="98"/>
    </row>
    <row r="316">
      <c r="D316" s="98"/>
      <c r="E316" s="98"/>
      <c r="F316" s="98"/>
      <c r="G316" s="98"/>
      <c r="H316" s="98"/>
    </row>
    <row r="317">
      <c r="D317" s="98"/>
      <c r="E317" s="98"/>
      <c r="F317" s="98"/>
      <c r="G317" s="98"/>
      <c r="H317" s="98"/>
    </row>
    <row r="318">
      <c r="D318" s="98"/>
      <c r="E318" s="98"/>
      <c r="F318" s="98"/>
      <c r="G318" s="98"/>
      <c r="H318" s="98"/>
    </row>
    <row r="319">
      <c r="D319" s="98"/>
      <c r="E319" s="98"/>
      <c r="F319" s="98"/>
      <c r="G319" s="98"/>
      <c r="H319" s="98"/>
    </row>
    <row r="320">
      <c r="D320" s="98"/>
      <c r="E320" s="98"/>
      <c r="F320" s="98"/>
      <c r="G320" s="98"/>
      <c r="H320" s="98"/>
    </row>
    <row r="321">
      <c r="D321" s="98"/>
      <c r="E321" s="98"/>
      <c r="F321" s="98"/>
      <c r="G321" s="98"/>
      <c r="H321" s="98"/>
    </row>
    <row r="322">
      <c r="D322" s="98"/>
      <c r="E322" s="98"/>
      <c r="F322" s="98"/>
      <c r="G322" s="98"/>
      <c r="H322" s="98"/>
    </row>
    <row r="323">
      <c r="D323" s="98"/>
      <c r="E323" s="98"/>
      <c r="F323" s="98"/>
      <c r="G323" s="98"/>
      <c r="H323" s="98"/>
    </row>
    <row r="324">
      <c r="D324" s="98"/>
      <c r="E324" s="98"/>
      <c r="F324" s="98"/>
      <c r="G324" s="98"/>
      <c r="H324" s="98"/>
    </row>
    <row r="325">
      <c r="D325" s="98"/>
      <c r="E325" s="98"/>
      <c r="F325" s="98"/>
      <c r="G325" s="98"/>
      <c r="H325" s="98"/>
    </row>
    <row r="326">
      <c r="D326" s="98"/>
      <c r="E326" s="98"/>
      <c r="F326" s="98"/>
      <c r="G326" s="98"/>
      <c r="H326" s="98"/>
    </row>
    <row r="327">
      <c r="D327" s="98"/>
      <c r="E327" s="98"/>
      <c r="F327" s="98"/>
      <c r="G327" s="98"/>
      <c r="H327" s="98"/>
    </row>
    <row r="328">
      <c r="D328" s="98"/>
      <c r="E328" s="98"/>
      <c r="F328" s="98"/>
      <c r="G328" s="98"/>
      <c r="H328" s="98"/>
    </row>
    <row r="329">
      <c r="D329" s="98"/>
      <c r="E329" s="98"/>
      <c r="F329" s="98"/>
      <c r="G329" s="98"/>
      <c r="H329" s="98"/>
    </row>
    <row r="330">
      <c r="D330" s="98"/>
      <c r="E330" s="98"/>
      <c r="F330" s="98"/>
      <c r="G330" s="98"/>
      <c r="H330" s="98"/>
    </row>
    <row r="331">
      <c r="D331" s="98"/>
      <c r="E331" s="98"/>
      <c r="F331" s="98"/>
      <c r="G331" s="98"/>
      <c r="H331" s="98"/>
    </row>
    <row r="332">
      <c r="D332" s="98"/>
      <c r="E332" s="98"/>
      <c r="F332" s="98"/>
      <c r="G332" s="98"/>
      <c r="H332" s="98"/>
    </row>
    <row r="333">
      <c r="D333" s="98"/>
      <c r="E333" s="98"/>
      <c r="F333" s="98"/>
      <c r="G333" s="98"/>
      <c r="H333" s="98"/>
    </row>
    <row r="334">
      <c r="D334" s="98"/>
      <c r="E334" s="98"/>
      <c r="F334" s="98"/>
      <c r="G334" s="98"/>
      <c r="H334" s="98"/>
    </row>
    <row r="335">
      <c r="D335" s="98"/>
      <c r="E335" s="98"/>
      <c r="F335" s="98"/>
      <c r="G335" s="98"/>
      <c r="H335" s="98"/>
    </row>
    <row r="336">
      <c r="D336" s="98"/>
      <c r="E336" s="98"/>
      <c r="F336" s="98"/>
      <c r="G336" s="98"/>
      <c r="H336" s="98"/>
    </row>
    <row r="337">
      <c r="D337" s="98"/>
      <c r="E337" s="98"/>
      <c r="F337" s="98"/>
      <c r="G337" s="98"/>
      <c r="H337" s="98"/>
    </row>
    <row r="338">
      <c r="D338" s="98"/>
      <c r="E338" s="98"/>
      <c r="F338" s="98"/>
      <c r="G338" s="98"/>
      <c r="H338" s="98"/>
    </row>
    <row r="339">
      <c r="D339" s="98"/>
      <c r="E339" s="98"/>
      <c r="F339" s="98"/>
      <c r="G339" s="98"/>
      <c r="H339" s="98"/>
    </row>
    <row r="340">
      <c r="D340" s="98"/>
      <c r="E340" s="98"/>
      <c r="F340" s="98"/>
      <c r="G340" s="98"/>
      <c r="H340" s="98"/>
    </row>
    <row r="341">
      <c r="D341" s="98"/>
      <c r="E341" s="98"/>
      <c r="F341" s="98"/>
      <c r="G341" s="98"/>
      <c r="H341" s="98"/>
    </row>
    <row r="342">
      <c r="D342" s="98"/>
      <c r="E342" s="98"/>
      <c r="F342" s="98"/>
      <c r="G342" s="98"/>
      <c r="H342" s="98"/>
    </row>
    <row r="343">
      <c r="D343" s="98"/>
      <c r="E343" s="98"/>
      <c r="F343" s="98"/>
      <c r="G343" s="98"/>
      <c r="H343" s="98"/>
    </row>
    <row r="344">
      <c r="D344" s="98"/>
      <c r="E344" s="98"/>
      <c r="F344" s="98"/>
      <c r="G344" s="98"/>
      <c r="H344" s="98"/>
    </row>
    <row r="345">
      <c r="D345" s="98"/>
      <c r="E345" s="98"/>
      <c r="F345" s="98"/>
      <c r="G345" s="98"/>
      <c r="H345" s="98"/>
    </row>
    <row r="346">
      <c r="D346" s="98"/>
      <c r="E346" s="98"/>
      <c r="F346" s="98"/>
      <c r="G346" s="98"/>
      <c r="H346" s="98"/>
    </row>
    <row r="347">
      <c r="D347" s="98"/>
      <c r="E347" s="98"/>
      <c r="F347" s="98"/>
      <c r="G347" s="98"/>
      <c r="H347" s="98"/>
    </row>
    <row r="348">
      <c r="D348" s="98"/>
      <c r="E348" s="98"/>
      <c r="F348" s="98"/>
      <c r="G348" s="98"/>
      <c r="H348" s="98"/>
    </row>
    <row r="349">
      <c r="D349" s="98"/>
      <c r="E349" s="98"/>
      <c r="F349" s="98"/>
      <c r="G349" s="98"/>
      <c r="H349" s="98"/>
    </row>
    <row r="350">
      <c r="D350" s="98"/>
      <c r="E350" s="98"/>
      <c r="F350" s="98"/>
      <c r="G350" s="98"/>
      <c r="H350" s="98"/>
    </row>
    <row r="351">
      <c r="D351" s="98"/>
      <c r="E351" s="98"/>
      <c r="F351" s="98"/>
      <c r="G351" s="98"/>
      <c r="H351" s="98"/>
    </row>
    <row r="352">
      <c r="D352" s="98"/>
      <c r="E352" s="98"/>
      <c r="F352" s="98"/>
      <c r="G352" s="98"/>
      <c r="H352" s="98"/>
    </row>
    <row r="353">
      <c r="D353" s="98"/>
      <c r="E353" s="98"/>
      <c r="F353" s="98"/>
      <c r="G353" s="98"/>
      <c r="H353" s="98"/>
    </row>
    <row r="354">
      <c r="D354" s="98"/>
      <c r="E354" s="98"/>
      <c r="F354" s="98"/>
      <c r="G354" s="98"/>
      <c r="H354" s="98"/>
    </row>
    <row r="355">
      <c r="D355" s="98"/>
      <c r="E355" s="98"/>
      <c r="F355" s="98"/>
      <c r="G355" s="98"/>
      <c r="H355" s="98"/>
    </row>
    <row r="356">
      <c r="D356" s="98"/>
      <c r="E356" s="98"/>
      <c r="F356" s="98"/>
      <c r="G356" s="98"/>
      <c r="H356" s="98"/>
    </row>
    <row r="357">
      <c r="D357" s="98"/>
      <c r="E357" s="98"/>
      <c r="F357" s="98"/>
      <c r="G357" s="98"/>
      <c r="H357" s="98"/>
    </row>
    <row r="358">
      <c r="D358" s="98"/>
      <c r="E358" s="98"/>
      <c r="F358" s="98"/>
      <c r="G358" s="98"/>
      <c r="H358" s="98"/>
    </row>
    <row r="359">
      <c r="D359" s="98"/>
      <c r="E359" s="98"/>
      <c r="F359" s="98"/>
      <c r="G359" s="98"/>
      <c r="H359" s="98"/>
    </row>
    <row r="360">
      <c r="D360" s="98"/>
      <c r="E360" s="98"/>
      <c r="F360" s="98"/>
      <c r="G360" s="98"/>
      <c r="H360" s="98"/>
    </row>
    <row r="361">
      <c r="D361" s="98"/>
      <c r="E361" s="98"/>
      <c r="F361" s="98"/>
      <c r="G361" s="98"/>
      <c r="H361" s="98"/>
    </row>
    <row r="362">
      <c r="D362" s="98"/>
      <c r="E362" s="98"/>
      <c r="F362" s="98"/>
      <c r="G362" s="98"/>
      <c r="H362" s="98"/>
    </row>
    <row r="363">
      <c r="D363" s="98"/>
      <c r="E363" s="98"/>
      <c r="F363" s="98"/>
      <c r="G363" s="98"/>
      <c r="H363" s="98"/>
    </row>
    <row r="364">
      <c r="D364" s="98"/>
      <c r="E364" s="98"/>
      <c r="F364" s="98"/>
      <c r="G364" s="98"/>
      <c r="H364" s="98"/>
    </row>
    <row r="365">
      <c r="D365" s="98"/>
      <c r="E365" s="98"/>
      <c r="F365" s="98"/>
      <c r="G365" s="98"/>
      <c r="H365" s="98"/>
    </row>
    <row r="366">
      <c r="D366" s="98"/>
      <c r="E366" s="98"/>
      <c r="F366" s="98"/>
      <c r="G366" s="98"/>
      <c r="H366" s="98"/>
    </row>
    <row r="367">
      <c r="D367" s="98"/>
      <c r="E367" s="98"/>
      <c r="F367" s="98"/>
      <c r="G367" s="98"/>
      <c r="H367" s="98"/>
    </row>
    <row r="368">
      <c r="D368" s="98"/>
      <c r="E368" s="98"/>
      <c r="F368" s="98"/>
      <c r="G368" s="98"/>
      <c r="H368" s="98"/>
    </row>
    <row r="369">
      <c r="D369" s="98"/>
      <c r="E369" s="98"/>
      <c r="F369" s="98"/>
      <c r="G369" s="98"/>
      <c r="H369" s="98"/>
    </row>
    <row r="370">
      <c r="D370" s="98"/>
      <c r="E370" s="98"/>
      <c r="F370" s="98"/>
      <c r="G370" s="98"/>
      <c r="H370" s="98"/>
    </row>
    <row r="371">
      <c r="D371" s="98"/>
      <c r="E371" s="98"/>
      <c r="F371" s="98"/>
      <c r="G371" s="98"/>
      <c r="H371" s="98"/>
    </row>
    <row r="372">
      <c r="D372" s="98"/>
      <c r="E372" s="98"/>
      <c r="F372" s="98"/>
      <c r="G372" s="98"/>
      <c r="H372" s="98"/>
    </row>
    <row r="373">
      <c r="D373" s="98"/>
      <c r="E373" s="98"/>
      <c r="F373" s="98"/>
      <c r="G373" s="98"/>
      <c r="H373" s="98"/>
    </row>
    <row r="374">
      <c r="D374" s="98"/>
      <c r="E374" s="98"/>
      <c r="F374" s="98"/>
      <c r="G374" s="98"/>
      <c r="H374" s="98"/>
    </row>
    <row r="375">
      <c r="D375" s="98"/>
      <c r="E375" s="98"/>
      <c r="F375" s="98"/>
      <c r="G375" s="98"/>
      <c r="H375" s="98"/>
    </row>
    <row r="376">
      <c r="D376" s="98"/>
      <c r="E376" s="98"/>
      <c r="F376" s="98"/>
      <c r="G376" s="98"/>
      <c r="H376" s="98"/>
    </row>
    <row r="377">
      <c r="D377" s="98"/>
      <c r="E377" s="98"/>
      <c r="F377" s="98"/>
      <c r="G377" s="98"/>
      <c r="H377" s="98"/>
    </row>
    <row r="378">
      <c r="D378" s="98"/>
      <c r="E378" s="98"/>
      <c r="F378" s="98"/>
      <c r="G378" s="98"/>
      <c r="H378" s="98"/>
    </row>
    <row r="379">
      <c r="D379" s="98"/>
      <c r="E379" s="98"/>
      <c r="F379" s="98"/>
      <c r="G379" s="98"/>
      <c r="H379" s="98"/>
    </row>
    <row r="380">
      <c r="D380" s="98"/>
      <c r="E380" s="98"/>
      <c r="F380" s="98"/>
      <c r="G380" s="98"/>
      <c r="H380" s="98"/>
    </row>
    <row r="381">
      <c r="D381" s="98"/>
      <c r="E381" s="98"/>
      <c r="F381" s="98"/>
      <c r="G381" s="98"/>
      <c r="H381" s="98"/>
    </row>
    <row r="382">
      <c r="D382" s="98"/>
      <c r="E382" s="98"/>
      <c r="F382" s="98"/>
      <c r="G382" s="98"/>
      <c r="H382" s="98"/>
    </row>
    <row r="383">
      <c r="D383" s="98"/>
      <c r="E383" s="98"/>
      <c r="F383" s="98"/>
      <c r="G383" s="98"/>
      <c r="H383" s="98"/>
    </row>
    <row r="384">
      <c r="D384" s="98"/>
      <c r="E384" s="98"/>
      <c r="F384" s="98"/>
      <c r="G384" s="98"/>
      <c r="H384" s="98"/>
    </row>
    <row r="385">
      <c r="D385" s="98"/>
      <c r="E385" s="98"/>
      <c r="F385" s="98"/>
      <c r="G385" s="98"/>
      <c r="H385" s="98"/>
    </row>
    <row r="386">
      <c r="D386" s="98"/>
      <c r="E386" s="98"/>
      <c r="F386" s="98"/>
      <c r="G386" s="98"/>
      <c r="H386" s="98"/>
    </row>
    <row r="387">
      <c r="D387" s="98"/>
      <c r="E387" s="98"/>
      <c r="F387" s="98"/>
      <c r="G387" s="98"/>
      <c r="H387" s="98"/>
    </row>
    <row r="388">
      <c r="D388" s="98"/>
      <c r="E388" s="98"/>
      <c r="F388" s="98"/>
      <c r="G388" s="98"/>
      <c r="H388" s="98"/>
    </row>
    <row r="389">
      <c r="D389" s="98"/>
      <c r="E389" s="98"/>
      <c r="F389" s="98"/>
      <c r="G389" s="98"/>
      <c r="H389" s="98"/>
    </row>
    <row r="390">
      <c r="D390" s="98"/>
      <c r="E390" s="98"/>
      <c r="F390" s="98"/>
      <c r="G390" s="98"/>
      <c r="H390" s="98"/>
    </row>
    <row r="391">
      <c r="D391" s="98"/>
      <c r="E391" s="98"/>
      <c r="F391" s="98"/>
      <c r="G391" s="98"/>
      <c r="H391" s="98"/>
    </row>
    <row r="392">
      <c r="D392" s="98"/>
      <c r="E392" s="98"/>
      <c r="F392" s="98"/>
      <c r="G392" s="98"/>
      <c r="H392" s="98"/>
    </row>
    <row r="393">
      <c r="D393" s="98"/>
      <c r="E393" s="98"/>
      <c r="F393" s="98"/>
      <c r="G393" s="98"/>
      <c r="H393" s="98"/>
    </row>
    <row r="394">
      <c r="D394" s="98"/>
      <c r="E394" s="98"/>
      <c r="F394" s="98"/>
      <c r="G394" s="98"/>
      <c r="H394" s="98"/>
    </row>
    <row r="395">
      <c r="D395" s="98"/>
      <c r="E395" s="98"/>
      <c r="F395" s="98"/>
      <c r="G395" s="98"/>
      <c r="H395" s="98"/>
    </row>
    <row r="396">
      <c r="D396" s="98"/>
      <c r="E396" s="98"/>
      <c r="F396" s="98"/>
      <c r="G396" s="98"/>
      <c r="H396" s="98"/>
    </row>
    <row r="397">
      <c r="D397" s="98"/>
      <c r="E397" s="98"/>
      <c r="F397" s="98"/>
      <c r="G397" s="98"/>
      <c r="H397" s="98"/>
    </row>
    <row r="398">
      <c r="D398" s="98"/>
      <c r="E398" s="98"/>
      <c r="F398" s="98"/>
      <c r="G398" s="98"/>
      <c r="H398" s="98"/>
    </row>
    <row r="399">
      <c r="D399" s="98"/>
      <c r="E399" s="98"/>
      <c r="F399" s="98"/>
      <c r="G399" s="98"/>
      <c r="H399" s="98"/>
    </row>
    <row r="400">
      <c r="D400" s="98"/>
      <c r="E400" s="98"/>
      <c r="F400" s="98"/>
      <c r="G400" s="98"/>
      <c r="H400" s="98"/>
    </row>
    <row r="401">
      <c r="D401" s="98"/>
      <c r="E401" s="98"/>
      <c r="F401" s="98"/>
      <c r="G401" s="98"/>
      <c r="H401" s="98"/>
    </row>
    <row r="402">
      <c r="D402" s="98"/>
      <c r="E402" s="98"/>
      <c r="F402" s="98"/>
      <c r="G402" s="98"/>
      <c r="H402" s="98"/>
    </row>
    <row r="403">
      <c r="D403" s="98"/>
      <c r="E403" s="98"/>
      <c r="F403" s="98"/>
      <c r="G403" s="98"/>
      <c r="H403" s="98"/>
    </row>
    <row r="404">
      <c r="D404" s="98"/>
      <c r="E404" s="98"/>
      <c r="F404" s="98"/>
      <c r="G404" s="98"/>
      <c r="H404" s="98"/>
    </row>
    <row r="405">
      <c r="D405" s="98"/>
      <c r="E405" s="98"/>
      <c r="F405" s="98"/>
      <c r="G405" s="98"/>
      <c r="H405" s="98"/>
    </row>
    <row r="406">
      <c r="D406" s="98"/>
      <c r="E406" s="98"/>
      <c r="F406" s="98"/>
      <c r="G406" s="98"/>
      <c r="H406" s="98"/>
    </row>
    <row r="407">
      <c r="D407" s="98"/>
      <c r="E407" s="98"/>
      <c r="F407" s="98"/>
      <c r="G407" s="98"/>
      <c r="H407" s="98"/>
    </row>
    <row r="408">
      <c r="D408" s="98"/>
      <c r="E408" s="98"/>
      <c r="F408" s="98"/>
      <c r="G408" s="98"/>
      <c r="H408" s="98"/>
    </row>
    <row r="409">
      <c r="D409" s="98"/>
      <c r="E409" s="98"/>
      <c r="F409" s="98"/>
      <c r="G409" s="98"/>
      <c r="H409" s="98"/>
    </row>
    <row r="410">
      <c r="D410" s="98"/>
      <c r="E410" s="98"/>
      <c r="F410" s="98"/>
      <c r="G410" s="98"/>
      <c r="H410" s="98"/>
    </row>
    <row r="411">
      <c r="D411" s="98"/>
      <c r="E411" s="98"/>
      <c r="F411" s="98"/>
      <c r="G411" s="98"/>
      <c r="H411" s="98"/>
    </row>
    <row r="412">
      <c r="D412" s="98"/>
      <c r="E412" s="98"/>
      <c r="F412" s="98"/>
      <c r="G412" s="98"/>
      <c r="H412" s="98"/>
    </row>
    <row r="413">
      <c r="D413" s="98"/>
      <c r="E413" s="98"/>
      <c r="F413" s="98"/>
      <c r="G413" s="98"/>
      <c r="H413" s="98"/>
    </row>
    <row r="414">
      <c r="D414" s="98"/>
      <c r="E414" s="98"/>
      <c r="F414" s="98"/>
      <c r="G414" s="98"/>
      <c r="H414" s="98"/>
    </row>
    <row r="415">
      <c r="D415" s="98"/>
      <c r="E415" s="98"/>
      <c r="F415" s="98"/>
      <c r="G415" s="98"/>
      <c r="H415" s="98"/>
    </row>
    <row r="416">
      <c r="D416" s="98"/>
      <c r="E416" s="98"/>
      <c r="F416" s="98"/>
      <c r="G416" s="98"/>
      <c r="H416" s="98"/>
    </row>
    <row r="417">
      <c r="D417" s="98"/>
      <c r="E417" s="98"/>
      <c r="F417" s="98"/>
      <c r="G417" s="98"/>
      <c r="H417" s="98"/>
    </row>
    <row r="418">
      <c r="D418" s="98"/>
      <c r="E418" s="98"/>
      <c r="F418" s="98"/>
      <c r="G418" s="98"/>
      <c r="H418" s="98"/>
    </row>
    <row r="419">
      <c r="D419" s="98"/>
      <c r="E419" s="98"/>
      <c r="F419" s="98"/>
      <c r="G419" s="98"/>
      <c r="H419" s="98"/>
    </row>
    <row r="420">
      <c r="D420" s="98"/>
      <c r="E420" s="98"/>
      <c r="F420" s="98"/>
      <c r="G420" s="98"/>
      <c r="H420" s="98"/>
    </row>
    <row r="421">
      <c r="D421" s="98"/>
      <c r="E421" s="98"/>
      <c r="F421" s="98"/>
      <c r="G421" s="98"/>
      <c r="H421" s="98"/>
    </row>
    <row r="422">
      <c r="D422" s="98"/>
      <c r="E422" s="98"/>
      <c r="F422" s="98"/>
      <c r="G422" s="98"/>
      <c r="H422" s="98"/>
    </row>
    <row r="423">
      <c r="D423" s="98"/>
      <c r="E423" s="98"/>
      <c r="F423" s="98"/>
      <c r="G423" s="98"/>
      <c r="H423" s="98"/>
    </row>
    <row r="424">
      <c r="D424" s="98"/>
      <c r="E424" s="98"/>
      <c r="F424" s="98"/>
      <c r="G424" s="98"/>
      <c r="H424" s="98"/>
    </row>
    <row r="425">
      <c r="D425" s="98"/>
      <c r="E425" s="98"/>
      <c r="F425" s="98"/>
      <c r="G425" s="98"/>
      <c r="H425" s="98"/>
    </row>
    <row r="426">
      <c r="D426" s="98"/>
      <c r="E426" s="98"/>
      <c r="F426" s="98"/>
      <c r="G426" s="98"/>
      <c r="H426" s="98"/>
    </row>
    <row r="427">
      <c r="D427" s="98"/>
      <c r="E427" s="98"/>
      <c r="F427" s="98"/>
      <c r="G427" s="98"/>
      <c r="H427" s="98"/>
    </row>
    <row r="428">
      <c r="D428" s="98"/>
      <c r="E428" s="98"/>
      <c r="F428" s="98"/>
      <c r="G428" s="98"/>
      <c r="H428" s="98"/>
    </row>
    <row r="429">
      <c r="D429" s="98"/>
      <c r="E429" s="98"/>
      <c r="F429" s="98"/>
      <c r="G429" s="98"/>
      <c r="H429" s="98"/>
    </row>
    <row r="430">
      <c r="D430" s="98"/>
      <c r="E430" s="98"/>
      <c r="F430" s="98"/>
      <c r="G430" s="98"/>
      <c r="H430" s="98"/>
    </row>
    <row r="431">
      <c r="D431" s="98"/>
      <c r="E431" s="98"/>
      <c r="F431" s="98"/>
      <c r="G431" s="98"/>
      <c r="H431" s="98"/>
    </row>
    <row r="432">
      <c r="D432" s="98"/>
      <c r="E432" s="98"/>
      <c r="F432" s="98"/>
      <c r="G432" s="98"/>
      <c r="H432" s="98"/>
    </row>
    <row r="433">
      <c r="D433" s="98"/>
      <c r="E433" s="98"/>
      <c r="F433" s="98"/>
      <c r="G433" s="98"/>
      <c r="H433" s="98"/>
    </row>
    <row r="434">
      <c r="D434" s="98"/>
      <c r="E434" s="98"/>
      <c r="F434" s="98"/>
      <c r="G434" s="98"/>
      <c r="H434" s="98"/>
    </row>
    <row r="435">
      <c r="D435" s="98"/>
      <c r="E435" s="98"/>
      <c r="F435" s="98"/>
      <c r="G435" s="98"/>
      <c r="H435" s="98"/>
    </row>
    <row r="436">
      <c r="D436" s="98"/>
      <c r="E436" s="98"/>
      <c r="F436" s="98"/>
      <c r="G436" s="98"/>
      <c r="H436" s="98"/>
    </row>
    <row r="437">
      <c r="D437" s="98"/>
      <c r="E437" s="98"/>
      <c r="F437" s="98"/>
      <c r="G437" s="98"/>
      <c r="H437" s="98"/>
    </row>
    <row r="438">
      <c r="D438" s="98"/>
      <c r="E438" s="98"/>
      <c r="F438" s="98"/>
      <c r="G438" s="98"/>
      <c r="H438" s="98"/>
    </row>
    <row r="439">
      <c r="D439" s="98"/>
      <c r="E439" s="98"/>
      <c r="F439" s="98"/>
      <c r="G439" s="98"/>
      <c r="H439" s="98"/>
    </row>
    <row r="440">
      <c r="D440" s="98"/>
      <c r="E440" s="98"/>
      <c r="F440" s="98"/>
      <c r="G440" s="98"/>
      <c r="H440" s="98"/>
    </row>
    <row r="441">
      <c r="D441" s="98"/>
      <c r="E441" s="98"/>
      <c r="F441" s="98"/>
      <c r="G441" s="98"/>
      <c r="H441" s="98"/>
    </row>
    <row r="442">
      <c r="D442" s="98"/>
      <c r="E442" s="98"/>
      <c r="F442" s="98"/>
      <c r="G442" s="98"/>
      <c r="H442" s="98"/>
    </row>
    <row r="443">
      <c r="D443" s="98"/>
      <c r="E443" s="98"/>
      <c r="F443" s="98"/>
      <c r="G443" s="98"/>
      <c r="H443" s="98"/>
    </row>
    <row r="444">
      <c r="D444" s="98"/>
      <c r="E444" s="98"/>
      <c r="F444" s="98"/>
      <c r="G444" s="98"/>
      <c r="H444" s="98"/>
    </row>
    <row r="445">
      <c r="D445" s="98"/>
      <c r="E445" s="98"/>
      <c r="F445" s="98"/>
      <c r="G445" s="98"/>
      <c r="H445" s="98"/>
    </row>
    <row r="446">
      <c r="D446" s="98"/>
      <c r="E446" s="98"/>
      <c r="F446" s="98"/>
      <c r="G446" s="98"/>
      <c r="H446" s="98"/>
    </row>
    <row r="447">
      <c r="D447" s="98"/>
      <c r="E447" s="98"/>
      <c r="F447" s="98"/>
      <c r="G447" s="98"/>
      <c r="H447" s="98"/>
    </row>
    <row r="448">
      <c r="D448" s="98"/>
      <c r="E448" s="98"/>
      <c r="F448" s="98"/>
      <c r="G448" s="98"/>
      <c r="H448" s="98"/>
    </row>
    <row r="449">
      <c r="D449" s="98"/>
      <c r="E449" s="98"/>
      <c r="F449" s="98"/>
      <c r="G449" s="98"/>
      <c r="H449" s="98"/>
    </row>
    <row r="450">
      <c r="D450" s="98"/>
      <c r="E450" s="98"/>
      <c r="F450" s="98"/>
      <c r="G450" s="98"/>
      <c r="H450" s="98"/>
    </row>
    <row r="451">
      <c r="D451" s="98"/>
      <c r="E451" s="98"/>
      <c r="F451" s="98"/>
      <c r="G451" s="98"/>
      <c r="H451" s="98"/>
    </row>
    <row r="452">
      <c r="D452" s="98"/>
      <c r="E452" s="98"/>
      <c r="F452" s="98"/>
      <c r="G452" s="98"/>
      <c r="H452" s="98"/>
    </row>
    <row r="453">
      <c r="D453" s="98"/>
      <c r="E453" s="98"/>
      <c r="F453" s="98"/>
      <c r="G453" s="98"/>
      <c r="H453" s="98"/>
    </row>
    <row r="454">
      <c r="D454" s="98"/>
      <c r="E454" s="98"/>
      <c r="F454" s="98"/>
      <c r="G454" s="98"/>
      <c r="H454" s="98"/>
    </row>
    <row r="455">
      <c r="D455" s="98"/>
      <c r="E455" s="98"/>
      <c r="F455" s="98"/>
      <c r="G455" s="98"/>
      <c r="H455" s="98"/>
    </row>
    <row r="456">
      <c r="D456" s="98"/>
      <c r="E456" s="98"/>
      <c r="F456" s="98"/>
      <c r="G456" s="98"/>
      <c r="H456" s="98"/>
    </row>
    <row r="457">
      <c r="D457" s="98"/>
      <c r="E457" s="98"/>
      <c r="F457" s="98"/>
      <c r="G457" s="98"/>
      <c r="H457" s="98"/>
    </row>
    <row r="458">
      <c r="D458" s="98"/>
      <c r="E458" s="98"/>
      <c r="F458" s="98"/>
      <c r="G458" s="98"/>
      <c r="H458" s="98"/>
    </row>
    <row r="459">
      <c r="D459" s="98"/>
      <c r="E459" s="98"/>
      <c r="F459" s="98"/>
      <c r="G459" s="98"/>
      <c r="H459" s="98"/>
    </row>
    <row r="460">
      <c r="D460" s="98"/>
      <c r="E460" s="98"/>
      <c r="F460" s="98"/>
      <c r="G460" s="98"/>
      <c r="H460" s="98"/>
    </row>
    <row r="461">
      <c r="D461" s="98"/>
      <c r="E461" s="98"/>
      <c r="F461" s="98"/>
      <c r="G461" s="98"/>
      <c r="H461" s="98"/>
    </row>
    <row r="462">
      <c r="D462" s="98"/>
      <c r="E462" s="98"/>
      <c r="F462" s="98"/>
      <c r="G462" s="98"/>
      <c r="H462" s="98"/>
    </row>
    <row r="463">
      <c r="D463" s="98"/>
      <c r="E463" s="98"/>
      <c r="F463" s="98"/>
      <c r="G463" s="98"/>
      <c r="H463" s="98"/>
    </row>
    <row r="464">
      <c r="D464" s="98"/>
      <c r="E464" s="98"/>
      <c r="F464" s="98"/>
      <c r="G464" s="98"/>
      <c r="H464" s="98"/>
    </row>
    <row r="465">
      <c r="D465" s="98"/>
      <c r="E465" s="98"/>
      <c r="F465" s="98"/>
      <c r="G465" s="98"/>
      <c r="H465" s="98"/>
    </row>
    <row r="466">
      <c r="D466" s="98"/>
      <c r="E466" s="98"/>
      <c r="F466" s="98"/>
      <c r="G466" s="98"/>
      <c r="H466" s="98"/>
    </row>
    <row r="467">
      <c r="D467" s="98"/>
      <c r="E467" s="98"/>
      <c r="F467" s="98"/>
      <c r="G467" s="98"/>
      <c r="H467" s="98"/>
    </row>
    <row r="468">
      <c r="D468" s="98"/>
      <c r="E468" s="98"/>
      <c r="F468" s="98"/>
      <c r="G468" s="98"/>
      <c r="H468" s="98"/>
    </row>
    <row r="469">
      <c r="D469" s="98"/>
      <c r="E469" s="98"/>
      <c r="F469" s="98"/>
      <c r="G469" s="98"/>
      <c r="H469" s="98"/>
    </row>
    <row r="470">
      <c r="D470" s="98"/>
      <c r="E470" s="98"/>
      <c r="F470" s="98"/>
      <c r="G470" s="98"/>
      <c r="H470" s="98"/>
    </row>
    <row r="471">
      <c r="D471" s="98"/>
      <c r="E471" s="98"/>
      <c r="F471" s="98"/>
      <c r="G471" s="98"/>
      <c r="H471" s="98"/>
    </row>
    <row r="472">
      <c r="D472" s="98"/>
      <c r="E472" s="98"/>
      <c r="F472" s="98"/>
      <c r="G472" s="98"/>
      <c r="H472" s="98"/>
    </row>
    <row r="473">
      <c r="D473" s="98"/>
      <c r="E473" s="98"/>
      <c r="F473" s="98"/>
      <c r="G473" s="98"/>
      <c r="H473" s="98"/>
    </row>
    <row r="474">
      <c r="D474" s="98"/>
      <c r="E474" s="98"/>
      <c r="F474" s="98"/>
      <c r="G474" s="98"/>
      <c r="H474" s="98"/>
    </row>
    <row r="475">
      <c r="D475" s="98"/>
      <c r="E475" s="98"/>
      <c r="F475" s="98"/>
      <c r="G475" s="98"/>
      <c r="H475" s="98"/>
    </row>
    <row r="476">
      <c r="D476" s="98"/>
      <c r="E476" s="98"/>
      <c r="F476" s="98"/>
      <c r="G476" s="98"/>
      <c r="H476" s="98"/>
    </row>
    <row r="477">
      <c r="D477" s="98"/>
      <c r="E477" s="98"/>
      <c r="F477" s="98"/>
      <c r="G477" s="98"/>
      <c r="H477" s="98"/>
    </row>
    <row r="478">
      <c r="D478" s="98"/>
      <c r="E478" s="98"/>
      <c r="F478" s="98"/>
      <c r="G478" s="98"/>
      <c r="H478" s="98"/>
    </row>
    <row r="479">
      <c r="D479" s="98"/>
      <c r="E479" s="98"/>
      <c r="F479" s="98"/>
      <c r="G479" s="98"/>
      <c r="H479" s="98"/>
    </row>
    <row r="480">
      <c r="D480" s="98"/>
      <c r="E480" s="98"/>
      <c r="F480" s="98"/>
      <c r="G480" s="98"/>
      <c r="H480" s="98"/>
    </row>
    <row r="481">
      <c r="D481" s="98"/>
      <c r="E481" s="98"/>
      <c r="F481" s="98"/>
      <c r="G481" s="98"/>
      <c r="H481" s="98"/>
    </row>
    <row r="482">
      <c r="D482" s="98"/>
      <c r="E482" s="98"/>
      <c r="F482" s="98"/>
      <c r="G482" s="98"/>
      <c r="H482" s="98"/>
    </row>
    <row r="483">
      <c r="D483" s="98"/>
      <c r="E483" s="98"/>
      <c r="F483" s="98"/>
      <c r="G483" s="98"/>
      <c r="H483" s="98"/>
    </row>
    <row r="484">
      <c r="D484" s="98"/>
      <c r="E484" s="98"/>
      <c r="F484" s="98"/>
      <c r="G484" s="98"/>
      <c r="H484" s="98"/>
    </row>
    <row r="485">
      <c r="D485" s="98"/>
      <c r="E485" s="98"/>
      <c r="F485" s="98"/>
      <c r="G485" s="98"/>
      <c r="H485" s="98"/>
    </row>
    <row r="486">
      <c r="D486" s="98"/>
      <c r="E486" s="98"/>
      <c r="F486" s="98"/>
      <c r="G486" s="98"/>
      <c r="H486" s="98"/>
    </row>
    <row r="487">
      <c r="D487" s="98"/>
      <c r="E487" s="98"/>
      <c r="F487" s="98"/>
      <c r="G487" s="98"/>
      <c r="H487" s="98"/>
    </row>
    <row r="488">
      <c r="D488" s="98"/>
      <c r="E488" s="98"/>
      <c r="F488" s="98"/>
      <c r="G488" s="98"/>
      <c r="H488" s="98"/>
    </row>
    <row r="489">
      <c r="D489" s="98"/>
      <c r="E489" s="98"/>
      <c r="F489" s="98"/>
      <c r="G489" s="98"/>
      <c r="H489" s="98"/>
    </row>
    <row r="490">
      <c r="D490" s="98"/>
      <c r="E490" s="98"/>
      <c r="F490" s="98"/>
      <c r="G490" s="98"/>
      <c r="H490" s="98"/>
    </row>
    <row r="491">
      <c r="D491" s="98"/>
      <c r="E491" s="98"/>
      <c r="F491" s="98"/>
      <c r="G491" s="98"/>
      <c r="H491" s="98"/>
    </row>
    <row r="492">
      <c r="D492" s="98"/>
      <c r="E492" s="98"/>
      <c r="F492" s="98"/>
      <c r="G492" s="98"/>
      <c r="H492" s="98"/>
    </row>
    <row r="493">
      <c r="D493" s="98"/>
      <c r="E493" s="98"/>
      <c r="F493" s="98"/>
      <c r="G493" s="98"/>
      <c r="H493" s="98"/>
    </row>
    <row r="494">
      <c r="D494" s="98"/>
      <c r="E494" s="98"/>
      <c r="F494" s="98"/>
      <c r="G494" s="98"/>
      <c r="H494" s="98"/>
    </row>
    <row r="495">
      <c r="D495" s="98"/>
      <c r="E495" s="98"/>
      <c r="F495" s="98"/>
      <c r="G495" s="98"/>
      <c r="H495" s="98"/>
    </row>
    <row r="496">
      <c r="D496" s="98"/>
      <c r="E496" s="98"/>
      <c r="F496" s="98"/>
      <c r="G496" s="98"/>
      <c r="H496" s="98"/>
    </row>
    <row r="497">
      <c r="D497" s="98"/>
      <c r="E497" s="98"/>
      <c r="F497" s="98"/>
      <c r="G497" s="98"/>
      <c r="H497" s="98"/>
    </row>
    <row r="498">
      <c r="D498" s="98"/>
      <c r="E498" s="98"/>
      <c r="F498" s="98"/>
      <c r="G498" s="98"/>
      <c r="H498" s="98"/>
    </row>
    <row r="499">
      <c r="D499" s="98"/>
      <c r="E499" s="98"/>
      <c r="F499" s="98"/>
      <c r="G499" s="98"/>
      <c r="H499" s="98"/>
    </row>
    <row r="500">
      <c r="D500" s="98"/>
      <c r="E500" s="98"/>
      <c r="F500" s="98"/>
      <c r="G500" s="98"/>
      <c r="H500" s="98"/>
    </row>
    <row r="501">
      <c r="D501" s="98"/>
      <c r="E501" s="98"/>
      <c r="F501" s="98"/>
      <c r="G501" s="98"/>
      <c r="H501" s="98"/>
    </row>
    <row r="502">
      <c r="D502" s="98"/>
      <c r="E502" s="98"/>
      <c r="F502" s="98"/>
      <c r="G502" s="98"/>
      <c r="H502" s="98"/>
    </row>
    <row r="503">
      <c r="D503" s="98"/>
      <c r="E503" s="98"/>
      <c r="F503" s="98"/>
      <c r="G503" s="98"/>
      <c r="H503" s="98"/>
    </row>
    <row r="504">
      <c r="D504" s="98"/>
      <c r="E504" s="98"/>
      <c r="F504" s="98"/>
      <c r="G504" s="98"/>
      <c r="H504" s="98"/>
    </row>
    <row r="505">
      <c r="D505" s="98"/>
      <c r="E505" s="98"/>
      <c r="F505" s="98"/>
      <c r="G505" s="98"/>
      <c r="H505" s="98"/>
    </row>
    <row r="506">
      <c r="D506" s="98"/>
      <c r="E506" s="98"/>
      <c r="F506" s="98"/>
      <c r="G506" s="98"/>
      <c r="H506" s="98"/>
    </row>
    <row r="507">
      <c r="D507" s="98"/>
      <c r="E507" s="98"/>
      <c r="F507" s="98"/>
      <c r="G507" s="98"/>
      <c r="H507" s="98"/>
    </row>
    <row r="508">
      <c r="D508" s="98"/>
      <c r="E508" s="98"/>
      <c r="F508" s="98"/>
      <c r="G508" s="98"/>
      <c r="H508" s="98"/>
    </row>
    <row r="509">
      <c r="D509" s="98"/>
      <c r="E509" s="98"/>
      <c r="F509" s="98"/>
      <c r="G509" s="98"/>
      <c r="H509" s="98"/>
    </row>
    <row r="510">
      <c r="D510" s="98"/>
      <c r="E510" s="98"/>
      <c r="F510" s="98"/>
      <c r="G510" s="98"/>
      <c r="H510" s="98"/>
    </row>
    <row r="511">
      <c r="D511" s="98"/>
      <c r="E511" s="98"/>
      <c r="F511" s="98"/>
      <c r="G511" s="98"/>
      <c r="H511" s="98"/>
    </row>
    <row r="512">
      <c r="D512" s="98"/>
      <c r="E512" s="98"/>
      <c r="F512" s="98"/>
      <c r="G512" s="98"/>
      <c r="H512" s="98"/>
    </row>
    <row r="513">
      <c r="D513" s="98"/>
      <c r="E513" s="98"/>
      <c r="F513" s="98"/>
      <c r="G513" s="98"/>
      <c r="H513" s="98"/>
    </row>
    <row r="514">
      <c r="D514" s="98"/>
      <c r="E514" s="98"/>
      <c r="F514" s="98"/>
      <c r="G514" s="98"/>
      <c r="H514" s="98"/>
    </row>
    <row r="515">
      <c r="D515" s="98"/>
      <c r="E515" s="98"/>
      <c r="F515" s="98"/>
      <c r="G515" s="98"/>
      <c r="H515" s="98"/>
    </row>
    <row r="516">
      <c r="D516" s="98"/>
      <c r="E516" s="98"/>
      <c r="F516" s="98"/>
      <c r="G516" s="98"/>
      <c r="H516" s="98"/>
    </row>
    <row r="517">
      <c r="D517" s="98"/>
      <c r="E517" s="98"/>
      <c r="F517" s="98"/>
      <c r="G517" s="98"/>
      <c r="H517" s="98"/>
    </row>
    <row r="518">
      <c r="D518" s="98"/>
      <c r="E518" s="98"/>
      <c r="F518" s="98"/>
      <c r="G518" s="98"/>
      <c r="H518" s="98"/>
    </row>
    <row r="519">
      <c r="D519" s="98"/>
      <c r="E519" s="98"/>
      <c r="F519" s="98"/>
      <c r="G519" s="98"/>
      <c r="H519" s="98"/>
    </row>
    <row r="520">
      <c r="D520" s="98"/>
      <c r="E520" s="98"/>
      <c r="F520" s="98"/>
      <c r="G520" s="98"/>
      <c r="H520" s="98"/>
    </row>
    <row r="521">
      <c r="D521" s="98"/>
      <c r="E521" s="98"/>
      <c r="F521" s="98"/>
      <c r="G521" s="98"/>
      <c r="H521" s="98"/>
    </row>
    <row r="522">
      <c r="D522" s="98"/>
      <c r="E522" s="98"/>
      <c r="F522" s="98"/>
      <c r="G522" s="98"/>
      <c r="H522" s="98"/>
    </row>
    <row r="523">
      <c r="D523" s="98"/>
      <c r="E523" s="98"/>
      <c r="F523" s="98"/>
      <c r="G523" s="98"/>
      <c r="H523" s="98"/>
    </row>
    <row r="524">
      <c r="D524" s="98"/>
      <c r="E524" s="98"/>
      <c r="F524" s="98"/>
      <c r="G524" s="98"/>
      <c r="H524" s="98"/>
    </row>
    <row r="525">
      <c r="D525" s="98"/>
      <c r="E525" s="98"/>
      <c r="F525" s="98"/>
      <c r="G525" s="98"/>
      <c r="H525" s="98"/>
    </row>
    <row r="526">
      <c r="D526" s="98"/>
      <c r="E526" s="98"/>
      <c r="F526" s="98"/>
      <c r="G526" s="98"/>
      <c r="H526" s="98"/>
    </row>
    <row r="527">
      <c r="D527" s="98"/>
      <c r="E527" s="98"/>
      <c r="F527" s="98"/>
      <c r="G527" s="98"/>
      <c r="H527" s="98"/>
    </row>
    <row r="528">
      <c r="D528" s="98"/>
      <c r="E528" s="98"/>
      <c r="F528" s="98"/>
      <c r="G528" s="98"/>
      <c r="H528" s="98"/>
    </row>
    <row r="529">
      <c r="D529" s="98"/>
      <c r="E529" s="98"/>
      <c r="F529" s="98"/>
      <c r="G529" s="98"/>
      <c r="H529" s="98"/>
    </row>
    <row r="530">
      <c r="D530" s="98"/>
      <c r="E530" s="98"/>
      <c r="F530" s="98"/>
      <c r="G530" s="98"/>
      <c r="H530" s="98"/>
    </row>
    <row r="531">
      <c r="D531" s="98"/>
      <c r="E531" s="98"/>
      <c r="F531" s="98"/>
      <c r="G531" s="98"/>
      <c r="H531" s="98"/>
    </row>
    <row r="532">
      <c r="D532" s="98"/>
      <c r="E532" s="98"/>
      <c r="F532" s="98"/>
      <c r="G532" s="98"/>
      <c r="H532" s="98"/>
    </row>
    <row r="533">
      <c r="D533" s="98"/>
      <c r="E533" s="98"/>
      <c r="F533" s="98"/>
      <c r="G533" s="98"/>
      <c r="H533" s="98"/>
    </row>
    <row r="534">
      <c r="D534" s="98"/>
      <c r="E534" s="98"/>
      <c r="F534" s="98"/>
      <c r="G534" s="98"/>
      <c r="H534" s="98"/>
    </row>
    <row r="535">
      <c r="D535" s="98"/>
      <c r="E535" s="98"/>
      <c r="F535" s="98"/>
      <c r="G535" s="98"/>
      <c r="H535" s="98"/>
    </row>
    <row r="536">
      <c r="D536" s="98"/>
      <c r="E536" s="98"/>
      <c r="F536" s="98"/>
      <c r="G536" s="98"/>
      <c r="H536" s="98"/>
    </row>
    <row r="537">
      <c r="D537" s="98"/>
      <c r="E537" s="98"/>
      <c r="F537" s="98"/>
      <c r="G537" s="98"/>
      <c r="H537" s="98"/>
    </row>
    <row r="538">
      <c r="D538" s="98"/>
      <c r="E538" s="98"/>
      <c r="F538" s="98"/>
      <c r="G538" s="98"/>
      <c r="H538" s="98"/>
    </row>
    <row r="539">
      <c r="D539" s="98"/>
      <c r="E539" s="98"/>
      <c r="F539" s="98"/>
      <c r="G539" s="98"/>
      <c r="H539" s="98"/>
    </row>
    <row r="540">
      <c r="D540" s="98"/>
      <c r="E540" s="98"/>
      <c r="F540" s="98"/>
      <c r="G540" s="98"/>
      <c r="H540" s="98"/>
    </row>
    <row r="541">
      <c r="D541" s="98"/>
      <c r="E541" s="98"/>
      <c r="F541" s="98"/>
      <c r="G541" s="98"/>
      <c r="H541" s="98"/>
    </row>
    <row r="542">
      <c r="D542" s="98"/>
      <c r="E542" s="98"/>
      <c r="F542" s="98"/>
      <c r="G542" s="98"/>
      <c r="H542" s="98"/>
    </row>
    <row r="543">
      <c r="D543" s="98"/>
      <c r="E543" s="98"/>
      <c r="F543" s="98"/>
      <c r="G543" s="98"/>
      <c r="H543" s="98"/>
    </row>
    <row r="544">
      <c r="D544" s="98"/>
      <c r="E544" s="98"/>
      <c r="F544" s="98"/>
      <c r="G544" s="98"/>
      <c r="H544" s="98"/>
    </row>
    <row r="545">
      <c r="D545" s="98"/>
      <c r="E545" s="98"/>
      <c r="F545" s="98"/>
      <c r="G545" s="98"/>
      <c r="H545" s="98"/>
    </row>
    <row r="546">
      <c r="D546" s="98"/>
      <c r="E546" s="98"/>
      <c r="F546" s="98"/>
      <c r="G546" s="98"/>
      <c r="H546" s="98"/>
    </row>
    <row r="547">
      <c r="D547" s="98"/>
      <c r="E547" s="98"/>
      <c r="F547" s="98"/>
      <c r="G547" s="98"/>
      <c r="H547" s="98"/>
    </row>
    <row r="548">
      <c r="D548" s="98"/>
      <c r="E548" s="98"/>
      <c r="F548" s="98"/>
      <c r="G548" s="98"/>
      <c r="H548" s="98"/>
    </row>
    <row r="549">
      <c r="D549" s="98"/>
      <c r="E549" s="98"/>
      <c r="F549" s="98"/>
      <c r="G549" s="98"/>
      <c r="H549" s="98"/>
    </row>
    <row r="550">
      <c r="D550" s="98"/>
      <c r="E550" s="98"/>
      <c r="F550" s="98"/>
      <c r="G550" s="98"/>
      <c r="H550" s="98"/>
    </row>
    <row r="551">
      <c r="D551" s="98"/>
      <c r="E551" s="98"/>
      <c r="F551" s="98"/>
      <c r="G551" s="98"/>
      <c r="H551" s="98"/>
    </row>
    <row r="552">
      <c r="D552" s="98"/>
      <c r="E552" s="98"/>
      <c r="F552" s="98"/>
      <c r="G552" s="98"/>
      <c r="H552" s="98"/>
    </row>
    <row r="553">
      <c r="D553" s="98"/>
      <c r="E553" s="98"/>
      <c r="F553" s="98"/>
      <c r="G553" s="98"/>
      <c r="H553" s="98"/>
    </row>
    <row r="554">
      <c r="D554" s="98"/>
      <c r="E554" s="98"/>
      <c r="F554" s="98"/>
      <c r="G554" s="98"/>
      <c r="H554" s="98"/>
    </row>
    <row r="555">
      <c r="D555" s="98"/>
      <c r="E555" s="98"/>
      <c r="F555" s="98"/>
      <c r="G555" s="98"/>
      <c r="H555" s="98"/>
    </row>
    <row r="556">
      <c r="D556" s="98"/>
      <c r="E556" s="98"/>
      <c r="F556" s="98"/>
      <c r="G556" s="98"/>
      <c r="H556" s="98"/>
    </row>
    <row r="557">
      <c r="D557" s="98"/>
      <c r="E557" s="98"/>
      <c r="F557" s="98"/>
      <c r="G557" s="98"/>
      <c r="H557" s="98"/>
    </row>
    <row r="558">
      <c r="D558" s="98"/>
      <c r="E558" s="98"/>
      <c r="F558" s="98"/>
      <c r="G558" s="98"/>
      <c r="H558" s="98"/>
    </row>
    <row r="559">
      <c r="D559" s="98"/>
      <c r="E559" s="98"/>
      <c r="F559" s="98"/>
      <c r="G559" s="98"/>
      <c r="H559" s="98"/>
    </row>
    <row r="560">
      <c r="D560" s="98"/>
      <c r="E560" s="98"/>
      <c r="F560" s="98"/>
      <c r="G560" s="98"/>
      <c r="H560" s="98"/>
    </row>
    <row r="561">
      <c r="D561" s="98"/>
      <c r="E561" s="98"/>
      <c r="F561" s="98"/>
      <c r="G561" s="98"/>
      <c r="H561" s="98"/>
    </row>
    <row r="562">
      <c r="D562" s="98"/>
      <c r="E562" s="98"/>
      <c r="F562" s="98"/>
      <c r="G562" s="98"/>
      <c r="H562" s="98"/>
    </row>
    <row r="563">
      <c r="D563" s="98"/>
      <c r="E563" s="98"/>
      <c r="F563" s="98"/>
      <c r="G563" s="98"/>
      <c r="H563" s="98"/>
    </row>
    <row r="564">
      <c r="D564" s="98"/>
      <c r="E564" s="98"/>
      <c r="F564" s="98"/>
      <c r="G564" s="98"/>
      <c r="H564" s="98"/>
    </row>
    <row r="565">
      <c r="D565" s="98"/>
      <c r="E565" s="98"/>
      <c r="F565" s="98"/>
      <c r="G565" s="98"/>
      <c r="H565" s="98"/>
    </row>
    <row r="566">
      <c r="D566" s="98"/>
      <c r="E566" s="98"/>
      <c r="F566" s="98"/>
      <c r="G566" s="98"/>
      <c r="H566" s="98"/>
    </row>
    <row r="567">
      <c r="D567" s="98"/>
      <c r="E567" s="98"/>
      <c r="F567" s="98"/>
      <c r="G567" s="98"/>
      <c r="H567" s="98"/>
    </row>
    <row r="568">
      <c r="D568" s="98"/>
      <c r="E568" s="98"/>
      <c r="F568" s="98"/>
      <c r="G568" s="98"/>
      <c r="H568" s="98"/>
    </row>
    <row r="569">
      <c r="D569" s="98"/>
      <c r="E569" s="98"/>
      <c r="F569" s="98"/>
      <c r="G569" s="98"/>
      <c r="H569" s="98"/>
    </row>
    <row r="570">
      <c r="D570" s="98"/>
      <c r="E570" s="98"/>
      <c r="F570" s="98"/>
      <c r="G570" s="98"/>
      <c r="H570" s="98"/>
    </row>
    <row r="571">
      <c r="D571" s="98"/>
      <c r="E571" s="98"/>
      <c r="F571" s="98"/>
      <c r="G571" s="98"/>
      <c r="H571" s="98"/>
    </row>
    <row r="572">
      <c r="D572" s="98"/>
      <c r="E572" s="98"/>
      <c r="F572" s="98"/>
      <c r="G572" s="98"/>
      <c r="H572" s="98"/>
    </row>
    <row r="573">
      <c r="D573" s="98"/>
      <c r="E573" s="98"/>
      <c r="F573" s="98"/>
      <c r="G573" s="98"/>
      <c r="H573" s="98"/>
    </row>
    <row r="574">
      <c r="D574" s="98"/>
      <c r="E574" s="98"/>
      <c r="F574" s="98"/>
      <c r="G574" s="98"/>
      <c r="H574" s="98"/>
    </row>
    <row r="575">
      <c r="D575" s="98"/>
      <c r="E575" s="98"/>
      <c r="F575" s="98"/>
      <c r="G575" s="98"/>
      <c r="H575" s="98"/>
    </row>
    <row r="576">
      <c r="D576" s="98"/>
      <c r="E576" s="98"/>
      <c r="F576" s="98"/>
      <c r="G576" s="98"/>
      <c r="H576" s="98"/>
    </row>
    <row r="577">
      <c r="D577" s="98"/>
      <c r="E577" s="98"/>
      <c r="F577" s="98"/>
      <c r="G577" s="98"/>
      <c r="H577" s="98"/>
    </row>
    <row r="578">
      <c r="D578" s="98"/>
      <c r="E578" s="98"/>
      <c r="F578" s="98"/>
      <c r="G578" s="98"/>
      <c r="H578" s="98"/>
    </row>
    <row r="579">
      <c r="D579" s="98"/>
      <c r="E579" s="98"/>
      <c r="F579" s="98"/>
      <c r="G579" s="98"/>
      <c r="H579" s="98"/>
    </row>
    <row r="580">
      <c r="D580" s="98"/>
      <c r="E580" s="98"/>
      <c r="F580" s="98"/>
      <c r="G580" s="98"/>
      <c r="H580" s="98"/>
    </row>
    <row r="581">
      <c r="D581" s="98"/>
      <c r="E581" s="98"/>
      <c r="F581" s="98"/>
      <c r="G581" s="98"/>
      <c r="H581" s="98"/>
    </row>
    <row r="582">
      <c r="D582" s="98"/>
      <c r="E582" s="98"/>
      <c r="F582" s="98"/>
      <c r="G582" s="98"/>
      <c r="H582" s="98"/>
    </row>
    <row r="583">
      <c r="D583" s="98"/>
      <c r="E583" s="98"/>
      <c r="F583" s="98"/>
      <c r="G583" s="98"/>
      <c r="H583" s="98"/>
    </row>
    <row r="584">
      <c r="D584" s="98"/>
      <c r="E584" s="98"/>
      <c r="F584" s="98"/>
      <c r="G584" s="98"/>
      <c r="H584" s="98"/>
    </row>
    <row r="585">
      <c r="D585" s="98"/>
      <c r="E585" s="98"/>
      <c r="F585" s="98"/>
      <c r="G585" s="98"/>
      <c r="H585" s="98"/>
    </row>
    <row r="586">
      <c r="D586" s="98"/>
      <c r="E586" s="98"/>
      <c r="F586" s="98"/>
      <c r="G586" s="98"/>
      <c r="H586" s="98"/>
    </row>
    <row r="587">
      <c r="D587" s="98"/>
      <c r="E587" s="98"/>
      <c r="F587" s="98"/>
      <c r="G587" s="98"/>
      <c r="H587" s="98"/>
    </row>
    <row r="588">
      <c r="D588" s="98"/>
      <c r="E588" s="98"/>
      <c r="F588" s="98"/>
      <c r="G588" s="98"/>
      <c r="H588" s="98"/>
    </row>
    <row r="589">
      <c r="D589" s="98"/>
      <c r="E589" s="98"/>
      <c r="F589" s="98"/>
      <c r="G589" s="98"/>
      <c r="H589" s="98"/>
    </row>
    <row r="590">
      <c r="D590" s="98"/>
      <c r="E590" s="98"/>
      <c r="F590" s="98"/>
      <c r="G590" s="98"/>
      <c r="H590" s="98"/>
    </row>
    <row r="591">
      <c r="D591" s="98"/>
      <c r="E591" s="98"/>
      <c r="F591" s="98"/>
      <c r="G591" s="98"/>
      <c r="H591" s="98"/>
    </row>
    <row r="592">
      <c r="D592" s="98"/>
      <c r="E592" s="98"/>
      <c r="F592" s="98"/>
      <c r="G592" s="98"/>
      <c r="H592" s="98"/>
    </row>
    <row r="593">
      <c r="D593" s="98"/>
      <c r="E593" s="98"/>
      <c r="F593" s="98"/>
      <c r="G593" s="98"/>
      <c r="H593" s="98"/>
    </row>
    <row r="594">
      <c r="D594" s="98"/>
      <c r="E594" s="98"/>
      <c r="F594" s="98"/>
      <c r="G594" s="98"/>
      <c r="H594" s="98"/>
    </row>
    <row r="595">
      <c r="D595" s="98"/>
      <c r="E595" s="98"/>
      <c r="F595" s="98"/>
      <c r="G595" s="98"/>
      <c r="H595" s="98"/>
    </row>
    <row r="596">
      <c r="D596" s="98"/>
      <c r="E596" s="98"/>
      <c r="F596" s="98"/>
      <c r="G596" s="98"/>
      <c r="H596" s="98"/>
    </row>
    <row r="597">
      <c r="D597" s="98"/>
      <c r="E597" s="98"/>
      <c r="F597" s="98"/>
      <c r="G597" s="98"/>
      <c r="H597" s="98"/>
    </row>
    <row r="598">
      <c r="D598" s="98"/>
      <c r="E598" s="98"/>
      <c r="F598" s="98"/>
      <c r="G598" s="98"/>
      <c r="H598" s="98"/>
    </row>
    <row r="599">
      <c r="D599" s="98"/>
      <c r="E599" s="98"/>
      <c r="F599" s="98"/>
      <c r="G599" s="98"/>
      <c r="H599" s="98"/>
    </row>
    <row r="600">
      <c r="D600" s="98"/>
      <c r="E600" s="98"/>
      <c r="F600" s="98"/>
      <c r="G600" s="98"/>
      <c r="H600" s="98"/>
    </row>
    <row r="601">
      <c r="D601" s="98"/>
      <c r="E601" s="98"/>
      <c r="F601" s="98"/>
      <c r="G601" s="98"/>
      <c r="H601" s="98"/>
    </row>
    <row r="602">
      <c r="D602" s="98"/>
      <c r="E602" s="98"/>
      <c r="F602" s="98"/>
      <c r="G602" s="98"/>
      <c r="H602" s="98"/>
    </row>
    <row r="603">
      <c r="D603" s="98"/>
      <c r="E603" s="98"/>
      <c r="F603" s="98"/>
      <c r="G603" s="98"/>
      <c r="H603" s="98"/>
    </row>
    <row r="604">
      <c r="D604" s="98"/>
      <c r="E604" s="98"/>
      <c r="F604" s="98"/>
      <c r="G604" s="98"/>
      <c r="H604" s="98"/>
    </row>
    <row r="605">
      <c r="D605" s="98"/>
      <c r="E605" s="98"/>
      <c r="F605" s="98"/>
      <c r="G605" s="98"/>
      <c r="H605" s="98"/>
    </row>
    <row r="606">
      <c r="D606" s="98"/>
      <c r="E606" s="98"/>
      <c r="F606" s="98"/>
      <c r="G606" s="98"/>
      <c r="H606" s="98"/>
    </row>
    <row r="607">
      <c r="D607" s="98"/>
      <c r="E607" s="98"/>
      <c r="F607" s="98"/>
      <c r="G607" s="98"/>
      <c r="H607" s="98"/>
    </row>
    <row r="608">
      <c r="D608" s="98"/>
      <c r="E608" s="98"/>
      <c r="F608" s="98"/>
      <c r="G608" s="98"/>
      <c r="H608" s="98"/>
    </row>
    <row r="609">
      <c r="D609" s="98"/>
      <c r="E609" s="98"/>
      <c r="F609" s="98"/>
      <c r="G609" s="98"/>
      <c r="H609" s="98"/>
    </row>
    <row r="610">
      <c r="D610" s="98"/>
      <c r="E610" s="98"/>
      <c r="F610" s="98"/>
      <c r="G610" s="98"/>
      <c r="H610" s="98"/>
    </row>
    <row r="611">
      <c r="D611" s="98"/>
      <c r="E611" s="98"/>
      <c r="F611" s="98"/>
      <c r="G611" s="98"/>
      <c r="H611" s="98"/>
    </row>
    <row r="612">
      <c r="D612" s="98"/>
      <c r="E612" s="98"/>
      <c r="F612" s="98"/>
      <c r="G612" s="98"/>
      <c r="H612" s="98"/>
    </row>
    <row r="613">
      <c r="D613" s="98"/>
      <c r="E613" s="98"/>
      <c r="F613" s="98"/>
      <c r="G613" s="98"/>
      <c r="H613" s="98"/>
    </row>
    <row r="614">
      <c r="D614" s="98"/>
      <c r="E614" s="98"/>
      <c r="F614" s="98"/>
      <c r="G614" s="98"/>
      <c r="H614" s="98"/>
    </row>
    <row r="615">
      <c r="D615" s="98"/>
      <c r="E615" s="98"/>
      <c r="F615" s="98"/>
      <c r="G615" s="98"/>
      <c r="H615" s="98"/>
    </row>
    <row r="616">
      <c r="D616" s="98"/>
      <c r="E616" s="98"/>
      <c r="F616" s="98"/>
      <c r="G616" s="98"/>
      <c r="H616" s="98"/>
    </row>
    <row r="617">
      <c r="D617" s="98"/>
      <c r="E617" s="98"/>
      <c r="F617" s="98"/>
      <c r="G617" s="98"/>
      <c r="H617" s="98"/>
    </row>
    <row r="618">
      <c r="D618" s="98"/>
      <c r="E618" s="98"/>
      <c r="F618" s="98"/>
      <c r="G618" s="98"/>
      <c r="H618" s="98"/>
    </row>
    <row r="619">
      <c r="D619" s="98"/>
      <c r="E619" s="98"/>
      <c r="F619" s="98"/>
      <c r="G619" s="98"/>
      <c r="H619" s="98"/>
    </row>
    <row r="620">
      <c r="D620" s="98"/>
      <c r="E620" s="98"/>
      <c r="F620" s="98"/>
      <c r="G620" s="98"/>
      <c r="H620" s="98"/>
    </row>
    <row r="621">
      <c r="D621" s="98"/>
      <c r="E621" s="98"/>
      <c r="F621" s="98"/>
      <c r="G621" s="98"/>
      <c r="H621" s="98"/>
    </row>
    <row r="622">
      <c r="D622" s="98"/>
      <c r="E622" s="98"/>
      <c r="F622" s="98"/>
      <c r="G622" s="98"/>
      <c r="H622" s="98"/>
    </row>
    <row r="623">
      <c r="D623" s="98"/>
      <c r="E623" s="98"/>
      <c r="F623" s="98"/>
      <c r="G623" s="98"/>
      <c r="H623" s="98"/>
    </row>
    <row r="624">
      <c r="D624" s="98"/>
      <c r="E624" s="98"/>
      <c r="F624" s="98"/>
      <c r="G624" s="98"/>
      <c r="H624" s="98"/>
    </row>
    <row r="625">
      <c r="D625" s="98"/>
      <c r="E625" s="98"/>
      <c r="F625" s="98"/>
      <c r="G625" s="98"/>
      <c r="H625" s="98"/>
    </row>
    <row r="626">
      <c r="D626" s="98"/>
      <c r="E626" s="98"/>
      <c r="F626" s="98"/>
      <c r="G626" s="98"/>
      <c r="H626" s="98"/>
    </row>
    <row r="627">
      <c r="D627" s="98"/>
      <c r="E627" s="98"/>
      <c r="F627" s="98"/>
      <c r="G627" s="98"/>
      <c r="H627" s="98"/>
    </row>
    <row r="628">
      <c r="D628" s="98"/>
      <c r="E628" s="98"/>
      <c r="F628" s="98"/>
      <c r="G628" s="98"/>
      <c r="H628" s="98"/>
    </row>
    <row r="629">
      <c r="D629" s="98"/>
      <c r="E629" s="98"/>
      <c r="F629" s="98"/>
      <c r="G629" s="98"/>
      <c r="H629" s="98"/>
    </row>
    <row r="630">
      <c r="D630" s="98"/>
      <c r="E630" s="98"/>
      <c r="F630" s="98"/>
      <c r="G630" s="98"/>
      <c r="H630" s="98"/>
    </row>
    <row r="631">
      <c r="D631" s="98"/>
      <c r="E631" s="98"/>
      <c r="F631" s="98"/>
      <c r="G631" s="98"/>
      <c r="H631" s="98"/>
    </row>
    <row r="632">
      <c r="D632" s="98"/>
      <c r="E632" s="98"/>
      <c r="F632" s="98"/>
      <c r="G632" s="98"/>
      <c r="H632" s="98"/>
    </row>
    <row r="633">
      <c r="D633" s="98"/>
      <c r="E633" s="98"/>
      <c r="F633" s="98"/>
      <c r="G633" s="98"/>
      <c r="H633" s="98"/>
    </row>
    <row r="634">
      <c r="D634" s="98"/>
      <c r="E634" s="98"/>
      <c r="F634" s="98"/>
      <c r="G634" s="98"/>
      <c r="H634" s="98"/>
    </row>
    <row r="635">
      <c r="D635" s="98"/>
      <c r="E635" s="98"/>
      <c r="F635" s="98"/>
      <c r="G635" s="98"/>
      <c r="H635" s="98"/>
    </row>
    <row r="636">
      <c r="D636" s="98"/>
      <c r="E636" s="98"/>
      <c r="F636" s="98"/>
      <c r="G636" s="98"/>
      <c r="H636" s="98"/>
    </row>
    <row r="637">
      <c r="D637" s="98"/>
      <c r="E637" s="98"/>
      <c r="F637" s="98"/>
      <c r="G637" s="98"/>
      <c r="H637" s="98"/>
    </row>
    <row r="638">
      <c r="D638" s="98"/>
      <c r="E638" s="98"/>
      <c r="F638" s="98"/>
      <c r="G638" s="98"/>
      <c r="H638" s="98"/>
    </row>
    <row r="639">
      <c r="D639" s="98"/>
      <c r="E639" s="98"/>
      <c r="F639" s="98"/>
      <c r="G639" s="98"/>
      <c r="H639" s="98"/>
    </row>
    <row r="640">
      <c r="D640" s="98"/>
      <c r="E640" s="98"/>
      <c r="F640" s="98"/>
      <c r="G640" s="98"/>
      <c r="H640" s="98"/>
    </row>
    <row r="641">
      <c r="D641" s="98"/>
      <c r="E641" s="98"/>
      <c r="F641" s="98"/>
      <c r="G641" s="98"/>
      <c r="H641" s="98"/>
    </row>
    <row r="642">
      <c r="D642" s="98"/>
      <c r="E642" s="98"/>
      <c r="F642" s="98"/>
      <c r="G642" s="98"/>
      <c r="H642" s="98"/>
    </row>
    <row r="643">
      <c r="D643" s="98"/>
      <c r="E643" s="98"/>
      <c r="F643" s="98"/>
      <c r="G643" s="98"/>
      <c r="H643" s="98"/>
    </row>
    <row r="644">
      <c r="D644" s="98"/>
      <c r="E644" s="98"/>
      <c r="F644" s="98"/>
      <c r="G644" s="98"/>
      <c r="H644" s="98"/>
    </row>
    <row r="645">
      <c r="D645" s="98"/>
      <c r="E645" s="98"/>
      <c r="F645" s="98"/>
      <c r="G645" s="98"/>
      <c r="H645" s="98"/>
    </row>
    <row r="646">
      <c r="D646" s="98"/>
      <c r="E646" s="98"/>
      <c r="F646" s="98"/>
      <c r="G646" s="98"/>
      <c r="H646" s="98"/>
    </row>
    <row r="647">
      <c r="D647" s="98"/>
      <c r="E647" s="98"/>
      <c r="F647" s="98"/>
      <c r="G647" s="98"/>
      <c r="H647" s="98"/>
    </row>
    <row r="648">
      <c r="D648" s="98"/>
      <c r="E648" s="98"/>
      <c r="F648" s="98"/>
      <c r="G648" s="98"/>
      <c r="H648" s="98"/>
    </row>
    <row r="649">
      <c r="D649" s="98"/>
      <c r="E649" s="98"/>
      <c r="F649" s="98"/>
      <c r="G649" s="98"/>
      <c r="H649" s="98"/>
    </row>
    <row r="650">
      <c r="D650" s="98"/>
      <c r="E650" s="98"/>
      <c r="F650" s="98"/>
      <c r="G650" s="98"/>
      <c r="H650" s="98"/>
    </row>
    <row r="651">
      <c r="D651" s="98"/>
      <c r="E651" s="98"/>
      <c r="F651" s="98"/>
      <c r="G651" s="98"/>
      <c r="H651" s="98"/>
    </row>
    <row r="652">
      <c r="D652" s="98"/>
      <c r="E652" s="98"/>
      <c r="F652" s="98"/>
      <c r="G652" s="98"/>
      <c r="H652" s="98"/>
    </row>
    <row r="653">
      <c r="D653" s="98"/>
      <c r="E653" s="98"/>
      <c r="F653" s="98"/>
      <c r="G653" s="98"/>
      <c r="H653" s="98"/>
    </row>
    <row r="654">
      <c r="D654" s="98"/>
      <c r="E654" s="98"/>
      <c r="F654" s="98"/>
      <c r="G654" s="98"/>
      <c r="H654" s="98"/>
    </row>
    <row r="655">
      <c r="D655" s="98"/>
      <c r="E655" s="98"/>
      <c r="F655" s="98"/>
      <c r="G655" s="98"/>
      <c r="H655" s="98"/>
    </row>
    <row r="656">
      <c r="D656" s="98"/>
      <c r="E656" s="98"/>
      <c r="F656" s="98"/>
      <c r="G656" s="98"/>
      <c r="H656" s="98"/>
    </row>
    <row r="657">
      <c r="D657" s="98"/>
      <c r="E657" s="98"/>
      <c r="F657" s="98"/>
      <c r="G657" s="98"/>
      <c r="H657" s="98"/>
    </row>
    <row r="658">
      <c r="D658" s="98"/>
      <c r="E658" s="98"/>
      <c r="F658" s="98"/>
      <c r="G658" s="98"/>
      <c r="H658" s="98"/>
    </row>
    <row r="659">
      <c r="D659" s="98"/>
      <c r="E659" s="98"/>
      <c r="F659" s="98"/>
      <c r="G659" s="98"/>
      <c r="H659" s="98"/>
    </row>
    <row r="660">
      <c r="D660" s="98"/>
      <c r="E660" s="98"/>
      <c r="F660" s="98"/>
      <c r="G660" s="98"/>
      <c r="H660" s="98"/>
    </row>
    <row r="661">
      <c r="D661" s="98"/>
      <c r="E661" s="98"/>
      <c r="F661" s="98"/>
      <c r="G661" s="98"/>
      <c r="H661" s="98"/>
    </row>
    <row r="662">
      <c r="D662" s="98"/>
      <c r="E662" s="98"/>
      <c r="F662" s="98"/>
      <c r="G662" s="98"/>
      <c r="H662" s="98"/>
    </row>
    <row r="663">
      <c r="D663" s="98"/>
      <c r="E663" s="98"/>
      <c r="F663" s="98"/>
      <c r="G663" s="98"/>
      <c r="H663" s="98"/>
    </row>
    <row r="664">
      <c r="D664" s="98"/>
      <c r="E664" s="98"/>
      <c r="F664" s="98"/>
      <c r="G664" s="98"/>
      <c r="H664" s="98"/>
    </row>
    <row r="665">
      <c r="D665" s="98"/>
      <c r="E665" s="98"/>
      <c r="F665" s="98"/>
      <c r="G665" s="98"/>
      <c r="H665" s="98"/>
    </row>
    <row r="666">
      <c r="D666" s="98"/>
      <c r="E666" s="98"/>
      <c r="F666" s="98"/>
      <c r="G666" s="98"/>
      <c r="H666" s="98"/>
    </row>
    <row r="667">
      <c r="D667" s="98"/>
      <c r="E667" s="98"/>
      <c r="F667" s="98"/>
      <c r="G667" s="98"/>
      <c r="H667" s="98"/>
    </row>
    <row r="668">
      <c r="D668" s="98"/>
      <c r="E668" s="98"/>
      <c r="F668" s="98"/>
      <c r="G668" s="98"/>
      <c r="H668" s="98"/>
    </row>
    <row r="669">
      <c r="D669" s="98"/>
      <c r="E669" s="98"/>
      <c r="F669" s="98"/>
      <c r="G669" s="98"/>
      <c r="H669" s="98"/>
    </row>
    <row r="670">
      <c r="D670" s="98"/>
      <c r="E670" s="98"/>
      <c r="F670" s="98"/>
      <c r="G670" s="98"/>
      <c r="H670" s="98"/>
    </row>
    <row r="671">
      <c r="D671" s="98"/>
      <c r="E671" s="98"/>
      <c r="F671" s="98"/>
      <c r="G671" s="98"/>
      <c r="H671" s="98"/>
    </row>
    <row r="672">
      <c r="D672" s="98"/>
      <c r="E672" s="98"/>
      <c r="F672" s="98"/>
      <c r="G672" s="98"/>
      <c r="H672" s="98"/>
    </row>
    <row r="673">
      <c r="D673" s="98"/>
      <c r="E673" s="98"/>
      <c r="F673" s="98"/>
      <c r="G673" s="98"/>
      <c r="H673" s="98"/>
    </row>
    <row r="674">
      <c r="D674" s="98"/>
      <c r="E674" s="98"/>
      <c r="F674" s="98"/>
      <c r="G674" s="98"/>
      <c r="H674" s="98"/>
    </row>
    <row r="675">
      <c r="D675" s="98"/>
      <c r="E675" s="98"/>
      <c r="F675" s="98"/>
      <c r="G675" s="98"/>
      <c r="H675" s="98"/>
    </row>
    <row r="676">
      <c r="D676" s="98"/>
      <c r="E676" s="98"/>
      <c r="F676" s="98"/>
      <c r="G676" s="98"/>
      <c r="H676" s="98"/>
    </row>
    <row r="677">
      <c r="D677" s="98"/>
      <c r="E677" s="98"/>
      <c r="F677" s="98"/>
      <c r="G677" s="98"/>
      <c r="H677" s="98"/>
    </row>
    <row r="678">
      <c r="D678" s="98"/>
      <c r="E678" s="98"/>
      <c r="F678" s="98"/>
      <c r="G678" s="98"/>
      <c r="H678" s="98"/>
    </row>
    <row r="679">
      <c r="D679" s="98"/>
      <c r="E679" s="98"/>
      <c r="F679" s="98"/>
      <c r="G679" s="98"/>
      <c r="H679" s="98"/>
    </row>
    <row r="680">
      <c r="D680" s="98"/>
      <c r="E680" s="98"/>
      <c r="F680" s="98"/>
      <c r="G680" s="98"/>
      <c r="H680" s="98"/>
    </row>
    <row r="681">
      <c r="D681" s="98"/>
      <c r="E681" s="98"/>
      <c r="F681" s="98"/>
      <c r="G681" s="98"/>
      <c r="H681" s="98"/>
    </row>
    <row r="682">
      <c r="D682" s="98"/>
      <c r="E682" s="98"/>
      <c r="F682" s="98"/>
      <c r="G682" s="98"/>
      <c r="H682" s="98"/>
    </row>
    <row r="683">
      <c r="D683" s="98"/>
      <c r="E683" s="98"/>
      <c r="F683" s="98"/>
      <c r="G683" s="98"/>
      <c r="H683" s="98"/>
    </row>
    <row r="684">
      <c r="D684" s="98"/>
      <c r="E684" s="98"/>
      <c r="F684" s="98"/>
      <c r="G684" s="98"/>
      <c r="H684" s="98"/>
    </row>
    <row r="685">
      <c r="D685" s="98"/>
      <c r="E685" s="98"/>
      <c r="F685" s="98"/>
      <c r="G685" s="98"/>
      <c r="H685" s="98"/>
    </row>
    <row r="686">
      <c r="D686" s="98"/>
      <c r="E686" s="98"/>
      <c r="F686" s="98"/>
      <c r="G686" s="98"/>
      <c r="H686" s="98"/>
    </row>
    <row r="687">
      <c r="D687" s="98"/>
      <c r="E687" s="98"/>
      <c r="F687" s="98"/>
      <c r="G687" s="98"/>
      <c r="H687" s="98"/>
    </row>
    <row r="688">
      <c r="D688" s="98"/>
      <c r="E688" s="98"/>
      <c r="F688" s="98"/>
      <c r="G688" s="98"/>
      <c r="H688" s="98"/>
    </row>
    <row r="689">
      <c r="D689" s="98"/>
      <c r="E689" s="98"/>
      <c r="F689" s="98"/>
      <c r="G689" s="98"/>
      <c r="H689" s="98"/>
    </row>
    <row r="690">
      <c r="D690" s="98"/>
      <c r="E690" s="98"/>
      <c r="F690" s="98"/>
      <c r="G690" s="98"/>
      <c r="H690" s="98"/>
    </row>
    <row r="691">
      <c r="D691" s="98"/>
      <c r="E691" s="98"/>
      <c r="F691" s="98"/>
      <c r="G691" s="98"/>
      <c r="H691" s="98"/>
    </row>
    <row r="692">
      <c r="D692" s="98"/>
      <c r="E692" s="98"/>
      <c r="F692" s="98"/>
      <c r="G692" s="98"/>
      <c r="H692" s="98"/>
    </row>
    <row r="693">
      <c r="D693" s="98"/>
      <c r="E693" s="98"/>
      <c r="F693" s="98"/>
      <c r="G693" s="98"/>
      <c r="H693" s="98"/>
    </row>
    <row r="694">
      <c r="D694" s="98"/>
      <c r="E694" s="98"/>
      <c r="F694" s="98"/>
      <c r="G694" s="98"/>
      <c r="H694" s="98"/>
    </row>
    <row r="695">
      <c r="D695" s="98"/>
      <c r="E695" s="98"/>
      <c r="F695" s="98"/>
      <c r="G695" s="98"/>
      <c r="H695" s="98"/>
    </row>
    <row r="696">
      <c r="D696" s="98"/>
      <c r="E696" s="98"/>
      <c r="F696" s="98"/>
      <c r="G696" s="98"/>
      <c r="H696" s="98"/>
    </row>
    <row r="697">
      <c r="D697" s="98"/>
      <c r="E697" s="98"/>
      <c r="F697" s="98"/>
      <c r="G697" s="98"/>
      <c r="H697" s="98"/>
    </row>
    <row r="698">
      <c r="D698" s="98"/>
      <c r="E698" s="98"/>
      <c r="F698" s="98"/>
      <c r="G698" s="98"/>
      <c r="H698" s="98"/>
    </row>
    <row r="699">
      <c r="D699" s="98"/>
      <c r="E699" s="98"/>
      <c r="F699" s="98"/>
      <c r="G699" s="98"/>
      <c r="H699" s="98"/>
    </row>
    <row r="700">
      <c r="D700" s="98"/>
      <c r="E700" s="98"/>
      <c r="F700" s="98"/>
      <c r="G700" s="98"/>
      <c r="H700" s="98"/>
    </row>
    <row r="701">
      <c r="D701" s="98"/>
      <c r="E701" s="98"/>
      <c r="F701" s="98"/>
      <c r="G701" s="98"/>
      <c r="H701" s="98"/>
    </row>
    <row r="702">
      <c r="D702" s="98"/>
      <c r="E702" s="98"/>
      <c r="F702" s="98"/>
      <c r="G702" s="98"/>
      <c r="H702" s="98"/>
    </row>
    <row r="703">
      <c r="D703" s="98"/>
      <c r="E703" s="98"/>
      <c r="F703" s="98"/>
      <c r="G703" s="98"/>
      <c r="H703" s="98"/>
    </row>
    <row r="704">
      <c r="D704" s="98"/>
      <c r="E704" s="98"/>
      <c r="F704" s="98"/>
      <c r="G704" s="98"/>
      <c r="H704" s="98"/>
    </row>
    <row r="705">
      <c r="D705" s="98"/>
      <c r="E705" s="98"/>
      <c r="F705" s="98"/>
      <c r="G705" s="98"/>
      <c r="H705" s="98"/>
    </row>
    <row r="706">
      <c r="D706" s="98"/>
      <c r="E706" s="98"/>
      <c r="F706" s="98"/>
      <c r="G706" s="98"/>
      <c r="H706" s="98"/>
    </row>
    <row r="707">
      <c r="D707" s="98"/>
      <c r="E707" s="98"/>
      <c r="F707" s="98"/>
      <c r="G707" s="98"/>
      <c r="H707" s="98"/>
    </row>
    <row r="708">
      <c r="D708" s="98"/>
      <c r="E708" s="98"/>
      <c r="F708" s="98"/>
      <c r="G708" s="98"/>
      <c r="H708" s="98"/>
    </row>
    <row r="709">
      <c r="D709" s="98"/>
      <c r="E709" s="98"/>
      <c r="F709" s="98"/>
      <c r="G709" s="98"/>
      <c r="H709" s="98"/>
    </row>
    <row r="710">
      <c r="D710" s="98"/>
      <c r="E710" s="98"/>
      <c r="F710" s="98"/>
      <c r="G710" s="98"/>
      <c r="H710" s="98"/>
    </row>
    <row r="711">
      <c r="D711" s="98"/>
      <c r="E711" s="98"/>
      <c r="F711" s="98"/>
      <c r="G711" s="98"/>
      <c r="H711" s="98"/>
    </row>
    <row r="712">
      <c r="D712" s="98"/>
      <c r="E712" s="98"/>
      <c r="F712" s="98"/>
      <c r="G712" s="98"/>
      <c r="H712" s="98"/>
    </row>
    <row r="713">
      <c r="D713" s="98"/>
      <c r="E713" s="98"/>
      <c r="F713" s="98"/>
      <c r="G713" s="98"/>
      <c r="H713" s="98"/>
    </row>
    <row r="714">
      <c r="D714" s="98"/>
      <c r="E714" s="98"/>
      <c r="F714" s="98"/>
      <c r="G714" s="98"/>
      <c r="H714" s="98"/>
    </row>
    <row r="715">
      <c r="D715" s="98"/>
      <c r="E715" s="98"/>
      <c r="F715" s="98"/>
      <c r="G715" s="98"/>
      <c r="H715" s="98"/>
    </row>
    <row r="716">
      <c r="D716" s="98"/>
      <c r="E716" s="98"/>
      <c r="F716" s="98"/>
      <c r="G716" s="98"/>
      <c r="H716" s="98"/>
    </row>
    <row r="717">
      <c r="D717" s="98"/>
      <c r="E717" s="98"/>
      <c r="F717" s="98"/>
      <c r="G717" s="98"/>
      <c r="H717" s="98"/>
    </row>
    <row r="718">
      <c r="D718" s="98"/>
      <c r="E718" s="98"/>
      <c r="F718" s="98"/>
      <c r="G718" s="98"/>
      <c r="H718" s="98"/>
    </row>
    <row r="719">
      <c r="D719" s="98"/>
      <c r="E719" s="98"/>
      <c r="F719" s="98"/>
      <c r="G719" s="98"/>
      <c r="H719" s="98"/>
    </row>
    <row r="720">
      <c r="D720" s="98"/>
      <c r="E720" s="98"/>
      <c r="F720" s="98"/>
      <c r="G720" s="98"/>
      <c r="H720" s="98"/>
    </row>
    <row r="721">
      <c r="D721" s="98"/>
      <c r="E721" s="98"/>
      <c r="F721" s="98"/>
      <c r="G721" s="98"/>
      <c r="H721" s="98"/>
    </row>
    <row r="722">
      <c r="D722" s="98"/>
      <c r="E722" s="98"/>
      <c r="F722" s="98"/>
      <c r="G722" s="98"/>
      <c r="H722" s="98"/>
    </row>
    <row r="723">
      <c r="D723" s="98"/>
      <c r="E723" s="98"/>
      <c r="F723" s="98"/>
      <c r="G723" s="98"/>
      <c r="H723" s="98"/>
    </row>
    <row r="724">
      <c r="D724" s="98"/>
      <c r="E724" s="98"/>
      <c r="F724" s="98"/>
      <c r="G724" s="98"/>
      <c r="H724" s="98"/>
    </row>
    <row r="725">
      <c r="D725" s="98"/>
      <c r="E725" s="98"/>
      <c r="F725" s="98"/>
      <c r="G725" s="98"/>
      <c r="H725" s="98"/>
    </row>
    <row r="726">
      <c r="D726" s="98"/>
      <c r="E726" s="98"/>
      <c r="F726" s="98"/>
      <c r="G726" s="98"/>
      <c r="H726" s="98"/>
    </row>
    <row r="727">
      <c r="D727" s="98"/>
      <c r="E727" s="98"/>
      <c r="F727" s="98"/>
      <c r="G727" s="98"/>
      <c r="H727" s="98"/>
    </row>
    <row r="728">
      <c r="D728" s="98"/>
      <c r="E728" s="98"/>
      <c r="F728" s="98"/>
      <c r="G728" s="98"/>
      <c r="H728" s="98"/>
    </row>
    <row r="729">
      <c r="D729" s="98"/>
      <c r="E729" s="98"/>
      <c r="F729" s="98"/>
      <c r="G729" s="98"/>
      <c r="H729" s="98"/>
    </row>
    <row r="730">
      <c r="D730" s="98"/>
      <c r="E730" s="98"/>
      <c r="F730" s="98"/>
      <c r="G730" s="98"/>
      <c r="H730" s="98"/>
    </row>
    <row r="731">
      <c r="D731" s="98"/>
      <c r="E731" s="98"/>
      <c r="F731" s="98"/>
      <c r="G731" s="98"/>
      <c r="H731" s="98"/>
    </row>
    <row r="732">
      <c r="D732" s="98"/>
      <c r="E732" s="98"/>
      <c r="F732" s="98"/>
      <c r="G732" s="98"/>
      <c r="H732" s="98"/>
    </row>
    <row r="733">
      <c r="D733" s="98"/>
      <c r="E733" s="98"/>
      <c r="F733" s="98"/>
      <c r="G733" s="98"/>
      <c r="H733" s="98"/>
    </row>
    <row r="734">
      <c r="D734" s="98"/>
      <c r="E734" s="98"/>
      <c r="F734" s="98"/>
      <c r="G734" s="98"/>
      <c r="H734" s="98"/>
    </row>
    <row r="735">
      <c r="D735" s="98"/>
      <c r="E735" s="98"/>
      <c r="F735" s="98"/>
      <c r="G735" s="98"/>
      <c r="H735" s="98"/>
    </row>
    <row r="736">
      <c r="D736" s="98"/>
      <c r="E736" s="98"/>
      <c r="F736" s="98"/>
      <c r="G736" s="98"/>
      <c r="H736" s="98"/>
    </row>
    <row r="737">
      <c r="D737" s="98"/>
      <c r="E737" s="98"/>
      <c r="F737" s="98"/>
      <c r="G737" s="98"/>
      <c r="H737" s="98"/>
    </row>
    <row r="738">
      <c r="D738" s="98"/>
      <c r="E738" s="98"/>
      <c r="F738" s="98"/>
      <c r="G738" s="98"/>
      <c r="H738" s="98"/>
    </row>
    <row r="739">
      <c r="D739" s="98"/>
      <c r="E739" s="98"/>
      <c r="F739" s="98"/>
      <c r="G739" s="98"/>
      <c r="H739" s="98"/>
    </row>
    <row r="740">
      <c r="D740" s="98"/>
      <c r="E740" s="98"/>
      <c r="F740" s="98"/>
      <c r="G740" s="98"/>
      <c r="H740" s="98"/>
    </row>
    <row r="741">
      <c r="D741" s="98"/>
      <c r="E741" s="98"/>
      <c r="F741" s="98"/>
      <c r="G741" s="98"/>
      <c r="H741" s="98"/>
    </row>
    <row r="742">
      <c r="D742" s="98"/>
      <c r="E742" s="98"/>
      <c r="F742" s="98"/>
      <c r="G742" s="98"/>
      <c r="H742" s="98"/>
    </row>
    <row r="743">
      <c r="D743" s="98"/>
      <c r="E743" s="98"/>
      <c r="F743" s="98"/>
      <c r="G743" s="98"/>
      <c r="H743" s="98"/>
    </row>
    <row r="744">
      <c r="D744" s="98"/>
      <c r="E744" s="98"/>
      <c r="F744" s="98"/>
      <c r="G744" s="98"/>
      <c r="H744" s="98"/>
    </row>
    <row r="745">
      <c r="D745" s="98"/>
      <c r="E745" s="98"/>
      <c r="F745" s="98"/>
      <c r="G745" s="98"/>
      <c r="H745" s="98"/>
    </row>
    <row r="746">
      <c r="D746" s="98"/>
      <c r="E746" s="98"/>
      <c r="F746" s="98"/>
      <c r="G746" s="98"/>
      <c r="H746" s="98"/>
    </row>
    <row r="747">
      <c r="D747" s="98"/>
      <c r="E747" s="98"/>
      <c r="F747" s="98"/>
      <c r="G747" s="98"/>
      <c r="H747" s="98"/>
    </row>
    <row r="748">
      <c r="D748" s="98"/>
      <c r="E748" s="98"/>
      <c r="F748" s="98"/>
      <c r="G748" s="98"/>
      <c r="H748" s="98"/>
    </row>
    <row r="749">
      <c r="D749" s="98"/>
      <c r="E749" s="98"/>
      <c r="F749" s="98"/>
      <c r="G749" s="98"/>
      <c r="H749" s="98"/>
    </row>
    <row r="750">
      <c r="D750" s="98"/>
      <c r="E750" s="98"/>
      <c r="F750" s="98"/>
      <c r="G750" s="98"/>
      <c r="H750" s="98"/>
    </row>
    <row r="751">
      <c r="D751" s="98"/>
      <c r="E751" s="98"/>
      <c r="F751" s="98"/>
      <c r="G751" s="98"/>
      <c r="H751" s="98"/>
    </row>
    <row r="752">
      <c r="D752" s="98"/>
      <c r="E752" s="98"/>
      <c r="F752" s="98"/>
      <c r="G752" s="98"/>
      <c r="H752" s="98"/>
    </row>
    <row r="753">
      <c r="D753" s="98"/>
      <c r="E753" s="98"/>
      <c r="F753" s="98"/>
      <c r="G753" s="98"/>
      <c r="H753" s="98"/>
    </row>
    <row r="754">
      <c r="D754" s="98"/>
      <c r="E754" s="98"/>
      <c r="F754" s="98"/>
      <c r="G754" s="98"/>
      <c r="H754" s="98"/>
    </row>
    <row r="755">
      <c r="D755" s="98"/>
      <c r="E755" s="98"/>
      <c r="F755" s="98"/>
      <c r="G755" s="98"/>
      <c r="H755" s="98"/>
    </row>
    <row r="756">
      <c r="D756" s="98"/>
      <c r="E756" s="98"/>
      <c r="F756" s="98"/>
      <c r="G756" s="98"/>
      <c r="H756" s="98"/>
    </row>
    <row r="757">
      <c r="D757" s="98"/>
      <c r="E757" s="98"/>
      <c r="F757" s="98"/>
      <c r="G757" s="98"/>
      <c r="H757" s="98"/>
    </row>
    <row r="758">
      <c r="D758" s="98"/>
      <c r="E758" s="98"/>
      <c r="F758" s="98"/>
      <c r="G758" s="98"/>
      <c r="H758" s="98"/>
    </row>
    <row r="759">
      <c r="D759" s="98"/>
      <c r="E759" s="98"/>
      <c r="F759" s="98"/>
      <c r="G759" s="98"/>
      <c r="H759" s="98"/>
    </row>
    <row r="760">
      <c r="D760" s="98"/>
      <c r="E760" s="98"/>
      <c r="F760" s="98"/>
      <c r="G760" s="98"/>
      <c r="H760" s="98"/>
    </row>
    <row r="761">
      <c r="D761" s="98"/>
      <c r="E761" s="98"/>
      <c r="F761" s="98"/>
      <c r="G761" s="98"/>
      <c r="H761" s="98"/>
    </row>
    <row r="762">
      <c r="D762" s="98"/>
      <c r="E762" s="98"/>
      <c r="F762" s="98"/>
      <c r="G762" s="98"/>
      <c r="H762" s="98"/>
    </row>
    <row r="763">
      <c r="D763" s="98"/>
      <c r="E763" s="98"/>
      <c r="F763" s="98"/>
      <c r="G763" s="98"/>
      <c r="H763" s="98"/>
    </row>
    <row r="764">
      <c r="D764" s="98"/>
      <c r="E764" s="98"/>
      <c r="F764" s="98"/>
      <c r="G764" s="98"/>
      <c r="H764" s="98"/>
    </row>
    <row r="765">
      <c r="D765" s="98"/>
      <c r="E765" s="98"/>
      <c r="F765" s="98"/>
      <c r="G765" s="98"/>
      <c r="H765" s="98"/>
    </row>
    <row r="766">
      <c r="D766" s="98"/>
      <c r="E766" s="98"/>
      <c r="F766" s="98"/>
      <c r="G766" s="98"/>
      <c r="H766" s="98"/>
    </row>
    <row r="767">
      <c r="D767" s="98"/>
      <c r="E767" s="98"/>
      <c r="F767" s="98"/>
      <c r="G767" s="98"/>
      <c r="H767" s="98"/>
    </row>
    <row r="768">
      <c r="D768" s="98"/>
      <c r="E768" s="98"/>
      <c r="F768" s="98"/>
      <c r="G768" s="98"/>
      <c r="H768" s="98"/>
    </row>
    <row r="769">
      <c r="D769" s="98"/>
      <c r="E769" s="98"/>
      <c r="F769" s="98"/>
      <c r="G769" s="98"/>
      <c r="H769" s="98"/>
    </row>
    <row r="770">
      <c r="D770" s="98"/>
      <c r="E770" s="98"/>
      <c r="F770" s="98"/>
      <c r="G770" s="98"/>
      <c r="H770" s="98"/>
    </row>
    <row r="771">
      <c r="D771" s="98"/>
      <c r="E771" s="98"/>
      <c r="F771" s="98"/>
      <c r="G771" s="98"/>
      <c r="H771" s="98"/>
    </row>
    <row r="772">
      <c r="D772" s="98"/>
      <c r="E772" s="98"/>
      <c r="F772" s="98"/>
      <c r="G772" s="98"/>
      <c r="H772" s="98"/>
    </row>
    <row r="773">
      <c r="D773" s="98"/>
      <c r="E773" s="98"/>
      <c r="F773" s="98"/>
      <c r="G773" s="98"/>
      <c r="H773" s="98"/>
    </row>
    <row r="774">
      <c r="D774" s="98"/>
      <c r="E774" s="98"/>
      <c r="F774" s="98"/>
      <c r="G774" s="98"/>
      <c r="H774" s="98"/>
    </row>
    <row r="775">
      <c r="D775" s="98"/>
      <c r="E775" s="98"/>
      <c r="F775" s="98"/>
      <c r="G775" s="98"/>
      <c r="H775" s="98"/>
    </row>
    <row r="776">
      <c r="D776" s="98"/>
      <c r="E776" s="98"/>
      <c r="F776" s="98"/>
      <c r="G776" s="98"/>
      <c r="H776" s="98"/>
    </row>
    <row r="777">
      <c r="D777" s="98"/>
      <c r="E777" s="98"/>
      <c r="F777" s="98"/>
      <c r="G777" s="98"/>
      <c r="H777" s="98"/>
    </row>
    <row r="778">
      <c r="D778" s="98"/>
      <c r="E778" s="98"/>
      <c r="F778" s="98"/>
      <c r="G778" s="98"/>
      <c r="H778" s="98"/>
    </row>
    <row r="779">
      <c r="D779" s="98"/>
      <c r="E779" s="98"/>
      <c r="F779" s="98"/>
      <c r="G779" s="98"/>
      <c r="H779" s="98"/>
    </row>
    <row r="780">
      <c r="D780" s="98"/>
      <c r="E780" s="98"/>
      <c r="F780" s="98"/>
      <c r="G780" s="98"/>
      <c r="H780" s="98"/>
    </row>
    <row r="781">
      <c r="D781" s="98"/>
      <c r="E781" s="98"/>
      <c r="F781" s="98"/>
      <c r="G781" s="98"/>
      <c r="H781" s="98"/>
    </row>
    <row r="782">
      <c r="D782" s="98"/>
      <c r="E782" s="98"/>
      <c r="F782" s="98"/>
      <c r="G782" s="98"/>
      <c r="H782" s="98"/>
    </row>
    <row r="783">
      <c r="D783" s="98"/>
      <c r="E783" s="98"/>
      <c r="F783" s="98"/>
      <c r="G783" s="98"/>
      <c r="H783" s="98"/>
    </row>
    <row r="784">
      <c r="D784" s="98"/>
      <c r="E784" s="98"/>
      <c r="F784" s="98"/>
      <c r="G784" s="98"/>
      <c r="H784" s="98"/>
    </row>
    <row r="785">
      <c r="D785" s="98"/>
      <c r="E785" s="98"/>
      <c r="F785" s="98"/>
      <c r="G785" s="98"/>
      <c r="H785" s="98"/>
    </row>
    <row r="786">
      <c r="D786" s="98"/>
      <c r="E786" s="98"/>
      <c r="F786" s="98"/>
      <c r="G786" s="98"/>
      <c r="H786" s="98"/>
    </row>
    <row r="787">
      <c r="D787" s="98"/>
      <c r="E787" s="98"/>
      <c r="F787" s="98"/>
      <c r="G787" s="98"/>
      <c r="H787" s="98"/>
    </row>
    <row r="788">
      <c r="D788" s="98"/>
      <c r="E788" s="98"/>
      <c r="F788" s="98"/>
      <c r="G788" s="98"/>
      <c r="H788" s="98"/>
    </row>
    <row r="789">
      <c r="D789" s="98"/>
      <c r="E789" s="98"/>
      <c r="F789" s="98"/>
      <c r="G789" s="98"/>
      <c r="H789" s="98"/>
    </row>
    <row r="790">
      <c r="D790" s="98"/>
      <c r="E790" s="98"/>
      <c r="F790" s="98"/>
      <c r="G790" s="98"/>
      <c r="H790" s="98"/>
    </row>
    <row r="791">
      <c r="D791" s="98"/>
      <c r="E791" s="98"/>
      <c r="F791" s="98"/>
      <c r="G791" s="98"/>
      <c r="H791" s="98"/>
    </row>
    <row r="792">
      <c r="D792" s="98"/>
      <c r="E792" s="98"/>
      <c r="F792" s="98"/>
      <c r="G792" s="98"/>
      <c r="H792" s="98"/>
    </row>
    <row r="793">
      <c r="D793" s="98"/>
      <c r="E793" s="98"/>
      <c r="F793" s="98"/>
      <c r="G793" s="98"/>
      <c r="H793" s="98"/>
    </row>
    <row r="794">
      <c r="D794" s="98"/>
      <c r="E794" s="98"/>
      <c r="F794" s="98"/>
      <c r="G794" s="98"/>
      <c r="H794" s="98"/>
    </row>
    <row r="795">
      <c r="D795" s="98"/>
      <c r="E795" s="98"/>
      <c r="F795" s="98"/>
      <c r="G795" s="98"/>
      <c r="H795" s="98"/>
    </row>
    <row r="796">
      <c r="D796" s="98"/>
      <c r="E796" s="98"/>
      <c r="F796" s="98"/>
      <c r="G796" s="98"/>
      <c r="H796" s="98"/>
    </row>
    <row r="797">
      <c r="D797" s="98"/>
      <c r="E797" s="98"/>
      <c r="F797" s="98"/>
      <c r="G797" s="98"/>
      <c r="H797" s="98"/>
    </row>
    <row r="798">
      <c r="D798" s="98"/>
      <c r="E798" s="98"/>
      <c r="F798" s="98"/>
      <c r="G798" s="98"/>
      <c r="H798" s="98"/>
    </row>
    <row r="799">
      <c r="D799" s="98"/>
      <c r="E799" s="98"/>
      <c r="F799" s="98"/>
      <c r="G799" s="98"/>
      <c r="H799" s="98"/>
    </row>
    <row r="800">
      <c r="D800" s="98"/>
      <c r="E800" s="98"/>
      <c r="F800" s="98"/>
      <c r="G800" s="98"/>
      <c r="H800" s="98"/>
    </row>
    <row r="801">
      <c r="D801" s="98"/>
      <c r="E801" s="98"/>
      <c r="F801" s="98"/>
      <c r="G801" s="98"/>
      <c r="H801" s="98"/>
    </row>
    <row r="802">
      <c r="D802" s="98"/>
      <c r="E802" s="98"/>
      <c r="F802" s="98"/>
      <c r="G802" s="98"/>
      <c r="H802" s="98"/>
    </row>
    <row r="803">
      <c r="D803" s="98"/>
      <c r="E803" s="98"/>
      <c r="F803" s="98"/>
      <c r="G803" s="98"/>
      <c r="H803" s="98"/>
    </row>
    <row r="804">
      <c r="D804" s="98"/>
      <c r="E804" s="98"/>
      <c r="F804" s="98"/>
      <c r="G804" s="98"/>
      <c r="H804" s="98"/>
    </row>
    <row r="805">
      <c r="D805" s="98"/>
      <c r="E805" s="98"/>
      <c r="F805" s="98"/>
      <c r="G805" s="98"/>
      <c r="H805" s="98"/>
    </row>
    <row r="806">
      <c r="D806" s="98"/>
      <c r="E806" s="98"/>
      <c r="F806" s="98"/>
      <c r="G806" s="98"/>
      <c r="H806" s="98"/>
    </row>
    <row r="807">
      <c r="D807" s="98"/>
      <c r="E807" s="98"/>
      <c r="F807" s="98"/>
      <c r="G807" s="98"/>
      <c r="H807" s="98"/>
    </row>
    <row r="808">
      <c r="D808" s="98"/>
      <c r="E808" s="98"/>
      <c r="F808" s="98"/>
      <c r="G808" s="98"/>
      <c r="H808" s="98"/>
    </row>
    <row r="809">
      <c r="D809" s="98"/>
      <c r="E809" s="98"/>
      <c r="F809" s="98"/>
      <c r="G809" s="98"/>
      <c r="H809" s="98"/>
    </row>
    <row r="810">
      <c r="D810" s="98"/>
      <c r="E810" s="98"/>
      <c r="F810" s="98"/>
      <c r="G810" s="98"/>
      <c r="H810" s="98"/>
    </row>
    <row r="811">
      <c r="D811" s="98"/>
      <c r="E811" s="98"/>
      <c r="F811" s="98"/>
      <c r="G811" s="98"/>
      <c r="H811" s="98"/>
    </row>
    <row r="812">
      <c r="D812" s="98"/>
      <c r="E812" s="98"/>
      <c r="F812" s="98"/>
      <c r="G812" s="98"/>
      <c r="H812" s="98"/>
    </row>
    <row r="813">
      <c r="D813" s="98"/>
      <c r="E813" s="98"/>
      <c r="F813" s="98"/>
      <c r="G813" s="98"/>
      <c r="H813" s="98"/>
    </row>
    <row r="814">
      <c r="D814" s="98"/>
      <c r="E814" s="98"/>
      <c r="F814" s="98"/>
      <c r="G814" s="98"/>
      <c r="H814" s="98"/>
    </row>
    <row r="815">
      <c r="D815" s="98"/>
      <c r="E815" s="98"/>
      <c r="F815" s="98"/>
      <c r="G815" s="98"/>
      <c r="H815" s="98"/>
    </row>
    <row r="816">
      <c r="D816" s="98"/>
      <c r="E816" s="98"/>
      <c r="F816" s="98"/>
      <c r="G816" s="98"/>
      <c r="H816" s="98"/>
    </row>
    <row r="817">
      <c r="D817" s="98"/>
      <c r="E817" s="98"/>
      <c r="F817" s="98"/>
      <c r="G817" s="98"/>
      <c r="H817" s="98"/>
    </row>
    <row r="818">
      <c r="D818" s="98"/>
      <c r="E818" s="98"/>
      <c r="F818" s="98"/>
      <c r="G818" s="98"/>
      <c r="H818" s="98"/>
    </row>
    <row r="819">
      <c r="D819" s="98"/>
      <c r="E819" s="98"/>
      <c r="F819" s="98"/>
      <c r="G819" s="98"/>
      <c r="H819" s="98"/>
    </row>
    <row r="820">
      <c r="D820" s="98"/>
      <c r="E820" s="98"/>
      <c r="F820" s="98"/>
      <c r="G820" s="98"/>
      <c r="H820" s="98"/>
    </row>
    <row r="821">
      <c r="D821" s="98"/>
      <c r="E821" s="98"/>
      <c r="F821" s="98"/>
      <c r="G821" s="98"/>
      <c r="H821" s="98"/>
    </row>
    <row r="822">
      <c r="D822" s="98"/>
      <c r="E822" s="98"/>
      <c r="F822" s="98"/>
      <c r="G822" s="98"/>
      <c r="H822" s="98"/>
    </row>
    <row r="823">
      <c r="D823" s="98"/>
      <c r="E823" s="98"/>
      <c r="F823" s="98"/>
      <c r="G823" s="98"/>
      <c r="H823" s="98"/>
    </row>
    <row r="824">
      <c r="D824" s="98"/>
      <c r="E824" s="98"/>
      <c r="F824" s="98"/>
      <c r="G824" s="98"/>
      <c r="H824" s="98"/>
    </row>
    <row r="825">
      <c r="D825" s="98"/>
      <c r="E825" s="98"/>
      <c r="F825" s="98"/>
      <c r="G825" s="98"/>
      <c r="H825" s="98"/>
    </row>
    <row r="826">
      <c r="D826" s="98"/>
      <c r="E826" s="98"/>
      <c r="F826" s="98"/>
      <c r="G826" s="98"/>
      <c r="H826" s="98"/>
    </row>
    <row r="827">
      <c r="D827" s="98"/>
      <c r="E827" s="98"/>
      <c r="F827" s="98"/>
      <c r="G827" s="98"/>
      <c r="H827" s="98"/>
    </row>
    <row r="828">
      <c r="D828" s="98"/>
      <c r="E828" s="98"/>
      <c r="F828" s="98"/>
      <c r="G828" s="98"/>
      <c r="H828" s="98"/>
    </row>
    <row r="829">
      <c r="D829" s="98"/>
      <c r="E829" s="98"/>
      <c r="F829" s="98"/>
      <c r="G829" s="98"/>
      <c r="H829" s="98"/>
    </row>
    <row r="830">
      <c r="D830" s="98"/>
      <c r="E830" s="98"/>
      <c r="F830" s="98"/>
      <c r="G830" s="98"/>
      <c r="H830" s="98"/>
    </row>
    <row r="831">
      <c r="D831" s="98"/>
      <c r="E831" s="98"/>
      <c r="F831" s="98"/>
      <c r="G831" s="98"/>
      <c r="H831" s="98"/>
    </row>
    <row r="832">
      <c r="D832" s="98"/>
      <c r="E832" s="98"/>
      <c r="F832" s="98"/>
      <c r="G832" s="98"/>
      <c r="H832" s="98"/>
    </row>
    <row r="833">
      <c r="D833" s="98"/>
      <c r="E833" s="98"/>
      <c r="F833" s="98"/>
      <c r="G833" s="98"/>
      <c r="H833" s="98"/>
    </row>
    <row r="834">
      <c r="D834" s="98"/>
      <c r="E834" s="98"/>
      <c r="F834" s="98"/>
      <c r="G834" s="98"/>
      <c r="H834" s="98"/>
    </row>
    <row r="835">
      <c r="D835" s="98"/>
      <c r="E835" s="98"/>
      <c r="F835" s="98"/>
      <c r="G835" s="98"/>
      <c r="H835" s="98"/>
    </row>
    <row r="836">
      <c r="D836" s="98"/>
      <c r="E836" s="98"/>
      <c r="F836" s="98"/>
      <c r="G836" s="98"/>
      <c r="H836" s="98"/>
    </row>
    <row r="837">
      <c r="D837" s="98"/>
      <c r="E837" s="98"/>
      <c r="F837" s="98"/>
      <c r="G837" s="98"/>
      <c r="H837" s="98"/>
    </row>
    <row r="838">
      <c r="D838" s="98"/>
      <c r="E838" s="98"/>
      <c r="F838" s="98"/>
      <c r="G838" s="98"/>
      <c r="H838" s="98"/>
    </row>
    <row r="839">
      <c r="D839" s="98"/>
      <c r="E839" s="98"/>
      <c r="F839" s="98"/>
      <c r="G839" s="98"/>
      <c r="H839" s="98"/>
    </row>
    <row r="840">
      <c r="D840" s="98"/>
      <c r="E840" s="98"/>
      <c r="F840" s="98"/>
      <c r="G840" s="98"/>
      <c r="H840" s="98"/>
    </row>
    <row r="841">
      <c r="D841" s="98"/>
      <c r="E841" s="98"/>
      <c r="F841" s="98"/>
      <c r="G841" s="98"/>
      <c r="H841" s="98"/>
    </row>
    <row r="842">
      <c r="D842" s="98"/>
      <c r="E842" s="98"/>
      <c r="F842" s="98"/>
      <c r="G842" s="98"/>
      <c r="H842" s="98"/>
    </row>
    <row r="843">
      <c r="D843" s="98"/>
      <c r="E843" s="98"/>
      <c r="F843" s="98"/>
      <c r="G843" s="98"/>
      <c r="H843" s="98"/>
    </row>
    <row r="844">
      <c r="D844" s="98"/>
      <c r="E844" s="98"/>
      <c r="F844" s="98"/>
      <c r="G844" s="98"/>
      <c r="H844" s="98"/>
    </row>
    <row r="845">
      <c r="D845" s="98"/>
      <c r="E845" s="98"/>
      <c r="F845" s="98"/>
      <c r="G845" s="98"/>
      <c r="H845" s="98"/>
    </row>
    <row r="846">
      <c r="D846" s="98"/>
      <c r="E846" s="98"/>
      <c r="F846" s="98"/>
      <c r="G846" s="98"/>
      <c r="H846" s="98"/>
    </row>
    <row r="847">
      <c r="D847" s="98"/>
      <c r="E847" s="98"/>
      <c r="F847" s="98"/>
      <c r="G847" s="98"/>
      <c r="H847" s="98"/>
    </row>
    <row r="848">
      <c r="D848" s="98"/>
      <c r="E848" s="98"/>
      <c r="F848" s="98"/>
      <c r="G848" s="98"/>
      <c r="H848" s="98"/>
    </row>
    <row r="849">
      <c r="D849" s="98"/>
      <c r="E849" s="98"/>
      <c r="F849" s="98"/>
      <c r="G849" s="98"/>
      <c r="H849" s="98"/>
    </row>
    <row r="850">
      <c r="D850" s="98"/>
      <c r="E850" s="98"/>
      <c r="F850" s="98"/>
      <c r="G850" s="98"/>
      <c r="H850" s="98"/>
    </row>
    <row r="851">
      <c r="D851" s="98"/>
      <c r="E851" s="98"/>
      <c r="F851" s="98"/>
      <c r="G851" s="98"/>
      <c r="H851" s="98"/>
    </row>
    <row r="852">
      <c r="D852" s="98"/>
      <c r="E852" s="98"/>
      <c r="F852" s="98"/>
      <c r="G852" s="98"/>
      <c r="H852" s="98"/>
    </row>
    <row r="853">
      <c r="D853" s="98"/>
      <c r="E853" s="98"/>
      <c r="F853" s="98"/>
      <c r="G853" s="98"/>
      <c r="H853" s="98"/>
    </row>
    <row r="854">
      <c r="D854" s="98"/>
      <c r="E854" s="98"/>
      <c r="F854" s="98"/>
      <c r="G854" s="98"/>
      <c r="H854" s="98"/>
    </row>
    <row r="855">
      <c r="D855" s="98"/>
      <c r="E855" s="98"/>
      <c r="F855" s="98"/>
      <c r="G855" s="98"/>
      <c r="H855" s="98"/>
    </row>
    <row r="856">
      <c r="D856" s="98"/>
      <c r="E856" s="98"/>
      <c r="F856" s="98"/>
      <c r="G856" s="98"/>
      <c r="H856" s="98"/>
    </row>
    <row r="857">
      <c r="D857" s="98"/>
      <c r="E857" s="98"/>
      <c r="F857" s="98"/>
      <c r="G857" s="98"/>
      <c r="H857" s="98"/>
    </row>
    <row r="858">
      <c r="D858" s="98"/>
      <c r="E858" s="98"/>
      <c r="F858" s="98"/>
      <c r="G858" s="98"/>
      <c r="H858" s="98"/>
    </row>
    <row r="859">
      <c r="D859" s="98"/>
      <c r="E859" s="98"/>
      <c r="F859" s="98"/>
      <c r="G859" s="98"/>
      <c r="H859" s="98"/>
    </row>
    <row r="860">
      <c r="D860" s="98"/>
      <c r="E860" s="98"/>
      <c r="F860" s="98"/>
      <c r="G860" s="98"/>
      <c r="H860" s="98"/>
    </row>
    <row r="861">
      <c r="D861" s="98"/>
      <c r="E861" s="98"/>
      <c r="F861" s="98"/>
      <c r="G861" s="98"/>
      <c r="H861" s="98"/>
    </row>
    <row r="862">
      <c r="D862" s="98"/>
      <c r="E862" s="98"/>
      <c r="F862" s="98"/>
      <c r="G862" s="98"/>
      <c r="H862" s="98"/>
    </row>
    <row r="863">
      <c r="D863" s="98"/>
      <c r="E863" s="98"/>
      <c r="F863" s="98"/>
      <c r="G863" s="98"/>
      <c r="H863" s="98"/>
    </row>
    <row r="864">
      <c r="D864" s="98"/>
      <c r="E864" s="98"/>
      <c r="F864" s="98"/>
      <c r="G864" s="98"/>
      <c r="H864" s="98"/>
    </row>
    <row r="865">
      <c r="D865" s="98"/>
      <c r="E865" s="98"/>
      <c r="F865" s="98"/>
      <c r="G865" s="98"/>
      <c r="H865" s="98"/>
    </row>
    <row r="866">
      <c r="D866" s="98"/>
      <c r="E866" s="98"/>
      <c r="F866" s="98"/>
      <c r="G866" s="98"/>
      <c r="H866" s="98"/>
    </row>
    <row r="867">
      <c r="D867" s="98"/>
      <c r="E867" s="98"/>
      <c r="F867" s="98"/>
      <c r="G867" s="98"/>
      <c r="H867" s="98"/>
    </row>
    <row r="868">
      <c r="D868" s="98"/>
      <c r="E868" s="98"/>
      <c r="F868" s="98"/>
      <c r="G868" s="98"/>
      <c r="H868" s="98"/>
    </row>
    <row r="869">
      <c r="D869" s="98"/>
      <c r="E869" s="98"/>
      <c r="F869" s="98"/>
      <c r="G869" s="98"/>
      <c r="H869" s="98"/>
    </row>
    <row r="870">
      <c r="D870" s="98"/>
      <c r="E870" s="98"/>
      <c r="F870" s="98"/>
      <c r="G870" s="98"/>
      <c r="H870" s="98"/>
    </row>
    <row r="871">
      <c r="D871" s="98"/>
      <c r="E871" s="98"/>
      <c r="F871" s="98"/>
      <c r="G871" s="98"/>
      <c r="H871" s="98"/>
    </row>
    <row r="872">
      <c r="D872" s="98"/>
      <c r="E872" s="98"/>
      <c r="F872" s="98"/>
      <c r="G872" s="98"/>
      <c r="H872" s="98"/>
    </row>
    <row r="873">
      <c r="D873" s="98"/>
      <c r="E873" s="98"/>
      <c r="F873" s="98"/>
      <c r="G873" s="98"/>
      <c r="H873" s="98"/>
    </row>
    <row r="874">
      <c r="D874" s="98"/>
      <c r="E874" s="98"/>
      <c r="F874" s="98"/>
      <c r="G874" s="98"/>
      <c r="H874" s="98"/>
    </row>
    <row r="875">
      <c r="D875" s="98"/>
      <c r="E875" s="98"/>
      <c r="F875" s="98"/>
      <c r="G875" s="98"/>
      <c r="H875" s="98"/>
    </row>
    <row r="876">
      <c r="D876" s="98"/>
      <c r="E876" s="98"/>
      <c r="F876" s="98"/>
      <c r="G876" s="98"/>
      <c r="H876" s="98"/>
    </row>
    <row r="877">
      <c r="D877" s="98"/>
      <c r="E877" s="98"/>
      <c r="F877" s="98"/>
      <c r="G877" s="98"/>
      <c r="H877" s="98"/>
    </row>
    <row r="878">
      <c r="D878" s="98"/>
      <c r="E878" s="98"/>
      <c r="F878" s="98"/>
      <c r="G878" s="98"/>
      <c r="H878" s="98"/>
    </row>
    <row r="879">
      <c r="D879" s="98"/>
      <c r="E879" s="98"/>
      <c r="F879" s="98"/>
      <c r="G879" s="98"/>
      <c r="H879" s="98"/>
    </row>
    <row r="880">
      <c r="D880" s="98"/>
      <c r="E880" s="98"/>
      <c r="F880" s="98"/>
      <c r="G880" s="98"/>
      <c r="H880" s="98"/>
    </row>
    <row r="881">
      <c r="D881" s="98"/>
      <c r="E881" s="98"/>
      <c r="F881" s="98"/>
      <c r="G881" s="98"/>
      <c r="H881" s="98"/>
    </row>
    <row r="882">
      <c r="D882" s="98"/>
      <c r="E882" s="98"/>
      <c r="F882" s="98"/>
      <c r="G882" s="98"/>
      <c r="H882" s="98"/>
    </row>
    <row r="883">
      <c r="D883" s="98"/>
      <c r="E883" s="98"/>
      <c r="F883" s="98"/>
      <c r="G883" s="98"/>
      <c r="H883" s="98"/>
    </row>
    <row r="884">
      <c r="D884" s="98"/>
      <c r="E884" s="98"/>
      <c r="F884" s="98"/>
      <c r="G884" s="98"/>
      <c r="H884" s="98"/>
    </row>
    <row r="885">
      <c r="D885" s="98"/>
      <c r="E885" s="98"/>
      <c r="F885" s="98"/>
      <c r="G885" s="98"/>
      <c r="H885" s="98"/>
    </row>
    <row r="886">
      <c r="D886" s="98"/>
      <c r="E886" s="98"/>
      <c r="F886" s="98"/>
      <c r="G886" s="98"/>
      <c r="H886" s="98"/>
    </row>
    <row r="887">
      <c r="D887" s="98"/>
      <c r="E887" s="98"/>
      <c r="F887" s="98"/>
      <c r="G887" s="98"/>
      <c r="H887" s="98"/>
    </row>
    <row r="888">
      <c r="D888" s="98"/>
      <c r="E888" s="98"/>
      <c r="F888" s="98"/>
      <c r="G888" s="98"/>
      <c r="H888" s="98"/>
    </row>
    <row r="889">
      <c r="D889" s="98"/>
      <c r="E889" s="98"/>
      <c r="F889" s="98"/>
      <c r="G889" s="98"/>
      <c r="H889" s="98"/>
    </row>
    <row r="890">
      <c r="D890" s="98"/>
      <c r="E890" s="98"/>
      <c r="F890" s="98"/>
      <c r="G890" s="98"/>
      <c r="H890" s="98"/>
    </row>
    <row r="891">
      <c r="D891" s="98"/>
      <c r="E891" s="98"/>
      <c r="F891" s="98"/>
      <c r="G891" s="98"/>
      <c r="H891" s="98"/>
    </row>
    <row r="892">
      <c r="D892" s="98"/>
      <c r="E892" s="98"/>
      <c r="F892" s="98"/>
      <c r="G892" s="98"/>
      <c r="H892" s="98"/>
    </row>
    <row r="893">
      <c r="D893" s="98"/>
      <c r="E893" s="98"/>
      <c r="F893" s="98"/>
      <c r="G893" s="98"/>
      <c r="H893" s="98"/>
    </row>
    <row r="894">
      <c r="D894" s="98"/>
      <c r="E894" s="98"/>
      <c r="F894" s="98"/>
      <c r="G894" s="98"/>
      <c r="H894" s="98"/>
    </row>
    <row r="895">
      <c r="D895" s="98"/>
      <c r="E895" s="98"/>
      <c r="F895" s="98"/>
      <c r="G895" s="98"/>
      <c r="H895" s="98"/>
    </row>
    <row r="896">
      <c r="D896" s="98"/>
      <c r="E896" s="98"/>
      <c r="F896" s="98"/>
      <c r="G896" s="98"/>
      <c r="H896" s="98"/>
    </row>
    <row r="897">
      <c r="D897" s="98"/>
      <c r="E897" s="98"/>
      <c r="F897" s="98"/>
      <c r="G897" s="98"/>
      <c r="H897" s="98"/>
    </row>
    <row r="898">
      <c r="D898" s="98"/>
      <c r="E898" s="98"/>
      <c r="F898" s="98"/>
      <c r="G898" s="98"/>
      <c r="H898" s="98"/>
    </row>
    <row r="899">
      <c r="D899" s="98"/>
      <c r="E899" s="98"/>
      <c r="F899" s="98"/>
      <c r="G899" s="98"/>
      <c r="H899" s="98"/>
    </row>
    <row r="900">
      <c r="D900" s="98"/>
      <c r="E900" s="98"/>
      <c r="F900" s="98"/>
      <c r="G900" s="98"/>
      <c r="H900" s="98"/>
    </row>
    <row r="901">
      <c r="D901" s="98"/>
      <c r="E901" s="98"/>
      <c r="F901" s="98"/>
      <c r="G901" s="98"/>
      <c r="H901" s="98"/>
    </row>
    <row r="902">
      <c r="D902" s="98"/>
      <c r="E902" s="98"/>
      <c r="F902" s="98"/>
      <c r="G902" s="98"/>
      <c r="H902" s="98"/>
    </row>
    <row r="903">
      <c r="D903" s="98"/>
      <c r="E903" s="98"/>
      <c r="F903" s="98"/>
      <c r="G903" s="98"/>
      <c r="H903" s="98"/>
    </row>
    <row r="904">
      <c r="D904" s="98"/>
      <c r="E904" s="98"/>
      <c r="F904" s="98"/>
      <c r="G904" s="98"/>
      <c r="H904" s="98"/>
    </row>
    <row r="905">
      <c r="D905" s="98"/>
      <c r="E905" s="98"/>
      <c r="F905" s="98"/>
      <c r="G905" s="98"/>
      <c r="H905" s="98"/>
    </row>
    <row r="906">
      <c r="D906" s="98"/>
      <c r="E906" s="98"/>
      <c r="F906" s="98"/>
      <c r="G906" s="98"/>
      <c r="H906" s="98"/>
    </row>
    <row r="907">
      <c r="D907" s="98"/>
      <c r="E907" s="98"/>
      <c r="F907" s="98"/>
      <c r="G907" s="98"/>
      <c r="H907" s="98"/>
    </row>
    <row r="908">
      <c r="D908" s="98"/>
      <c r="E908" s="98"/>
      <c r="F908" s="98"/>
      <c r="G908" s="98"/>
      <c r="H908" s="98"/>
    </row>
    <row r="909">
      <c r="D909" s="98"/>
      <c r="E909" s="98"/>
      <c r="F909" s="98"/>
      <c r="G909" s="98"/>
      <c r="H909" s="98"/>
    </row>
    <row r="910">
      <c r="D910" s="98"/>
      <c r="E910" s="98"/>
      <c r="F910" s="98"/>
      <c r="G910" s="98"/>
      <c r="H910" s="98"/>
    </row>
    <row r="911">
      <c r="D911" s="98"/>
      <c r="E911" s="98"/>
      <c r="F911" s="98"/>
      <c r="G911" s="98"/>
      <c r="H911" s="98"/>
    </row>
    <row r="912">
      <c r="D912" s="98"/>
      <c r="E912" s="98"/>
      <c r="F912" s="98"/>
      <c r="G912" s="98"/>
      <c r="H912" s="98"/>
    </row>
    <row r="913">
      <c r="D913" s="98"/>
      <c r="E913" s="98"/>
      <c r="F913" s="98"/>
      <c r="G913" s="98"/>
      <c r="H913" s="98"/>
    </row>
    <row r="914">
      <c r="D914" s="98"/>
      <c r="E914" s="98"/>
      <c r="F914" s="98"/>
      <c r="G914" s="98"/>
      <c r="H914" s="98"/>
    </row>
    <row r="915">
      <c r="D915" s="98"/>
      <c r="E915" s="98"/>
      <c r="F915" s="98"/>
      <c r="G915" s="98"/>
      <c r="H915" s="98"/>
    </row>
    <row r="916">
      <c r="D916" s="98"/>
      <c r="E916" s="98"/>
      <c r="F916" s="98"/>
      <c r="G916" s="98"/>
      <c r="H916" s="98"/>
    </row>
    <row r="917">
      <c r="D917" s="98"/>
      <c r="E917" s="98"/>
      <c r="F917" s="98"/>
      <c r="G917" s="98"/>
      <c r="H917" s="98"/>
    </row>
    <row r="918">
      <c r="D918" s="98"/>
      <c r="E918" s="98"/>
      <c r="F918" s="98"/>
      <c r="G918" s="98"/>
      <c r="H918" s="98"/>
    </row>
    <row r="919">
      <c r="D919" s="98"/>
      <c r="E919" s="98"/>
      <c r="F919" s="98"/>
      <c r="G919" s="98"/>
      <c r="H919" s="98"/>
    </row>
    <row r="920">
      <c r="D920" s="98"/>
      <c r="E920" s="98"/>
      <c r="F920" s="98"/>
      <c r="G920" s="98"/>
      <c r="H920" s="98"/>
    </row>
    <row r="921">
      <c r="D921" s="98"/>
      <c r="E921" s="98"/>
      <c r="F921" s="98"/>
      <c r="G921" s="98"/>
      <c r="H921" s="98"/>
    </row>
    <row r="922">
      <c r="D922" s="98"/>
      <c r="E922" s="98"/>
      <c r="F922" s="98"/>
      <c r="G922" s="98"/>
      <c r="H922" s="98"/>
    </row>
    <row r="923">
      <c r="D923" s="98"/>
      <c r="E923" s="98"/>
      <c r="F923" s="98"/>
      <c r="G923" s="98"/>
      <c r="H923" s="98"/>
    </row>
    <row r="924">
      <c r="D924" s="98"/>
      <c r="E924" s="98"/>
      <c r="F924" s="98"/>
      <c r="G924" s="98"/>
      <c r="H924" s="98"/>
    </row>
    <row r="925">
      <c r="D925" s="98"/>
      <c r="E925" s="98"/>
      <c r="F925" s="98"/>
      <c r="G925" s="98"/>
      <c r="H925" s="98"/>
    </row>
    <row r="926">
      <c r="D926" s="98"/>
      <c r="E926" s="98"/>
      <c r="F926" s="98"/>
      <c r="G926" s="98"/>
      <c r="H926" s="98"/>
    </row>
    <row r="927">
      <c r="D927" s="98"/>
      <c r="E927" s="98"/>
      <c r="F927" s="98"/>
      <c r="G927" s="98"/>
      <c r="H927" s="98"/>
    </row>
    <row r="928">
      <c r="D928" s="98"/>
      <c r="E928" s="98"/>
      <c r="F928" s="98"/>
      <c r="G928" s="98"/>
      <c r="H928" s="98"/>
    </row>
    <row r="929">
      <c r="D929" s="98"/>
      <c r="E929" s="98"/>
      <c r="F929" s="98"/>
      <c r="G929" s="98"/>
      <c r="H929" s="98"/>
    </row>
    <row r="930">
      <c r="D930" s="98"/>
      <c r="E930" s="98"/>
      <c r="F930" s="98"/>
      <c r="G930" s="98"/>
      <c r="H930" s="98"/>
    </row>
    <row r="931">
      <c r="D931" s="98"/>
      <c r="E931" s="98"/>
      <c r="F931" s="98"/>
      <c r="G931" s="98"/>
      <c r="H931" s="98"/>
    </row>
    <row r="932">
      <c r="D932" s="98"/>
      <c r="E932" s="98"/>
      <c r="F932" s="98"/>
      <c r="G932" s="98"/>
      <c r="H932" s="98"/>
    </row>
    <row r="933">
      <c r="D933" s="98"/>
      <c r="E933" s="98"/>
      <c r="F933" s="98"/>
      <c r="G933" s="98"/>
      <c r="H933" s="98"/>
    </row>
    <row r="934">
      <c r="D934" s="98"/>
      <c r="E934" s="98"/>
      <c r="F934" s="98"/>
      <c r="G934" s="98"/>
      <c r="H934" s="98"/>
    </row>
    <row r="935">
      <c r="D935" s="98"/>
      <c r="E935" s="98"/>
      <c r="F935" s="98"/>
      <c r="G935" s="98"/>
      <c r="H935" s="98"/>
    </row>
    <row r="936">
      <c r="D936" s="98"/>
      <c r="E936" s="98"/>
      <c r="F936" s="98"/>
      <c r="G936" s="98"/>
      <c r="H936" s="98"/>
    </row>
    <row r="937">
      <c r="D937" s="98"/>
      <c r="E937" s="98"/>
      <c r="F937" s="98"/>
      <c r="G937" s="98"/>
      <c r="H937" s="98"/>
    </row>
    <row r="938">
      <c r="D938" s="98"/>
      <c r="E938" s="98"/>
      <c r="F938" s="98"/>
      <c r="G938" s="98"/>
      <c r="H938" s="98"/>
    </row>
    <row r="939">
      <c r="D939" s="98"/>
      <c r="E939" s="98"/>
      <c r="F939" s="98"/>
      <c r="G939" s="98"/>
      <c r="H939" s="98"/>
    </row>
    <row r="940">
      <c r="D940" s="98"/>
      <c r="E940" s="98"/>
      <c r="F940" s="98"/>
      <c r="G940" s="98"/>
      <c r="H940" s="98"/>
    </row>
    <row r="941">
      <c r="D941" s="98"/>
      <c r="E941" s="98"/>
      <c r="F941" s="98"/>
      <c r="G941" s="98"/>
      <c r="H941" s="98"/>
    </row>
    <row r="942">
      <c r="D942" s="98"/>
      <c r="E942" s="98"/>
      <c r="F942" s="98"/>
      <c r="G942" s="98"/>
      <c r="H942" s="98"/>
    </row>
    <row r="943">
      <c r="D943" s="98"/>
      <c r="E943" s="98"/>
      <c r="F943" s="98"/>
      <c r="G943" s="98"/>
      <c r="H943" s="98"/>
    </row>
    <row r="944">
      <c r="D944" s="98"/>
      <c r="E944" s="98"/>
      <c r="F944" s="98"/>
      <c r="G944" s="98"/>
      <c r="H944" s="98"/>
    </row>
    <row r="945">
      <c r="D945" s="98"/>
      <c r="E945" s="98"/>
      <c r="F945" s="98"/>
      <c r="G945" s="98"/>
      <c r="H945" s="98"/>
    </row>
    <row r="946">
      <c r="D946" s="98"/>
      <c r="E946" s="98"/>
      <c r="F946" s="98"/>
      <c r="G946" s="98"/>
      <c r="H946" s="98"/>
    </row>
    <row r="947">
      <c r="D947" s="98"/>
      <c r="E947" s="98"/>
      <c r="F947" s="98"/>
      <c r="G947" s="98"/>
      <c r="H947" s="98"/>
    </row>
    <row r="948">
      <c r="D948" s="98"/>
      <c r="E948" s="98"/>
      <c r="F948" s="98"/>
      <c r="G948" s="98"/>
      <c r="H948" s="98"/>
    </row>
    <row r="949">
      <c r="D949" s="98"/>
      <c r="E949" s="98"/>
      <c r="F949" s="98"/>
      <c r="G949" s="98"/>
      <c r="H949" s="98"/>
    </row>
    <row r="950">
      <c r="D950" s="98"/>
      <c r="E950" s="98"/>
      <c r="F950" s="98"/>
      <c r="G950" s="98"/>
      <c r="H950" s="98"/>
    </row>
    <row r="951">
      <c r="D951" s="98"/>
      <c r="E951" s="98"/>
      <c r="F951" s="98"/>
      <c r="G951" s="98"/>
      <c r="H951" s="98"/>
    </row>
    <row r="952">
      <c r="D952" s="98"/>
      <c r="E952" s="98"/>
      <c r="F952" s="98"/>
      <c r="G952" s="98"/>
      <c r="H952" s="98"/>
    </row>
    <row r="953">
      <c r="D953" s="98"/>
      <c r="E953" s="98"/>
      <c r="F953" s="98"/>
      <c r="G953" s="98"/>
      <c r="H953" s="98"/>
    </row>
    <row r="954">
      <c r="D954" s="98"/>
      <c r="E954" s="98"/>
      <c r="F954" s="98"/>
      <c r="G954" s="98"/>
      <c r="H954" s="98"/>
    </row>
    <row r="955">
      <c r="D955" s="98"/>
      <c r="E955" s="98"/>
      <c r="F955" s="98"/>
      <c r="G955" s="98"/>
      <c r="H955" s="98"/>
    </row>
    <row r="956">
      <c r="D956" s="98"/>
      <c r="E956" s="98"/>
      <c r="F956" s="98"/>
      <c r="G956" s="98"/>
      <c r="H956" s="98"/>
    </row>
    <row r="957">
      <c r="D957" s="98"/>
      <c r="E957" s="98"/>
      <c r="F957" s="98"/>
      <c r="G957" s="98"/>
      <c r="H957" s="98"/>
    </row>
    <row r="958">
      <c r="D958" s="98"/>
      <c r="E958" s="98"/>
      <c r="F958" s="98"/>
      <c r="G958" s="98"/>
      <c r="H958" s="98"/>
    </row>
    <row r="959">
      <c r="D959" s="98"/>
      <c r="E959" s="98"/>
      <c r="F959" s="98"/>
      <c r="G959" s="98"/>
      <c r="H959" s="98"/>
    </row>
    <row r="960">
      <c r="D960" s="98"/>
      <c r="E960" s="98"/>
      <c r="F960" s="98"/>
      <c r="G960" s="98"/>
      <c r="H960" s="98"/>
    </row>
    <row r="961">
      <c r="D961" s="98"/>
      <c r="E961" s="98"/>
      <c r="F961" s="98"/>
      <c r="G961" s="98"/>
      <c r="H961" s="98"/>
    </row>
    <row r="962">
      <c r="D962" s="98"/>
      <c r="E962" s="98"/>
      <c r="F962" s="98"/>
      <c r="G962" s="98"/>
      <c r="H962" s="98"/>
    </row>
    <row r="963">
      <c r="D963" s="98"/>
      <c r="E963" s="98"/>
      <c r="F963" s="98"/>
      <c r="G963" s="98"/>
      <c r="H963" s="98"/>
    </row>
    <row r="964">
      <c r="D964" s="98"/>
      <c r="E964" s="98"/>
      <c r="F964" s="98"/>
      <c r="G964" s="98"/>
      <c r="H964" s="98"/>
    </row>
    <row r="965">
      <c r="D965" s="98"/>
      <c r="E965" s="98"/>
      <c r="F965" s="98"/>
      <c r="G965" s="98"/>
      <c r="H965" s="98"/>
    </row>
    <row r="966">
      <c r="D966" s="98"/>
      <c r="E966" s="98"/>
      <c r="F966" s="98"/>
      <c r="G966" s="98"/>
      <c r="H966" s="98"/>
    </row>
    <row r="967">
      <c r="D967" s="98"/>
      <c r="E967" s="98"/>
      <c r="F967" s="98"/>
      <c r="G967" s="98"/>
      <c r="H967" s="98"/>
    </row>
    <row r="968">
      <c r="D968" s="98"/>
      <c r="E968" s="98"/>
      <c r="F968" s="98"/>
      <c r="G968" s="98"/>
      <c r="H968" s="98"/>
    </row>
    <row r="969">
      <c r="D969" s="98"/>
      <c r="E969" s="98"/>
      <c r="F969" s="98"/>
      <c r="G969" s="98"/>
      <c r="H969" s="98"/>
    </row>
    <row r="970">
      <c r="D970" s="98"/>
      <c r="E970" s="98"/>
      <c r="F970" s="98"/>
      <c r="G970" s="98"/>
      <c r="H970" s="98"/>
    </row>
    <row r="971">
      <c r="D971" s="98"/>
      <c r="E971" s="98"/>
      <c r="F971" s="98"/>
      <c r="G971" s="98"/>
      <c r="H971" s="98"/>
    </row>
    <row r="972">
      <c r="D972" s="98"/>
      <c r="E972" s="98"/>
      <c r="F972" s="98"/>
      <c r="G972" s="98"/>
      <c r="H972" s="98"/>
    </row>
    <row r="973">
      <c r="D973" s="98"/>
      <c r="E973" s="98"/>
      <c r="F973" s="98"/>
      <c r="G973" s="98"/>
      <c r="H973" s="98"/>
    </row>
    <row r="974">
      <c r="D974" s="98"/>
      <c r="E974" s="98"/>
      <c r="F974" s="98"/>
      <c r="G974" s="98"/>
      <c r="H974" s="98"/>
    </row>
    <row r="975">
      <c r="D975" s="98"/>
      <c r="E975" s="98"/>
      <c r="F975" s="98"/>
      <c r="G975" s="98"/>
      <c r="H975" s="98"/>
    </row>
    <row r="976">
      <c r="D976" s="98"/>
      <c r="E976" s="98"/>
      <c r="F976" s="98"/>
      <c r="G976" s="98"/>
      <c r="H976" s="98"/>
    </row>
    <row r="977">
      <c r="D977" s="98"/>
      <c r="E977" s="98"/>
      <c r="F977" s="98"/>
      <c r="G977" s="98"/>
      <c r="H977" s="98"/>
    </row>
    <row r="978">
      <c r="D978" s="98"/>
      <c r="E978" s="98"/>
      <c r="F978" s="98"/>
      <c r="G978" s="98"/>
      <c r="H978" s="98"/>
    </row>
    <row r="979">
      <c r="D979" s="98"/>
      <c r="E979" s="98"/>
      <c r="F979" s="98"/>
      <c r="G979" s="98"/>
      <c r="H979" s="98"/>
    </row>
    <row r="980">
      <c r="D980" s="98"/>
      <c r="E980" s="98"/>
      <c r="F980" s="98"/>
      <c r="G980" s="98"/>
      <c r="H980" s="98"/>
    </row>
    <row r="981">
      <c r="D981" s="98"/>
      <c r="E981" s="98"/>
      <c r="F981" s="98"/>
      <c r="G981" s="98"/>
      <c r="H981" s="98"/>
    </row>
    <row r="982">
      <c r="D982" s="98"/>
      <c r="E982" s="98"/>
      <c r="F982" s="98"/>
      <c r="G982" s="98"/>
      <c r="H982" s="98"/>
    </row>
    <row r="983">
      <c r="D983" s="98"/>
      <c r="E983" s="98"/>
      <c r="F983" s="98"/>
      <c r="G983" s="98"/>
      <c r="H983" s="98"/>
    </row>
    <row r="984">
      <c r="D984" s="98"/>
      <c r="E984" s="98"/>
      <c r="F984" s="98"/>
      <c r="G984" s="98"/>
      <c r="H984" s="98"/>
    </row>
    <row r="985">
      <c r="D985" s="98"/>
      <c r="E985" s="98"/>
      <c r="F985" s="98"/>
      <c r="G985" s="98"/>
      <c r="H985" s="98"/>
    </row>
    <row r="986">
      <c r="D986" s="98"/>
      <c r="E986" s="98"/>
      <c r="F986" s="98"/>
      <c r="G986" s="98"/>
      <c r="H986" s="98"/>
    </row>
    <row r="987">
      <c r="D987" s="98"/>
      <c r="E987" s="98"/>
      <c r="F987" s="98"/>
      <c r="G987" s="98"/>
      <c r="H987" s="98"/>
    </row>
    <row r="988">
      <c r="D988" s="98"/>
      <c r="E988" s="98"/>
      <c r="F988" s="98"/>
      <c r="G988" s="98"/>
      <c r="H988" s="98"/>
    </row>
    <row r="989">
      <c r="D989" s="98"/>
      <c r="E989" s="98"/>
      <c r="F989" s="98"/>
      <c r="G989" s="98"/>
      <c r="H989" s="98"/>
    </row>
    <row r="990">
      <c r="D990" s="98"/>
      <c r="E990" s="98"/>
      <c r="F990" s="98"/>
      <c r="G990" s="98"/>
      <c r="H990" s="98"/>
    </row>
    <row r="991">
      <c r="D991" s="98"/>
      <c r="E991" s="98"/>
      <c r="F991" s="98"/>
      <c r="G991" s="98"/>
      <c r="H991" s="98"/>
    </row>
    <row r="992">
      <c r="D992" s="98"/>
      <c r="E992" s="98"/>
      <c r="F992" s="98"/>
      <c r="G992" s="98"/>
      <c r="H992" s="98"/>
    </row>
    <row r="993">
      <c r="D993" s="98"/>
      <c r="E993" s="98"/>
      <c r="F993" s="98"/>
      <c r="G993" s="98"/>
      <c r="H993" s="98"/>
    </row>
    <row r="994">
      <c r="D994" s="98"/>
      <c r="E994" s="98"/>
      <c r="F994" s="98"/>
      <c r="G994" s="98"/>
      <c r="H994" s="98"/>
    </row>
    <row r="995">
      <c r="D995" s="98"/>
      <c r="E995" s="98"/>
      <c r="F995" s="98"/>
      <c r="G995" s="98"/>
      <c r="H995" s="98"/>
    </row>
    <row r="996">
      <c r="D996" s="98"/>
      <c r="E996" s="98"/>
      <c r="F996" s="98"/>
      <c r="G996" s="98"/>
      <c r="H996" s="98"/>
    </row>
    <row r="997">
      <c r="D997" s="98"/>
      <c r="E997" s="98"/>
      <c r="F997" s="98"/>
      <c r="G997" s="98"/>
      <c r="H997" s="98"/>
    </row>
    <row r="998">
      <c r="D998" s="98"/>
      <c r="E998" s="98"/>
      <c r="F998" s="98"/>
      <c r="G998" s="98"/>
      <c r="H998" s="98"/>
    </row>
    <row r="999">
      <c r="D999" s="98"/>
      <c r="E999" s="98"/>
      <c r="F999" s="98"/>
      <c r="G999" s="98"/>
      <c r="H999" s="98"/>
    </row>
    <row r="1000">
      <c r="D1000" s="98"/>
      <c r="E1000" s="98"/>
      <c r="F1000" s="98"/>
      <c r="G1000" s="98"/>
      <c r="H1000" s="98"/>
    </row>
  </sheetData>
  <mergeCells count="1">
    <mergeCell ref="E1:H1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254</v>
      </c>
      <c r="D1" s="76"/>
      <c r="E1" s="77" t="s">
        <v>255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113</v>
      </c>
      <c r="E4" s="83">
        <v>298.4692</v>
      </c>
      <c r="F4" s="84">
        <v>301.0</v>
      </c>
      <c r="G4" s="84">
        <v>276.4</v>
      </c>
      <c r="H4" s="84">
        <v>22.06923</v>
      </c>
    </row>
    <row r="5">
      <c r="D5" s="76"/>
      <c r="E5" s="83">
        <v>297.9827</v>
      </c>
      <c r="F5" s="84">
        <v>775.0</v>
      </c>
      <c r="G5" s="84">
        <v>276.7</v>
      </c>
      <c r="H5" s="84">
        <v>21.2827</v>
      </c>
    </row>
    <row r="6">
      <c r="D6" s="76"/>
      <c r="E6" s="83">
        <v>298.1528</v>
      </c>
      <c r="F6" s="84">
        <v>1250.0</v>
      </c>
      <c r="G6" s="84">
        <v>276.1</v>
      </c>
      <c r="H6" s="84">
        <v>22.05282</v>
      </c>
    </row>
    <row r="7">
      <c r="D7" s="76"/>
      <c r="E7" s="83">
        <v>298.9792</v>
      </c>
      <c r="F7" s="84">
        <v>1722.0</v>
      </c>
      <c r="G7" s="84">
        <v>276.1</v>
      </c>
      <c r="H7" s="84">
        <v>22.87923</v>
      </c>
    </row>
    <row r="8">
      <c r="D8" s="76"/>
      <c r="E8" s="83">
        <v>302.495</v>
      </c>
      <c r="F8" s="84">
        <v>2196.0</v>
      </c>
      <c r="G8" s="84">
        <v>278.5</v>
      </c>
      <c r="H8" s="84">
        <v>23.99501</v>
      </c>
    </row>
    <row r="9">
      <c r="D9" s="76"/>
      <c r="E9" s="83">
        <v>306.5291</v>
      </c>
      <c r="F9" s="84">
        <v>2669.0</v>
      </c>
      <c r="G9" s="84">
        <v>281.6</v>
      </c>
      <c r="H9" s="84">
        <v>24.92912</v>
      </c>
    </row>
    <row r="10">
      <c r="D10" s="76"/>
      <c r="E10" s="24">
        <v>309.68</v>
      </c>
      <c r="F10" s="25">
        <v>3142.0</v>
      </c>
      <c r="G10" s="25">
        <v>283.2</v>
      </c>
      <c r="H10" s="25">
        <v>26.48</v>
      </c>
    </row>
    <row r="11">
      <c r="D11" s="82" t="s">
        <v>107</v>
      </c>
      <c r="E11" s="24">
        <v>312.8239</v>
      </c>
      <c r="F11" s="25">
        <v>3616.0</v>
      </c>
      <c r="G11" s="25">
        <v>285.7</v>
      </c>
      <c r="H11" s="25">
        <v>27.12392</v>
      </c>
    </row>
    <row r="12">
      <c r="D12" s="76"/>
      <c r="E12" s="24">
        <v>313.8426</v>
      </c>
      <c r="F12" s="25">
        <v>4089.0</v>
      </c>
      <c r="G12" s="25">
        <v>298.6</v>
      </c>
      <c r="H12" s="25">
        <v>15.24256</v>
      </c>
    </row>
    <row r="13">
      <c r="D13" s="76"/>
      <c r="E13" s="83">
        <v>314.987</v>
      </c>
      <c r="F13" s="84">
        <v>4563.0</v>
      </c>
      <c r="G13" s="84">
        <v>302.4</v>
      </c>
      <c r="H13" s="84">
        <v>12.58697</v>
      </c>
    </row>
    <row r="14">
      <c r="D14" s="76"/>
      <c r="E14" s="83">
        <v>317.7087</v>
      </c>
      <c r="F14" s="84">
        <v>5035.0</v>
      </c>
      <c r="G14" s="84">
        <v>305.0</v>
      </c>
      <c r="H14" s="84">
        <v>12.70869</v>
      </c>
    </row>
    <row r="15">
      <c r="D15" s="76"/>
      <c r="E15" s="83">
        <v>318.2186</v>
      </c>
      <c r="F15" s="84">
        <v>5509.0</v>
      </c>
      <c r="G15" s="84">
        <v>305.9</v>
      </c>
      <c r="H15" s="84">
        <v>12.31856</v>
      </c>
    </row>
    <row r="16">
      <c r="D16" s="76"/>
      <c r="E16" s="83">
        <v>315.9214</v>
      </c>
      <c r="F16" s="84">
        <v>5981.0</v>
      </c>
      <c r="G16" s="84">
        <v>304.3</v>
      </c>
      <c r="H16" s="84">
        <v>11.62142</v>
      </c>
    </row>
    <row r="17">
      <c r="D17" s="76"/>
      <c r="E17" s="83">
        <v>316.5114</v>
      </c>
      <c r="F17" s="84">
        <v>6456.0</v>
      </c>
      <c r="G17" s="84">
        <v>305.1</v>
      </c>
      <c r="H17" s="84">
        <v>11.41144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31" t="s">
        <v>256</v>
      </c>
      <c r="D1" s="76"/>
      <c r="E1" s="77" t="s">
        <v>257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79" t="s">
        <v>11</v>
      </c>
      <c r="G3" s="79" t="s">
        <v>12</v>
      </c>
      <c r="H3" s="147" t="s">
        <v>85</v>
      </c>
    </row>
    <row r="4">
      <c r="A4" s="96" t="s">
        <v>118</v>
      </c>
      <c r="D4" s="82" t="s">
        <v>95</v>
      </c>
      <c r="E4" s="148">
        <v>298.8908</v>
      </c>
      <c r="F4" s="148">
        <v>393.0</v>
      </c>
      <c r="G4" s="148">
        <v>290.6</v>
      </c>
      <c r="H4" s="148">
        <v>8.29078</v>
      </c>
      <c r="I4" s="110">
        <f>AVERAGE(H4:H9)</f>
        <v>8.444903333</v>
      </c>
    </row>
    <row r="5">
      <c r="D5" s="76"/>
      <c r="E5" s="148">
        <v>298.6836</v>
      </c>
      <c r="F5" s="148">
        <v>866.0</v>
      </c>
      <c r="G5" s="148">
        <v>290.43</v>
      </c>
      <c r="H5" s="148">
        <v>8.25365</v>
      </c>
      <c r="I5" s="76"/>
    </row>
    <row r="6">
      <c r="D6" s="76"/>
      <c r="E6" s="148">
        <v>298.6699</v>
      </c>
      <c r="F6" s="148">
        <v>1339.0</v>
      </c>
      <c r="G6" s="148">
        <v>290.27</v>
      </c>
      <c r="H6" s="148">
        <v>8.39988</v>
      </c>
      <c r="I6" s="76"/>
    </row>
    <row r="7">
      <c r="D7" s="76"/>
      <c r="E7" s="148">
        <v>298.6696</v>
      </c>
      <c r="F7" s="148">
        <v>1814.0</v>
      </c>
      <c r="G7" s="148">
        <v>290.16</v>
      </c>
      <c r="H7" s="148">
        <v>8.5096</v>
      </c>
      <c r="I7" s="76"/>
    </row>
    <row r="8">
      <c r="D8" s="76"/>
      <c r="E8" s="148">
        <v>298.3742</v>
      </c>
      <c r="F8" s="148">
        <v>2289.0</v>
      </c>
      <c r="G8" s="148">
        <v>289.58</v>
      </c>
      <c r="H8" s="148">
        <v>8.79421</v>
      </c>
      <c r="I8" s="76"/>
    </row>
    <row r="9">
      <c r="D9" s="76"/>
      <c r="E9" s="148">
        <v>298.5413</v>
      </c>
      <c r="F9" s="148">
        <v>2760.0</v>
      </c>
      <c r="G9" s="148">
        <v>290.12</v>
      </c>
      <c r="H9" s="148">
        <v>8.4213</v>
      </c>
      <c r="I9" s="76"/>
    </row>
    <row r="10">
      <c r="D10" s="82" t="s">
        <v>143</v>
      </c>
      <c r="E10" s="149">
        <v>296.681</v>
      </c>
      <c r="F10" s="149">
        <v>3234.0</v>
      </c>
      <c r="G10" s="149">
        <v>288.59</v>
      </c>
      <c r="H10" s="149">
        <v>8.09104</v>
      </c>
      <c r="I10" s="110"/>
    </row>
    <row r="11">
      <c r="D11" s="150"/>
      <c r="E11" s="149">
        <v>297.989</v>
      </c>
      <c r="F11" s="149">
        <v>3701.0</v>
      </c>
      <c r="G11" s="149">
        <v>289.93</v>
      </c>
      <c r="H11" s="149">
        <v>8.05896</v>
      </c>
      <c r="I11" s="76"/>
    </row>
    <row r="12">
      <c r="D12" s="76"/>
      <c r="E12" s="148">
        <v>297.2349</v>
      </c>
      <c r="F12" s="148">
        <v>4175.0</v>
      </c>
      <c r="G12" s="148">
        <v>289.33</v>
      </c>
      <c r="H12" s="148">
        <v>7.90488</v>
      </c>
      <c r="I12" s="76">
        <f>AVERAGE(H12:H18)</f>
        <v>7.981617143</v>
      </c>
    </row>
    <row r="13">
      <c r="D13" s="76"/>
      <c r="E13" s="148">
        <v>297.1082</v>
      </c>
      <c r="F13" s="148">
        <v>4649.0</v>
      </c>
      <c r="G13" s="148">
        <v>289.31</v>
      </c>
      <c r="H13" s="148">
        <v>7.7982</v>
      </c>
      <c r="I13" s="76"/>
    </row>
    <row r="14">
      <c r="D14" s="76"/>
      <c r="E14" s="148">
        <v>297.3074</v>
      </c>
      <c r="F14" s="148">
        <v>5125.0</v>
      </c>
      <c r="G14" s="148">
        <v>289.08</v>
      </c>
      <c r="H14" s="148">
        <v>8.22736</v>
      </c>
      <c r="I14" s="76"/>
    </row>
    <row r="15">
      <c r="D15" s="76"/>
      <c r="E15" s="148">
        <v>297.4754</v>
      </c>
      <c r="F15" s="148">
        <v>5595.0</v>
      </c>
      <c r="G15" s="148">
        <v>289.39</v>
      </c>
      <c r="H15" s="148">
        <v>8.08539</v>
      </c>
      <c r="I15" s="76"/>
    </row>
    <row r="16">
      <c r="D16" s="76"/>
      <c r="E16" s="148">
        <v>297.443</v>
      </c>
      <c r="F16" s="148">
        <v>6070.0</v>
      </c>
      <c r="G16" s="148">
        <v>289.33</v>
      </c>
      <c r="H16" s="148">
        <v>8.11301</v>
      </c>
      <c r="I16" s="76"/>
    </row>
    <row r="17">
      <c r="D17" s="76"/>
      <c r="E17" s="148">
        <v>297.6482</v>
      </c>
      <c r="F17" s="148">
        <v>6544.0</v>
      </c>
      <c r="G17" s="148">
        <v>289.79</v>
      </c>
      <c r="H17" s="148">
        <v>7.85819</v>
      </c>
      <c r="I17" s="76"/>
    </row>
    <row r="18">
      <c r="D18" s="76"/>
      <c r="E18" s="148">
        <v>297.5443</v>
      </c>
      <c r="F18" s="148">
        <v>7014.0</v>
      </c>
      <c r="G18" s="148">
        <v>289.66</v>
      </c>
      <c r="H18" s="148">
        <v>7.88429</v>
      </c>
      <c r="I18" s="76"/>
    </row>
  </sheetData>
  <mergeCells count="1">
    <mergeCell ref="E1:H1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31" t="s">
        <v>258</v>
      </c>
      <c r="D1" s="76"/>
      <c r="E1" s="77" t="s">
        <v>259</v>
      </c>
      <c r="K1" s="76"/>
      <c r="L1" s="77" t="s">
        <v>260</v>
      </c>
    </row>
    <row r="2">
      <c r="A2" s="95" t="s">
        <v>90</v>
      </c>
      <c r="D2" s="76"/>
      <c r="E2" s="76"/>
      <c r="F2" s="76"/>
      <c r="G2" s="76"/>
      <c r="H2" s="76"/>
      <c r="K2" s="76"/>
      <c r="L2" s="76"/>
      <c r="M2" s="76"/>
      <c r="N2" s="76"/>
      <c r="O2" s="76"/>
    </row>
    <row r="3">
      <c r="A3" s="96" t="s">
        <v>111</v>
      </c>
      <c r="D3" s="76"/>
      <c r="E3" s="79" t="s">
        <v>10</v>
      </c>
      <c r="F3" s="79" t="s">
        <v>11</v>
      </c>
      <c r="G3" s="79" t="s">
        <v>12</v>
      </c>
      <c r="H3" s="147" t="s">
        <v>85</v>
      </c>
      <c r="K3" s="76"/>
      <c r="L3" s="79" t="s">
        <v>10</v>
      </c>
      <c r="M3" s="79" t="s">
        <v>11</v>
      </c>
      <c r="N3" s="79" t="s">
        <v>12</v>
      </c>
      <c r="O3" s="147" t="s">
        <v>85</v>
      </c>
    </row>
    <row r="4">
      <c r="A4" s="96" t="s">
        <v>118</v>
      </c>
      <c r="D4" s="151" t="s">
        <v>69</v>
      </c>
      <c r="E4" s="112">
        <v>372.2305</v>
      </c>
      <c r="F4" s="112">
        <v>302.0</v>
      </c>
      <c r="G4" s="112">
        <v>351.1</v>
      </c>
      <c r="H4" s="112">
        <v>21.13047</v>
      </c>
      <c r="I4" s="110">
        <v>20.03684</v>
      </c>
      <c r="K4" s="151" t="s">
        <v>69</v>
      </c>
      <c r="L4" s="112">
        <v>341.8571</v>
      </c>
      <c r="M4" s="112">
        <v>321.0</v>
      </c>
      <c r="N4" s="112">
        <v>325.3</v>
      </c>
      <c r="O4" s="112">
        <v>16.55713</v>
      </c>
      <c r="P4" s="110">
        <v>15.9857</v>
      </c>
    </row>
    <row r="5">
      <c r="D5" s="152"/>
      <c r="E5" s="112">
        <v>369.3711</v>
      </c>
      <c r="F5" s="112">
        <v>775.0</v>
      </c>
      <c r="G5" s="112">
        <v>349.3</v>
      </c>
      <c r="H5" s="112">
        <v>20.0711</v>
      </c>
      <c r="I5" s="76"/>
      <c r="K5" s="76"/>
      <c r="L5" s="112">
        <v>342.4191</v>
      </c>
      <c r="M5" s="112">
        <v>796.0</v>
      </c>
      <c r="N5" s="112">
        <v>326.2</v>
      </c>
      <c r="O5" s="112">
        <v>16.21904</v>
      </c>
      <c r="P5" s="76"/>
    </row>
    <row r="6">
      <c r="D6" s="152"/>
      <c r="E6" s="112">
        <v>367.5586</v>
      </c>
      <c r="F6" s="112">
        <v>1249.0</v>
      </c>
      <c r="G6" s="112">
        <v>348.5</v>
      </c>
      <c r="H6" s="112">
        <v>19.05859</v>
      </c>
      <c r="I6" s="76"/>
      <c r="K6" s="152"/>
      <c r="L6" s="112">
        <v>341.7889</v>
      </c>
      <c r="M6" s="112">
        <v>1269.0</v>
      </c>
      <c r="N6" s="112">
        <v>326.5</v>
      </c>
      <c r="O6" s="112">
        <v>15.28889</v>
      </c>
      <c r="P6" s="76"/>
    </row>
    <row r="7">
      <c r="D7" s="152"/>
      <c r="E7" s="112">
        <v>365.9953</v>
      </c>
      <c r="F7" s="112">
        <v>1722.0</v>
      </c>
      <c r="G7" s="112">
        <v>346.1</v>
      </c>
      <c r="H7" s="112">
        <v>19.89528</v>
      </c>
      <c r="I7" s="76"/>
      <c r="K7" s="152"/>
      <c r="L7" s="112">
        <v>342.0156</v>
      </c>
      <c r="M7" s="112">
        <v>1741.0</v>
      </c>
      <c r="N7" s="112">
        <v>326.2</v>
      </c>
      <c r="O7" s="112">
        <v>15.81561</v>
      </c>
      <c r="P7" s="76"/>
    </row>
    <row r="8">
      <c r="D8" s="76"/>
      <c r="E8" s="112">
        <v>363.6268</v>
      </c>
      <c r="F8" s="112">
        <v>2196.0</v>
      </c>
      <c r="G8" s="112">
        <v>342.4</v>
      </c>
      <c r="H8" s="112">
        <v>21.22676</v>
      </c>
      <c r="I8" s="76"/>
      <c r="K8" s="76"/>
      <c r="L8" s="112">
        <v>342.5859</v>
      </c>
      <c r="M8" s="112">
        <v>2215.0</v>
      </c>
      <c r="N8" s="112">
        <v>326.3</v>
      </c>
      <c r="O8" s="112">
        <v>16.28594</v>
      </c>
      <c r="P8" s="76"/>
    </row>
    <row r="9">
      <c r="D9" s="76"/>
      <c r="E9" s="112">
        <v>363.2488</v>
      </c>
      <c r="F9" s="112">
        <v>2670.0</v>
      </c>
      <c r="G9" s="112">
        <v>343.8</v>
      </c>
      <c r="H9" s="112">
        <v>19.44881</v>
      </c>
      <c r="I9" s="76"/>
      <c r="K9" s="76"/>
      <c r="L9" s="112">
        <v>341.4476</v>
      </c>
      <c r="M9" s="112">
        <v>2688.0</v>
      </c>
      <c r="N9" s="112">
        <v>325.7</v>
      </c>
      <c r="O9" s="112">
        <v>15.74761</v>
      </c>
      <c r="P9" s="76"/>
    </row>
    <row r="10">
      <c r="D10" s="153"/>
      <c r="E10" s="112">
        <v>362.9269</v>
      </c>
      <c r="F10" s="112">
        <v>3143.0</v>
      </c>
      <c r="G10" s="112">
        <v>343.5</v>
      </c>
      <c r="H10" s="112">
        <v>19.42689</v>
      </c>
      <c r="I10" s="150"/>
      <c r="K10" s="151" t="s">
        <v>66</v>
      </c>
      <c r="L10" s="112">
        <v>340.3492</v>
      </c>
      <c r="M10" s="112">
        <v>3162.0</v>
      </c>
      <c r="N10" s="112">
        <v>326.4</v>
      </c>
      <c r="O10" s="112">
        <v>13.9492</v>
      </c>
      <c r="P10" s="110">
        <v>13.44904</v>
      </c>
    </row>
    <row r="11">
      <c r="D11" s="151" t="s">
        <v>66</v>
      </c>
      <c r="E11" s="112">
        <v>361.1301</v>
      </c>
      <c r="F11" s="112">
        <v>3615.0</v>
      </c>
      <c r="G11" s="112">
        <v>342.1</v>
      </c>
      <c r="H11" s="112">
        <v>19.03012</v>
      </c>
      <c r="I11" s="110">
        <v>18.13134</v>
      </c>
      <c r="K11" s="150"/>
      <c r="L11" s="112">
        <v>339.8286</v>
      </c>
      <c r="M11" s="112">
        <v>3635.0</v>
      </c>
      <c r="N11" s="112">
        <v>326.3</v>
      </c>
      <c r="O11" s="112">
        <v>13.52857</v>
      </c>
      <c r="P11" s="150"/>
    </row>
    <row r="12">
      <c r="D12" s="152"/>
      <c r="E12" s="112">
        <v>359.9871</v>
      </c>
      <c r="F12" s="112">
        <v>4088.0</v>
      </c>
      <c r="G12" s="112">
        <v>341.2</v>
      </c>
      <c r="H12" s="112">
        <v>18.78711</v>
      </c>
      <c r="I12" s="76"/>
      <c r="K12" s="76"/>
      <c r="L12" s="112">
        <v>338.3859</v>
      </c>
      <c r="M12" s="112">
        <v>4108.0</v>
      </c>
      <c r="N12" s="112">
        <v>325.0</v>
      </c>
      <c r="O12" s="112">
        <v>13.38595</v>
      </c>
      <c r="P12" s="76"/>
    </row>
    <row r="13">
      <c r="D13" s="76"/>
      <c r="E13" s="112">
        <v>359.0796</v>
      </c>
      <c r="F13" s="112">
        <v>4562.0</v>
      </c>
      <c r="G13" s="112">
        <v>341.3</v>
      </c>
      <c r="H13" s="112">
        <v>17.77956</v>
      </c>
      <c r="I13" s="76"/>
      <c r="K13" s="76"/>
      <c r="L13" s="112">
        <v>336.7254</v>
      </c>
      <c r="M13" s="112">
        <v>4583.0</v>
      </c>
      <c r="N13" s="112">
        <v>323.1</v>
      </c>
      <c r="O13" s="112">
        <v>13.6254</v>
      </c>
      <c r="P13" s="76"/>
    </row>
    <row r="14">
      <c r="D14" s="152"/>
      <c r="E14" s="112">
        <v>358.1172</v>
      </c>
      <c r="F14" s="112">
        <v>5035.0</v>
      </c>
      <c r="G14" s="112">
        <v>340.9</v>
      </c>
      <c r="H14" s="112">
        <v>17.21721</v>
      </c>
      <c r="I14" s="76"/>
      <c r="K14" s="76"/>
      <c r="L14" s="112">
        <v>337.0391</v>
      </c>
      <c r="M14" s="112">
        <v>5056.0</v>
      </c>
      <c r="N14" s="112">
        <v>323.4</v>
      </c>
      <c r="O14" s="112">
        <v>13.63908</v>
      </c>
      <c r="P14" s="76"/>
    </row>
    <row r="15">
      <c r="D15" s="152"/>
      <c r="E15" s="112">
        <v>356.8656</v>
      </c>
      <c r="F15" s="112">
        <v>5508.0</v>
      </c>
      <c r="G15" s="112">
        <v>338.6</v>
      </c>
      <c r="H15" s="112">
        <v>18.26558</v>
      </c>
      <c r="I15" s="76"/>
      <c r="K15" s="76"/>
      <c r="L15" s="112">
        <v>335.9651</v>
      </c>
      <c r="M15" s="112">
        <v>5528.0</v>
      </c>
      <c r="N15" s="112">
        <v>323.4</v>
      </c>
      <c r="O15" s="112">
        <v>12.56509</v>
      </c>
      <c r="P15" s="76"/>
    </row>
    <row r="16">
      <c r="D16" s="76"/>
      <c r="E16" s="112">
        <v>354.972</v>
      </c>
      <c r="F16" s="112">
        <v>5983.0</v>
      </c>
      <c r="G16" s="112">
        <v>336.8</v>
      </c>
      <c r="H16" s="112">
        <v>18.17203</v>
      </c>
      <c r="I16" s="76"/>
      <c r="K16" s="76"/>
      <c r="L16" s="112">
        <v>336.25</v>
      </c>
      <c r="M16" s="112">
        <v>6003.0</v>
      </c>
      <c r="N16" s="112">
        <v>322.8</v>
      </c>
      <c r="O16" s="112">
        <v>13.44999</v>
      </c>
      <c r="P16" s="76"/>
    </row>
    <row r="17">
      <c r="D17" s="152"/>
      <c r="E17" s="112">
        <v>352.9677</v>
      </c>
      <c r="F17" s="112">
        <v>6455.0</v>
      </c>
      <c r="G17" s="112">
        <v>335.3</v>
      </c>
      <c r="H17" s="112">
        <v>17.66774</v>
      </c>
      <c r="I17" s="76"/>
      <c r="K17" s="152"/>
      <c r="L17" s="110"/>
      <c r="M17" s="110"/>
      <c r="N17" s="110"/>
      <c r="O17" s="110"/>
      <c r="P17" s="76"/>
    </row>
    <row r="18">
      <c r="D18" s="76"/>
      <c r="I18" s="76"/>
      <c r="K18" s="76"/>
      <c r="L18" s="110"/>
      <c r="M18" s="110"/>
      <c r="N18" s="110"/>
      <c r="O18" s="110"/>
      <c r="P18" s="76"/>
    </row>
  </sheetData>
  <mergeCells count="2">
    <mergeCell ref="E1:H1"/>
    <mergeCell ref="L1:O1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261</v>
      </c>
      <c r="D1" s="76"/>
      <c r="E1" s="77" t="s">
        <v>262</v>
      </c>
      <c r="J1" s="76"/>
      <c r="K1" s="77" t="s">
        <v>263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127</v>
      </c>
      <c r="D4" s="82" t="s">
        <v>95</v>
      </c>
      <c r="E4" s="83">
        <v>295.5279</v>
      </c>
      <c r="F4" s="84">
        <v>301.0</v>
      </c>
      <c r="G4" s="84">
        <v>284.98</v>
      </c>
      <c r="H4" s="84">
        <v>10.54786</v>
      </c>
      <c r="J4" s="82" t="s">
        <v>94</v>
      </c>
      <c r="K4" s="83">
        <v>290.8208</v>
      </c>
      <c r="L4" s="84">
        <v>301.0</v>
      </c>
      <c r="M4" s="84">
        <v>283.64</v>
      </c>
      <c r="N4" s="84">
        <v>7.18076</v>
      </c>
    </row>
    <row r="5">
      <c r="D5" s="76"/>
      <c r="E5" s="83">
        <v>295.3298</v>
      </c>
      <c r="F5" s="84">
        <v>774.0</v>
      </c>
      <c r="G5" s="84">
        <v>285.42</v>
      </c>
      <c r="H5" s="84">
        <v>9.90978</v>
      </c>
      <c r="J5" s="76"/>
      <c r="K5" s="83">
        <v>289.8223</v>
      </c>
      <c r="L5" s="84">
        <v>770.0</v>
      </c>
      <c r="M5" s="84">
        <v>282.91</v>
      </c>
      <c r="N5" s="84">
        <v>6.91231</v>
      </c>
    </row>
    <row r="6">
      <c r="D6" s="76"/>
      <c r="E6" s="83">
        <v>295.2783</v>
      </c>
      <c r="F6" s="84">
        <v>1247.0</v>
      </c>
      <c r="G6" s="84">
        <v>285.75</v>
      </c>
      <c r="H6" s="84">
        <v>9.5283</v>
      </c>
      <c r="J6" s="76"/>
      <c r="K6" s="83">
        <v>289.7557</v>
      </c>
      <c r="L6" s="84">
        <v>1243.0</v>
      </c>
      <c r="M6" s="84">
        <v>282.89</v>
      </c>
      <c r="N6" s="84">
        <v>6.86565</v>
      </c>
    </row>
    <row r="7">
      <c r="D7" s="76"/>
      <c r="E7" s="83">
        <v>295.4053</v>
      </c>
      <c r="F7" s="84">
        <v>1719.0</v>
      </c>
      <c r="G7" s="84">
        <v>285.69</v>
      </c>
      <c r="H7" s="84">
        <v>9.71532</v>
      </c>
      <c r="J7" s="76"/>
      <c r="K7" s="83">
        <v>290.0792</v>
      </c>
      <c r="L7" s="84">
        <v>1714.0</v>
      </c>
      <c r="M7" s="84">
        <v>283.16</v>
      </c>
      <c r="N7" s="84">
        <v>6.91924</v>
      </c>
    </row>
    <row r="8">
      <c r="D8" s="76"/>
      <c r="E8" s="83">
        <v>295.6541</v>
      </c>
      <c r="F8" s="84">
        <v>2192.0</v>
      </c>
      <c r="G8" s="84">
        <v>285.62</v>
      </c>
      <c r="H8" s="84">
        <v>10.03405</v>
      </c>
      <c r="J8" s="76"/>
      <c r="K8" s="83">
        <v>290.0742</v>
      </c>
      <c r="L8" s="84">
        <v>2189.0</v>
      </c>
      <c r="M8" s="84">
        <v>283.07</v>
      </c>
      <c r="N8" s="84">
        <v>7.00423</v>
      </c>
    </row>
    <row r="9">
      <c r="D9" s="76"/>
      <c r="E9" s="83">
        <v>295.6362</v>
      </c>
      <c r="F9" s="84">
        <v>2666.0</v>
      </c>
      <c r="G9" s="84">
        <v>285.65</v>
      </c>
      <c r="H9" s="84">
        <v>9.98618</v>
      </c>
      <c r="J9" s="76"/>
      <c r="K9" s="83">
        <v>289.834</v>
      </c>
      <c r="L9" s="84">
        <v>2663.0</v>
      </c>
      <c r="M9" s="84">
        <v>282.86</v>
      </c>
      <c r="N9" s="84">
        <v>6.97404</v>
      </c>
    </row>
    <row r="10">
      <c r="D10" s="82" t="s">
        <v>119</v>
      </c>
      <c r="E10" s="83">
        <v>294.147</v>
      </c>
      <c r="F10" s="84">
        <v>3137.0</v>
      </c>
      <c r="G10" s="84">
        <v>285.75</v>
      </c>
      <c r="H10" s="84">
        <v>8.39702</v>
      </c>
      <c r="J10" s="82" t="s">
        <v>107</v>
      </c>
      <c r="K10" s="24">
        <v>290.1105</v>
      </c>
      <c r="L10" s="25">
        <v>3137.0</v>
      </c>
      <c r="M10" s="25">
        <v>285.19</v>
      </c>
      <c r="N10" s="25">
        <v>4.92046</v>
      </c>
    </row>
    <row r="11">
      <c r="D11" s="76"/>
      <c r="E11" s="83">
        <v>294.2053</v>
      </c>
      <c r="F11" s="84">
        <v>3611.0</v>
      </c>
      <c r="G11" s="84">
        <v>285.56</v>
      </c>
      <c r="H11" s="84">
        <v>8.64532</v>
      </c>
      <c r="J11" s="76"/>
      <c r="K11" s="83">
        <v>290.4782</v>
      </c>
      <c r="L11" s="84">
        <v>3612.0</v>
      </c>
      <c r="M11" s="84">
        <v>286.86</v>
      </c>
      <c r="N11" s="84">
        <v>3.61822</v>
      </c>
    </row>
    <row r="12">
      <c r="D12" s="76"/>
      <c r="E12" s="83">
        <v>294.3745</v>
      </c>
      <c r="F12" s="84">
        <v>4087.0</v>
      </c>
      <c r="G12" s="84">
        <v>285.83</v>
      </c>
      <c r="H12" s="84">
        <v>8.54448</v>
      </c>
      <c r="J12" s="76"/>
      <c r="K12" s="83">
        <v>290.3856</v>
      </c>
      <c r="L12" s="84">
        <v>4083.0</v>
      </c>
      <c r="M12" s="84">
        <v>287.01</v>
      </c>
      <c r="N12" s="84">
        <v>3.3756</v>
      </c>
    </row>
    <row r="13">
      <c r="D13" s="76"/>
      <c r="E13" s="83">
        <v>294.4234</v>
      </c>
      <c r="F13" s="84">
        <v>4559.0</v>
      </c>
      <c r="G13" s="84">
        <v>285.81</v>
      </c>
      <c r="H13" s="84">
        <v>8.6134</v>
      </c>
      <c r="J13" s="76"/>
      <c r="K13" s="83">
        <v>290.3503</v>
      </c>
      <c r="L13" s="84">
        <v>4556.0</v>
      </c>
      <c r="M13" s="84">
        <v>288.26</v>
      </c>
      <c r="N13" s="84">
        <v>2.09029</v>
      </c>
    </row>
    <row r="14">
      <c r="D14" s="76"/>
      <c r="E14" s="83">
        <v>294.4911</v>
      </c>
      <c r="F14" s="84">
        <v>5033.0</v>
      </c>
      <c r="G14" s="84">
        <v>285.79</v>
      </c>
      <c r="H14" s="84">
        <v>8.70105</v>
      </c>
      <c r="J14" s="76"/>
      <c r="K14" s="83">
        <v>291.9547</v>
      </c>
      <c r="L14" s="84">
        <v>5031.0</v>
      </c>
      <c r="M14" s="84">
        <v>288.55</v>
      </c>
      <c r="N14" s="84">
        <v>3.40471</v>
      </c>
    </row>
    <row r="15">
      <c r="D15" s="76"/>
      <c r="E15" s="83">
        <v>294.7651</v>
      </c>
      <c r="F15" s="84">
        <v>5512.0</v>
      </c>
      <c r="G15" s="84">
        <v>286.25</v>
      </c>
      <c r="H15" s="84">
        <v>8.51511</v>
      </c>
      <c r="J15" s="76"/>
      <c r="K15" s="83">
        <v>291.9833</v>
      </c>
      <c r="L15" s="84">
        <v>5503.0</v>
      </c>
      <c r="M15" s="84">
        <v>288.72</v>
      </c>
      <c r="N15" s="84">
        <v>3.26333</v>
      </c>
    </row>
    <row r="16">
      <c r="D16" s="76"/>
      <c r="E16" s="76"/>
      <c r="F16" s="76"/>
      <c r="G16" s="76"/>
      <c r="H16" s="76"/>
      <c r="J16" s="76"/>
      <c r="K16" s="83">
        <v>292.1252</v>
      </c>
      <c r="L16" s="84">
        <v>5978.0</v>
      </c>
      <c r="M16" s="84">
        <v>289.2</v>
      </c>
      <c r="N16" s="84">
        <v>2.92514</v>
      </c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264</v>
      </c>
      <c r="D1" s="76"/>
      <c r="E1" s="77" t="s">
        <v>265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127</v>
      </c>
      <c r="D4" s="82" t="s">
        <v>94</v>
      </c>
      <c r="E4" s="83">
        <v>324.1667</v>
      </c>
      <c r="F4" s="84">
        <v>301.0</v>
      </c>
      <c r="G4" s="84">
        <v>309.7</v>
      </c>
      <c r="H4" s="84">
        <v>14.46665</v>
      </c>
    </row>
    <row r="5">
      <c r="D5" s="76"/>
      <c r="E5" s="83">
        <v>323.6667</v>
      </c>
      <c r="F5" s="84">
        <v>775.0</v>
      </c>
      <c r="G5" s="84">
        <v>308.5</v>
      </c>
      <c r="H5" s="84">
        <v>15.16668</v>
      </c>
    </row>
    <row r="6">
      <c r="D6" s="76"/>
      <c r="E6" s="83">
        <v>322.208</v>
      </c>
      <c r="F6" s="84">
        <v>1248.0</v>
      </c>
      <c r="G6" s="84">
        <v>307.7</v>
      </c>
      <c r="H6" s="84">
        <v>14.50799</v>
      </c>
    </row>
    <row r="7">
      <c r="D7" s="76"/>
      <c r="E7" s="83">
        <v>321.614</v>
      </c>
      <c r="F7" s="84">
        <v>1723.0</v>
      </c>
      <c r="G7" s="84">
        <v>306.5</v>
      </c>
      <c r="H7" s="84">
        <v>15.11396</v>
      </c>
    </row>
    <row r="8">
      <c r="D8" s="76"/>
      <c r="E8" s="83">
        <v>320.1488</v>
      </c>
      <c r="F8" s="84">
        <v>2195.0</v>
      </c>
      <c r="G8" s="84">
        <v>305.7</v>
      </c>
      <c r="H8" s="84">
        <v>14.44884</v>
      </c>
    </row>
    <row r="9">
      <c r="D9" s="76"/>
      <c r="E9" s="83">
        <v>320.1619</v>
      </c>
      <c r="F9" s="84">
        <v>2670.0</v>
      </c>
      <c r="G9" s="84">
        <v>305.5</v>
      </c>
      <c r="H9" s="84">
        <v>14.6619</v>
      </c>
    </row>
    <row r="10">
      <c r="D10" s="82" t="s">
        <v>107</v>
      </c>
      <c r="E10" s="24">
        <v>319.6651</v>
      </c>
      <c r="F10" s="25">
        <v>3143.0</v>
      </c>
      <c r="G10" s="25">
        <v>309.4</v>
      </c>
      <c r="H10" s="25">
        <v>10.26512</v>
      </c>
    </row>
    <row r="11">
      <c r="D11" s="76"/>
      <c r="E11" s="24">
        <v>320.414</v>
      </c>
      <c r="F11" s="25">
        <v>3616.0</v>
      </c>
      <c r="G11" s="25">
        <v>311.2</v>
      </c>
      <c r="H11" s="25">
        <v>9.21396</v>
      </c>
    </row>
    <row r="12">
      <c r="D12" s="76"/>
      <c r="E12" s="83">
        <v>321.0</v>
      </c>
      <c r="F12" s="84">
        <v>4090.0</v>
      </c>
      <c r="G12" s="84">
        <v>312.3</v>
      </c>
      <c r="H12" s="84">
        <v>8.7</v>
      </c>
    </row>
    <row r="13">
      <c r="D13" s="76"/>
      <c r="E13" s="83">
        <v>320.2767</v>
      </c>
      <c r="F13" s="84">
        <v>4569.0</v>
      </c>
      <c r="G13" s="84">
        <v>312.2</v>
      </c>
      <c r="H13" s="84">
        <v>8.07673</v>
      </c>
    </row>
    <row r="14">
      <c r="D14" s="76"/>
      <c r="E14" s="83">
        <v>321.0047</v>
      </c>
      <c r="F14" s="84">
        <v>5041.0</v>
      </c>
      <c r="G14" s="84">
        <v>313.1</v>
      </c>
      <c r="H14" s="84">
        <v>7.90464</v>
      </c>
    </row>
    <row r="15">
      <c r="D15" s="76"/>
      <c r="E15" s="83">
        <v>320.436</v>
      </c>
      <c r="F15" s="84">
        <v>5514.0</v>
      </c>
      <c r="G15" s="84">
        <v>312.9</v>
      </c>
      <c r="H15" s="84">
        <v>7.53598</v>
      </c>
    </row>
    <row r="16">
      <c r="D16" s="76"/>
      <c r="E16" s="83">
        <v>319.7875</v>
      </c>
      <c r="F16" s="84">
        <v>5989.0</v>
      </c>
      <c r="G16" s="84">
        <v>311.7</v>
      </c>
      <c r="H16" s="84">
        <v>8.08751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266</v>
      </c>
      <c r="D1" s="76"/>
      <c r="E1" s="77" t="s">
        <v>267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113</v>
      </c>
      <c r="E4" s="83">
        <v>294.3631</v>
      </c>
      <c r="F4" s="84">
        <v>301.0</v>
      </c>
      <c r="G4" s="84">
        <v>283.05</v>
      </c>
      <c r="H4" s="84">
        <v>11.31315</v>
      </c>
    </row>
    <row r="5">
      <c r="D5" s="76"/>
      <c r="E5" s="83">
        <v>294.0183</v>
      </c>
      <c r="F5" s="84">
        <v>772.0</v>
      </c>
      <c r="G5" s="84">
        <v>282.97</v>
      </c>
      <c r="H5" s="84">
        <v>11.04827</v>
      </c>
    </row>
    <row r="6">
      <c r="D6" s="76"/>
      <c r="E6" s="83">
        <v>294.1282</v>
      </c>
      <c r="F6" s="84">
        <v>1246.0</v>
      </c>
      <c r="G6" s="84">
        <v>282.49</v>
      </c>
      <c r="H6" s="84">
        <v>11.63825</v>
      </c>
    </row>
    <row r="7">
      <c r="D7" s="76"/>
      <c r="E7" s="83">
        <v>293.8867</v>
      </c>
      <c r="F7" s="84">
        <v>1718.0</v>
      </c>
      <c r="G7" s="84">
        <v>282.36</v>
      </c>
      <c r="H7" s="84">
        <v>11.52668</v>
      </c>
    </row>
    <row r="8">
      <c r="D8" s="76"/>
      <c r="E8" s="83">
        <v>293.7596</v>
      </c>
      <c r="F8" s="84">
        <v>2192.0</v>
      </c>
      <c r="G8" s="84">
        <v>281.92</v>
      </c>
      <c r="H8" s="84">
        <v>11.83961</v>
      </c>
    </row>
    <row r="9">
      <c r="D9" s="82" t="s">
        <v>120</v>
      </c>
      <c r="E9" s="24">
        <v>294.821</v>
      </c>
      <c r="F9" s="25">
        <v>2667.0</v>
      </c>
      <c r="G9" s="25">
        <v>285.52</v>
      </c>
      <c r="H9" s="25">
        <v>9.30097</v>
      </c>
    </row>
    <row r="10">
      <c r="D10" s="76"/>
      <c r="E10" s="83">
        <v>294.461</v>
      </c>
      <c r="F10" s="84">
        <v>3138.0</v>
      </c>
      <c r="G10" s="84">
        <v>286.15</v>
      </c>
      <c r="H10" s="84">
        <v>8.31097</v>
      </c>
    </row>
    <row r="11">
      <c r="D11" s="76"/>
      <c r="E11" s="83">
        <v>294.3298</v>
      </c>
      <c r="F11" s="84">
        <v>3613.0</v>
      </c>
      <c r="G11" s="84">
        <v>286.59</v>
      </c>
      <c r="H11" s="84">
        <v>7.73981</v>
      </c>
    </row>
    <row r="12">
      <c r="D12" s="76"/>
      <c r="E12" s="83">
        <v>294.9267</v>
      </c>
      <c r="F12" s="84">
        <v>4085.0</v>
      </c>
      <c r="G12" s="84">
        <v>286.9</v>
      </c>
      <c r="H12" s="84">
        <v>8.02674</v>
      </c>
    </row>
    <row r="13">
      <c r="D13" s="76"/>
      <c r="E13" s="83">
        <v>294.6287</v>
      </c>
      <c r="F13" s="84">
        <v>4558.0</v>
      </c>
      <c r="G13" s="84">
        <v>286.54</v>
      </c>
      <c r="H13" s="84">
        <v>8.08864</v>
      </c>
    </row>
    <row r="14">
      <c r="D14" s="76"/>
      <c r="E14" s="83">
        <v>294.8814</v>
      </c>
      <c r="F14" s="84">
        <v>5033.0</v>
      </c>
      <c r="G14" s="84">
        <v>287.15</v>
      </c>
      <c r="H14" s="84">
        <v>7.73136</v>
      </c>
    </row>
    <row r="15">
      <c r="D15" s="76"/>
      <c r="E15" s="76"/>
      <c r="F15" s="76"/>
      <c r="G15" s="76"/>
      <c r="H15" s="76"/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268</v>
      </c>
      <c r="D1" s="76"/>
      <c r="E1" s="77" t="s">
        <v>269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114</v>
      </c>
      <c r="E4" s="83">
        <v>315.1978</v>
      </c>
      <c r="F4" s="84">
        <v>301.0</v>
      </c>
      <c r="G4" s="84">
        <v>299.0</v>
      </c>
      <c r="H4" s="84">
        <v>16.19783</v>
      </c>
    </row>
    <row r="5">
      <c r="D5" s="76"/>
      <c r="E5" s="83">
        <v>316.413</v>
      </c>
      <c r="F5" s="84">
        <v>772.0</v>
      </c>
      <c r="G5" s="84">
        <v>299.9</v>
      </c>
      <c r="H5" s="84">
        <v>16.51304</v>
      </c>
    </row>
    <row r="6">
      <c r="D6" s="76"/>
      <c r="E6" s="83">
        <v>319.4586</v>
      </c>
      <c r="F6" s="84">
        <v>1251.0</v>
      </c>
      <c r="G6" s="84">
        <v>303.4</v>
      </c>
      <c r="H6" s="84">
        <v>16.05861</v>
      </c>
    </row>
    <row r="7">
      <c r="D7" s="76"/>
      <c r="E7" s="83">
        <v>316.8698</v>
      </c>
      <c r="F7" s="84">
        <v>1730.0</v>
      </c>
      <c r="G7" s="84">
        <v>301.5</v>
      </c>
      <c r="H7" s="84">
        <v>15.36982</v>
      </c>
    </row>
    <row r="8">
      <c r="D8" s="76"/>
      <c r="E8" s="83">
        <v>317.483</v>
      </c>
      <c r="F8" s="84">
        <v>2204.0</v>
      </c>
      <c r="G8" s="84">
        <v>300.9</v>
      </c>
      <c r="H8" s="84">
        <v>16.58301</v>
      </c>
    </row>
    <row r="9">
      <c r="D9" s="76"/>
      <c r="E9" s="83">
        <v>317.9365</v>
      </c>
      <c r="F9" s="84">
        <v>2677.0</v>
      </c>
      <c r="G9" s="84">
        <v>302.3</v>
      </c>
      <c r="H9" s="84">
        <v>15.63653</v>
      </c>
    </row>
    <row r="10">
      <c r="D10" s="76"/>
      <c r="E10" s="83">
        <v>315.9096</v>
      </c>
      <c r="F10" s="84">
        <v>3150.0</v>
      </c>
      <c r="G10" s="84">
        <v>299.4</v>
      </c>
      <c r="H10" s="84">
        <v>16.50962</v>
      </c>
    </row>
    <row r="11">
      <c r="D11" s="76"/>
      <c r="E11" s="24">
        <v>315.5635</v>
      </c>
      <c r="F11" s="25">
        <v>3627.0</v>
      </c>
      <c r="G11" s="25">
        <v>303.5</v>
      </c>
      <c r="H11" s="25">
        <v>12.06346</v>
      </c>
    </row>
    <row r="12">
      <c r="D12" s="76"/>
      <c r="E12" s="83">
        <v>314.85</v>
      </c>
      <c r="F12" s="84">
        <v>4102.0</v>
      </c>
      <c r="G12" s="84">
        <v>305.2</v>
      </c>
      <c r="H12" s="84">
        <v>9.64999</v>
      </c>
    </row>
    <row r="13">
      <c r="D13" s="82" t="s">
        <v>107</v>
      </c>
      <c r="E13" s="83">
        <v>316.0348</v>
      </c>
      <c r="F13" s="84">
        <v>4573.0</v>
      </c>
      <c r="G13" s="84">
        <v>305.7</v>
      </c>
      <c r="H13" s="84">
        <v>10.33479</v>
      </c>
    </row>
    <row r="14">
      <c r="D14" s="76"/>
      <c r="E14" s="83">
        <v>315.0978</v>
      </c>
      <c r="F14" s="84">
        <v>5047.0</v>
      </c>
      <c r="G14" s="84">
        <v>303.8</v>
      </c>
      <c r="H14" s="84">
        <v>11.29784</v>
      </c>
    </row>
    <row r="15">
      <c r="D15" s="76"/>
      <c r="E15" s="83">
        <v>314.3511</v>
      </c>
      <c r="F15" s="84">
        <v>5523.0</v>
      </c>
      <c r="G15" s="84">
        <v>303.5</v>
      </c>
      <c r="H15" s="84">
        <v>10.85111</v>
      </c>
    </row>
    <row r="16">
      <c r="D16" s="76"/>
      <c r="E16" s="83">
        <v>314.2822</v>
      </c>
      <c r="F16" s="84">
        <v>5994.0</v>
      </c>
      <c r="G16" s="84">
        <v>303.5</v>
      </c>
      <c r="H16" s="84">
        <v>10.78222</v>
      </c>
    </row>
    <row r="17">
      <c r="D17" s="76"/>
      <c r="E17" s="83">
        <v>313.9283</v>
      </c>
      <c r="F17" s="84">
        <v>6469.0</v>
      </c>
      <c r="G17" s="84">
        <v>304.5</v>
      </c>
      <c r="H17" s="84">
        <v>9.42825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270</v>
      </c>
      <c r="D1" s="76"/>
      <c r="E1" s="77" t="s">
        <v>271</v>
      </c>
      <c r="J1" s="76"/>
      <c r="K1" s="77" t="s">
        <v>272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95</v>
      </c>
      <c r="E4" s="83">
        <v>294.5667</v>
      </c>
      <c r="F4" s="84">
        <v>301.0</v>
      </c>
      <c r="G4" s="84">
        <v>286.08</v>
      </c>
      <c r="H4" s="84">
        <v>8.48668</v>
      </c>
      <c r="J4" s="82" t="s">
        <v>95</v>
      </c>
      <c r="K4" s="83">
        <v>291.7611</v>
      </c>
      <c r="L4" s="84">
        <v>301.0</v>
      </c>
      <c r="M4" s="84">
        <v>282.13</v>
      </c>
      <c r="N4" s="84">
        <v>9.63105</v>
      </c>
    </row>
    <row r="5">
      <c r="D5" s="76"/>
      <c r="E5" s="83">
        <v>294.5382</v>
      </c>
      <c r="F5" s="84">
        <v>771.0</v>
      </c>
      <c r="G5" s="84">
        <v>286.29</v>
      </c>
      <c r="H5" s="84">
        <v>8.24817</v>
      </c>
      <c r="J5" s="76"/>
      <c r="K5" s="83">
        <v>291.6507</v>
      </c>
      <c r="L5" s="84">
        <v>774.0</v>
      </c>
      <c r="M5" s="84">
        <v>282.4</v>
      </c>
      <c r="N5" s="84">
        <v>9.25071</v>
      </c>
    </row>
    <row r="6">
      <c r="D6" s="76"/>
      <c r="E6" s="83">
        <v>293.212</v>
      </c>
      <c r="F6" s="84">
        <v>1247.0</v>
      </c>
      <c r="G6" s="84">
        <v>284.75</v>
      </c>
      <c r="H6" s="84">
        <v>8.46197</v>
      </c>
      <c r="J6" s="76"/>
      <c r="K6" s="83">
        <v>291.0604</v>
      </c>
      <c r="L6" s="111">
        <v>1248.0</v>
      </c>
      <c r="M6" s="83">
        <v>281.88</v>
      </c>
      <c r="N6" s="84">
        <v>9.18035</v>
      </c>
    </row>
    <row r="7">
      <c r="D7" s="76"/>
      <c r="E7" s="83">
        <v>293.1155</v>
      </c>
      <c r="F7" s="84">
        <v>1720.0</v>
      </c>
      <c r="G7" s="84">
        <v>284.79</v>
      </c>
      <c r="H7" s="84">
        <v>8.32551</v>
      </c>
      <c r="J7" s="76"/>
      <c r="K7" s="83">
        <v>291.3451</v>
      </c>
      <c r="L7" s="142">
        <v>1720.0</v>
      </c>
      <c r="M7" s="84">
        <v>282.13</v>
      </c>
      <c r="N7" s="84">
        <v>9.21509</v>
      </c>
    </row>
    <row r="8">
      <c r="D8" s="76"/>
      <c r="E8" s="83">
        <v>293.3645</v>
      </c>
      <c r="F8" s="84">
        <v>2191.0</v>
      </c>
      <c r="G8" s="84">
        <v>284.79</v>
      </c>
      <c r="H8" s="84">
        <v>8.57447</v>
      </c>
      <c r="J8" s="76"/>
      <c r="K8" s="83">
        <v>291.2968</v>
      </c>
      <c r="L8" s="84">
        <v>2194.0</v>
      </c>
      <c r="M8" s="84">
        <v>281.92</v>
      </c>
      <c r="N8" s="84">
        <v>9.37683</v>
      </c>
    </row>
    <row r="9">
      <c r="D9" s="76"/>
      <c r="E9" s="83">
        <v>293.1588</v>
      </c>
      <c r="F9" s="84">
        <v>2664.0</v>
      </c>
      <c r="G9" s="84">
        <v>284.2</v>
      </c>
      <c r="H9" s="84">
        <v>8.95878</v>
      </c>
      <c r="J9" s="76"/>
      <c r="K9" s="83">
        <v>291.3413</v>
      </c>
      <c r="L9" s="84">
        <v>2669.0</v>
      </c>
      <c r="M9" s="84">
        <v>281.76</v>
      </c>
      <c r="N9" s="84">
        <v>9.58132</v>
      </c>
    </row>
    <row r="10">
      <c r="D10" s="76"/>
      <c r="E10" s="83">
        <v>292.0108</v>
      </c>
      <c r="F10" s="84">
        <v>3143.0</v>
      </c>
      <c r="G10" s="84">
        <v>285.29</v>
      </c>
      <c r="H10" s="84">
        <v>6.72078</v>
      </c>
      <c r="J10" s="76"/>
      <c r="K10" s="83">
        <v>290.8334</v>
      </c>
      <c r="L10" s="84">
        <v>3140.0</v>
      </c>
      <c r="M10" s="84">
        <v>282.32</v>
      </c>
      <c r="N10" s="84">
        <v>8.51339</v>
      </c>
    </row>
    <row r="11">
      <c r="D11" s="82" t="s">
        <v>119</v>
      </c>
      <c r="E11" s="83">
        <v>291.9544</v>
      </c>
      <c r="F11" s="84">
        <v>3618.0</v>
      </c>
      <c r="G11" s="84">
        <v>284.75</v>
      </c>
      <c r="H11" s="84">
        <v>7.20439</v>
      </c>
      <c r="J11" s="82" t="s">
        <v>94</v>
      </c>
      <c r="K11" s="83">
        <v>290.967</v>
      </c>
      <c r="L11" s="84">
        <v>3613.0</v>
      </c>
      <c r="M11" s="84">
        <v>283.01</v>
      </c>
      <c r="N11" s="84">
        <v>7.957</v>
      </c>
    </row>
    <row r="12">
      <c r="D12" s="76"/>
      <c r="E12" s="83">
        <v>291.7983</v>
      </c>
      <c r="F12" s="84">
        <v>4096.0</v>
      </c>
      <c r="G12" s="84">
        <v>284.35</v>
      </c>
      <c r="H12" s="84">
        <v>7.44824</v>
      </c>
      <c r="J12" s="76"/>
      <c r="K12" s="83">
        <v>290.9864</v>
      </c>
      <c r="L12" s="84">
        <v>4088.0</v>
      </c>
      <c r="M12" s="84">
        <v>282.47</v>
      </c>
      <c r="N12" s="84">
        <v>8.5164</v>
      </c>
    </row>
    <row r="13">
      <c r="D13" s="76"/>
      <c r="E13" s="83">
        <v>291.5314</v>
      </c>
      <c r="F13" s="84">
        <v>4570.0</v>
      </c>
      <c r="G13" s="84">
        <v>284.56</v>
      </c>
      <c r="H13" s="84">
        <v>6.97141</v>
      </c>
      <c r="J13" s="76"/>
      <c r="K13" s="83">
        <v>291.1234</v>
      </c>
      <c r="L13" s="84">
        <v>4562.0</v>
      </c>
      <c r="M13" s="84">
        <v>283.05</v>
      </c>
      <c r="N13" s="84">
        <v>8.07341</v>
      </c>
    </row>
    <row r="14">
      <c r="D14" s="76"/>
      <c r="E14" s="83">
        <v>291.8553</v>
      </c>
      <c r="F14" s="84">
        <v>5048.0</v>
      </c>
      <c r="G14" s="84">
        <v>284.52</v>
      </c>
      <c r="H14" s="84">
        <v>7.33527</v>
      </c>
      <c r="J14" s="76"/>
      <c r="K14" s="83">
        <v>291.2608</v>
      </c>
      <c r="L14" s="84">
        <v>5036.0</v>
      </c>
      <c r="M14" s="84">
        <v>282.63</v>
      </c>
      <c r="N14" s="84">
        <v>8.6308</v>
      </c>
    </row>
    <row r="15">
      <c r="D15" s="76"/>
      <c r="E15" s="76"/>
      <c r="F15" s="76"/>
      <c r="G15" s="76"/>
      <c r="H15" s="76"/>
      <c r="J15" s="76"/>
      <c r="K15" s="83">
        <v>290.7029</v>
      </c>
      <c r="L15" s="84">
        <v>5509.0</v>
      </c>
      <c r="M15" s="84">
        <v>282.11</v>
      </c>
      <c r="N15" s="84">
        <v>8.59295</v>
      </c>
    </row>
    <row r="16">
      <c r="D16" s="76"/>
      <c r="E16" s="76"/>
      <c r="F16" s="76"/>
      <c r="G16" s="76"/>
      <c r="H16" s="76"/>
      <c r="J16" s="76"/>
      <c r="K16" s="76"/>
      <c r="L16" s="76"/>
      <c r="M16" s="76"/>
      <c r="N16" s="76"/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273</v>
      </c>
      <c r="D1" s="76"/>
      <c r="E1" s="77" t="s">
        <v>274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95</v>
      </c>
      <c r="E4" s="83">
        <v>329.7925</v>
      </c>
      <c r="F4" s="84">
        <v>301.0</v>
      </c>
      <c r="G4" s="84">
        <v>298.7</v>
      </c>
      <c r="H4" s="84">
        <v>31.09254</v>
      </c>
    </row>
    <row r="5">
      <c r="D5" s="76"/>
      <c r="E5" s="83">
        <v>328.647</v>
      </c>
      <c r="F5" s="84">
        <v>775.0</v>
      </c>
      <c r="G5" s="84">
        <v>296.9</v>
      </c>
      <c r="H5" s="84">
        <v>31.74697</v>
      </c>
    </row>
    <row r="6">
      <c r="D6" s="76"/>
      <c r="E6" s="83">
        <v>328.0364</v>
      </c>
      <c r="F6" s="84">
        <v>1247.0</v>
      </c>
      <c r="G6" s="84">
        <v>296.7</v>
      </c>
      <c r="H6" s="84">
        <v>31.33636</v>
      </c>
    </row>
    <row r="7">
      <c r="D7" s="76"/>
      <c r="E7" s="83">
        <v>324.6788</v>
      </c>
      <c r="F7" s="84">
        <v>1722.0</v>
      </c>
      <c r="G7" s="84">
        <v>292.7</v>
      </c>
      <c r="H7" s="84">
        <v>31.9788</v>
      </c>
    </row>
    <row r="8">
      <c r="D8" s="76"/>
      <c r="E8" s="83">
        <v>324.2909</v>
      </c>
      <c r="F8" s="84">
        <v>2195.0</v>
      </c>
      <c r="G8" s="84">
        <v>291.5</v>
      </c>
      <c r="H8" s="84">
        <v>32.79091</v>
      </c>
    </row>
    <row r="9">
      <c r="D9" s="76"/>
      <c r="E9" s="83">
        <v>322.897</v>
      </c>
      <c r="F9" s="84">
        <v>2669.0</v>
      </c>
      <c r="G9" s="84">
        <v>290.6</v>
      </c>
      <c r="H9" s="84">
        <v>32.29697</v>
      </c>
    </row>
    <row r="10">
      <c r="D10" s="76"/>
      <c r="E10" s="24">
        <v>321.1273</v>
      </c>
      <c r="F10" s="25">
        <v>3142.0</v>
      </c>
      <c r="G10" s="25">
        <v>288.3</v>
      </c>
      <c r="H10" s="25">
        <v>32.82726</v>
      </c>
    </row>
    <row r="11">
      <c r="D11" s="82" t="s">
        <v>94</v>
      </c>
      <c r="E11" s="83">
        <v>321.5909</v>
      </c>
      <c r="F11" s="84">
        <v>3616.0</v>
      </c>
      <c r="G11" s="84">
        <v>291.7</v>
      </c>
      <c r="H11" s="84">
        <v>29.8909</v>
      </c>
    </row>
    <row r="12">
      <c r="D12" s="76"/>
      <c r="E12" s="83">
        <v>323.0182</v>
      </c>
      <c r="F12" s="84">
        <v>4087.0</v>
      </c>
      <c r="G12" s="84">
        <v>294.4</v>
      </c>
      <c r="H12" s="84">
        <v>28.61817</v>
      </c>
    </row>
    <row r="13">
      <c r="D13" s="76"/>
      <c r="E13" s="83">
        <v>322.8303</v>
      </c>
      <c r="F13" s="84">
        <v>4561.0</v>
      </c>
      <c r="G13" s="84">
        <v>294.6</v>
      </c>
      <c r="H13" s="84">
        <v>28.2303</v>
      </c>
    </row>
    <row r="14">
      <c r="D14" s="76"/>
      <c r="E14" s="83">
        <v>322.6242</v>
      </c>
      <c r="F14" s="111">
        <v>5034.0</v>
      </c>
      <c r="G14" s="83">
        <v>293.2</v>
      </c>
      <c r="H14" s="84">
        <v>29.42425</v>
      </c>
    </row>
    <row r="15">
      <c r="D15" s="76"/>
      <c r="E15" s="83">
        <v>321.4545</v>
      </c>
      <c r="F15" s="142">
        <v>5508.0</v>
      </c>
      <c r="G15" s="84">
        <v>293.3</v>
      </c>
      <c r="H15" s="84">
        <v>28.15454</v>
      </c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275</v>
      </c>
      <c r="D1" s="76"/>
      <c r="E1" s="77" t="s">
        <v>276</v>
      </c>
      <c r="J1" s="76"/>
      <c r="K1" s="77" t="s">
        <v>277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95</v>
      </c>
      <c r="E4" s="83">
        <v>292.6085</v>
      </c>
      <c r="F4" s="84">
        <v>301.0</v>
      </c>
      <c r="G4" s="84">
        <v>281.8</v>
      </c>
      <c r="H4" s="84">
        <v>10.80849</v>
      </c>
      <c r="J4" s="82" t="s">
        <v>95</v>
      </c>
      <c r="K4" s="83">
        <v>288.6125</v>
      </c>
      <c r="L4" s="84">
        <v>301.0</v>
      </c>
      <c r="M4" s="84">
        <v>282.17</v>
      </c>
      <c r="N4" s="84">
        <v>6.44244</v>
      </c>
    </row>
    <row r="5">
      <c r="D5" s="76"/>
      <c r="E5" s="83">
        <v>291.5367</v>
      </c>
      <c r="F5" s="84">
        <v>774.0</v>
      </c>
      <c r="G5" s="84">
        <v>281.04</v>
      </c>
      <c r="H5" s="84">
        <v>10.49666</v>
      </c>
      <c r="J5" s="76"/>
      <c r="K5" s="83">
        <v>287.9315</v>
      </c>
      <c r="L5" s="84">
        <v>775.0</v>
      </c>
      <c r="M5" s="84">
        <v>281.63</v>
      </c>
      <c r="N5" s="84">
        <v>6.30151</v>
      </c>
    </row>
    <row r="6">
      <c r="D6" s="76"/>
      <c r="E6" s="83">
        <v>293.0161</v>
      </c>
      <c r="F6" s="84">
        <v>1254.0</v>
      </c>
      <c r="G6" s="84">
        <v>282.05</v>
      </c>
      <c r="H6" s="84">
        <v>10.96607</v>
      </c>
      <c r="J6" s="76"/>
      <c r="K6" s="83">
        <v>287.3523</v>
      </c>
      <c r="L6" s="84">
        <v>1248.0</v>
      </c>
      <c r="M6" s="84">
        <v>280.61</v>
      </c>
      <c r="N6" s="84">
        <v>6.74227</v>
      </c>
    </row>
    <row r="7">
      <c r="D7" s="76"/>
      <c r="E7" s="83">
        <v>291.6735</v>
      </c>
      <c r="F7" s="84">
        <v>1727.0</v>
      </c>
      <c r="G7" s="84">
        <v>281.4</v>
      </c>
      <c r="H7" s="84">
        <v>10.2735</v>
      </c>
      <c r="J7" s="76"/>
      <c r="K7" s="83">
        <v>287.3766</v>
      </c>
      <c r="L7" s="84">
        <v>1722.0</v>
      </c>
      <c r="M7" s="84">
        <v>280.29</v>
      </c>
      <c r="N7" s="84">
        <v>7.08659</v>
      </c>
    </row>
    <row r="8">
      <c r="D8" s="76"/>
      <c r="E8" s="83">
        <v>291.9261</v>
      </c>
      <c r="F8" s="84">
        <v>2202.0</v>
      </c>
      <c r="G8" s="84">
        <v>281.19</v>
      </c>
      <c r="H8" s="84">
        <v>10.73606</v>
      </c>
      <c r="J8" s="76"/>
      <c r="K8" s="83">
        <v>287.3966</v>
      </c>
      <c r="L8" s="84">
        <v>2192.0</v>
      </c>
      <c r="M8" s="84">
        <v>281.38</v>
      </c>
      <c r="N8" s="84">
        <v>6.0166</v>
      </c>
    </row>
    <row r="9">
      <c r="D9" s="76"/>
      <c r="E9" s="83">
        <v>291.8609</v>
      </c>
      <c r="F9" s="84">
        <v>2676.0</v>
      </c>
      <c r="G9" s="84">
        <v>280.48</v>
      </c>
      <c r="H9" s="84">
        <v>11.38093</v>
      </c>
      <c r="J9" s="76"/>
      <c r="K9" s="83">
        <v>286.6404</v>
      </c>
      <c r="L9" s="84">
        <v>2671.0</v>
      </c>
      <c r="M9" s="84">
        <v>282.11</v>
      </c>
      <c r="N9" s="84">
        <v>4.53039</v>
      </c>
    </row>
    <row r="10">
      <c r="D10" s="76"/>
      <c r="E10" s="83">
        <v>291.1551</v>
      </c>
      <c r="F10" s="84">
        <v>3149.0</v>
      </c>
      <c r="G10" s="84">
        <v>280.02</v>
      </c>
      <c r="H10" s="84">
        <v>11.1351</v>
      </c>
      <c r="J10" s="76"/>
      <c r="K10" s="83">
        <v>286.726</v>
      </c>
      <c r="L10" s="84">
        <v>3143.0</v>
      </c>
      <c r="M10" s="84">
        <v>282.55</v>
      </c>
      <c r="N10" s="84">
        <v>4.17597</v>
      </c>
    </row>
    <row r="11">
      <c r="D11" s="82" t="s">
        <v>120</v>
      </c>
      <c r="E11" s="83">
        <v>291.0998</v>
      </c>
      <c r="F11" s="84">
        <v>3621.0</v>
      </c>
      <c r="G11" s="84">
        <v>282.93</v>
      </c>
      <c r="H11" s="84">
        <v>8.16982</v>
      </c>
      <c r="J11" s="82" t="s">
        <v>107</v>
      </c>
      <c r="K11" s="83">
        <v>286.6991</v>
      </c>
      <c r="L11" s="84">
        <v>3618.0</v>
      </c>
      <c r="M11" s="84">
        <v>282.24</v>
      </c>
      <c r="N11" s="84">
        <v>4.45907</v>
      </c>
    </row>
    <row r="12">
      <c r="D12" s="76"/>
      <c r="E12" s="83">
        <v>290.5749</v>
      </c>
      <c r="F12" s="84">
        <v>4095.0</v>
      </c>
      <c r="G12" s="84">
        <v>282.74</v>
      </c>
      <c r="H12" s="84">
        <v>7.83491</v>
      </c>
      <c r="J12" s="76"/>
      <c r="K12" s="83">
        <v>286.9517</v>
      </c>
      <c r="L12" s="84">
        <v>4091.0</v>
      </c>
      <c r="M12" s="84">
        <v>282.93</v>
      </c>
      <c r="N12" s="84">
        <v>4.02171</v>
      </c>
    </row>
    <row r="13">
      <c r="D13" s="76"/>
      <c r="E13" s="83">
        <v>290.7538</v>
      </c>
      <c r="F13" s="84">
        <v>4571.0</v>
      </c>
      <c r="G13" s="84">
        <v>283.72</v>
      </c>
      <c r="H13" s="84">
        <v>7.03377</v>
      </c>
      <c r="J13" s="76"/>
      <c r="K13" s="83">
        <v>288.0938</v>
      </c>
      <c r="L13" s="84">
        <v>4560.0</v>
      </c>
      <c r="M13" s="84">
        <v>283.14</v>
      </c>
      <c r="N13" s="84">
        <v>4.95376</v>
      </c>
    </row>
    <row r="14">
      <c r="D14" s="76"/>
      <c r="E14" s="83">
        <v>291.2672</v>
      </c>
      <c r="F14" s="84">
        <v>5043.0</v>
      </c>
      <c r="G14" s="84">
        <v>283.09</v>
      </c>
      <c r="H14" s="84">
        <v>8.17717</v>
      </c>
      <c r="J14" s="76"/>
      <c r="K14" s="83">
        <v>288.1045</v>
      </c>
      <c r="L14" s="84">
        <v>5036.0</v>
      </c>
      <c r="M14" s="84">
        <v>283.49</v>
      </c>
      <c r="N14" s="84">
        <v>4.61454</v>
      </c>
    </row>
    <row r="15">
      <c r="D15" s="76"/>
      <c r="E15" s="83">
        <v>291.9747</v>
      </c>
      <c r="F15" s="84">
        <v>5513.0</v>
      </c>
      <c r="G15" s="84">
        <v>284.87</v>
      </c>
      <c r="H15" s="84">
        <v>7.10472</v>
      </c>
      <c r="J15" s="76"/>
      <c r="K15" s="76"/>
      <c r="L15" s="76"/>
      <c r="M15" s="76"/>
      <c r="N15" s="76"/>
    </row>
    <row r="16">
      <c r="D16" s="76"/>
      <c r="E16" s="83">
        <v>291.9768</v>
      </c>
      <c r="F16" s="84">
        <v>5988.0</v>
      </c>
      <c r="G16" s="84">
        <v>284.29</v>
      </c>
      <c r="H16" s="84">
        <v>7.68678</v>
      </c>
      <c r="J16" s="76"/>
      <c r="K16" s="76"/>
      <c r="L16" s="76"/>
      <c r="M16" s="76"/>
      <c r="N16" s="76"/>
    </row>
    <row r="17">
      <c r="D17" s="76"/>
      <c r="E17" s="83">
        <v>291.7709</v>
      </c>
      <c r="F17" s="84">
        <v>6461.0</v>
      </c>
      <c r="G17" s="84">
        <v>284.24</v>
      </c>
      <c r="H17" s="84">
        <v>7.53095</v>
      </c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278</v>
      </c>
      <c r="D1" s="76"/>
      <c r="E1" s="77" t="s">
        <v>279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95</v>
      </c>
      <c r="E4" s="83">
        <v>332.4452</v>
      </c>
      <c r="F4" s="84">
        <v>301.0</v>
      </c>
      <c r="G4" s="84">
        <v>308.0</v>
      </c>
      <c r="H4" s="84">
        <v>24.44516</v>
      </c>
    </row>
    <row r="5">
      <c r="D5" s="76"/>
      <c r="E5" s="83">
        <v>330.6355</v>
      </c>
      <c r="F5" s="84">
        <v>773.0</v>
      </c>
      <c r="G5" s="84">
        <v>306.3</v>
      </c>
      <c r="H5" s="84">
        <v>24.33547</v>
      </c>
    </row>
    <row r="6">
      <c r="D6" s="76"/>
      <c r="E6" s="83">
        <v>330.1339</v>
      </c>
      <c r="F6" s="84">
        <v>1246.0</v>
      </c>
      <c r="G6" s="84">
        <v>305.7</v>
      </c>
      <c r="H6" s="84">
        <v>24.43387</v>
      </c>
    </row>
    <row r="7">
      <c r="D7" s="76"/>
      <c r="E7" s="83">
        <v>328.7742</v>
      </c>
      <c r="F7" s="84">
        <v>1719.0</v>
      </c>
      <c r="G7" s="84">
        <v>304.9</v>
      </c>
      <c r="H7" s="84">
        <v>23.8742</v>
      </c>
    </row>
    <row r="8">
      <c r="D8" s="76"/>
      <c r="E8" s="83">
        <v>327.541</v>
      </c>
      <c r="F8" s="84">
        <v>2194.0</v>
      </c>
      <c r="G8" s="84">
        <v>304.5</v>
      </c>
      <c r="H8" s="84">
        <v>23.04097</v>
      </c>
    </row>
    <row r="9">
      <c r="D9" s="76"/>
      <c r="E9" s="83">
        <v>326.1246</v>
      </c>
      <c r="F9" s="84">
        <v>2666.0</v>
      </c>
      <c r="G9" s="84">
        <v>301.7</v>
      </c>
      <c r="H9" s="84">
        <v>24.42459</v>
      </c>
    </row>
    <row r="10">
      <c r="D10" s="76"/>
      <c r="E10" s="24">
        <v>325.5377</v>
      </c>
      <c r="F10" s="25">
        <v>3140.0</v>
      </c>
      <c r="G10" s="25">
        <v>303.3</v>
      </c>
      <c r="H10" s="25">
        <v>22.23772</v>
      </c>
    </row>
    <row r="11">
      <c r="D11" s="82" t="s">
        <v>120</v>
      </c>
      <c r="E11" s="24">
        <v>325.3565</v>
      </c>
      <c r="F11" s="25">
        <v>3613.0</v>
      </c>
      <c r="G11" s="25">
        <v>304.8</v>
      </c>
      <c r="H11" s="25">
        <v>20.55645</v>
      </c>
    </row>
    <row r="12">
      <c r="D12" s="76"/>
      <c r="E12" s="83">
        <v>324.6258</v>
      </c>
      <c r="F12" s="84">
        <v>4086.0</v>
      </c>
      <c r="G12" s="84">
        <v>304.9</v>
      </c>
      <c r="H12" s="84">
        <v>19.72582</v>
      </c>
    </row>
    <row r="13">
      <c r="D13" s="76"/>
      <c r="E13" s="83">
        <v>324.079</v>
      </c>
      <c r="F13" s="111">
        <v>4561.0</v>
      </c>
      <c r="G13" s="83">
        <v>304.1</v>
      </c>
      <c r="H13" s="84">
        <v>19.97902</v>
      </c>
    </row>
    <row r="14">
      <c r="D14" s="76"/>
      <c r="E14" s="83">
        <v>322.2523</v>
      </c>
      <c r="F14" s="142">
        <v>5033.0</v>
      </c>
      <c r="G14" s="84">
        <v>302.7</v>
      </c>
      <c r="H14" s="84">
        <v>19.5523</v>
      </c>
    </row>
    <row r="15">
      <c r="D15" s="76"/>
      <c r="E15" s="83">
        <v>320.62</v>
      </c>
      <c r="F15" s="84">
        <v>5508.0</v>
      </c>
      <c r="G15" s="84">
        <v>300.7</v>
      </c>
      <c r="H15" s="84">
        <v>19.91999</v>
      </c>
    </row>
    <row r="16">
      <c r="D16" s="76"/>
      <c r="E16" s="83">
        <v>320.2923</v>
      </c>
      <c r="F16" s="84">
        <v>5982.0</v>
      </c>
      <c r="G16" s="84">
        <v>301.3</v>
      </c>
      <c r="H16" s="84">
        <v>18.99232</v>
      </c>
    </row>
    <row r="17">
      <c r="D17" s="76"/>
      <c r="E17" s="83">
        <v>318.8785</v>
      </c>
      <c r="F17" s="84">
        <v>6454.0</v>
      </c>
      <c r="G17" s="84">
        <v>300.3</v>
      </c>
      <c r="H17" s="84">
        <v>18.57846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280</v>
      </c>
      <c r="D1" s="76"/>
      <c r="E1" s="77" t="s">
        <v>281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113</v>
      </c>
      <c r="E4" s="83">
        <v>291.8815</v>
      </c>
      <c r="F4" s="84">
        <v>301.0</v>
      </c>
      <c r="G4" s="84">
        <v>282.15</v>
      </c>
      <c r="H4" s="84">
        <v>9.73155</v>
      </c>
    </row>
    <row r="5">
      <c r="D5" s="76"/>
      <c r="E5" s="83">
        <v>293.3909</v>
      </c>
      <c r="F5" s="84">
        <v>775.0</v>
      </c>
      <c r="G5" s="84">
        <v>283.62</v>
      </c>
      <c r="H5" s="84">
        <v>9.77089</v>
      </c>
    </row>
    <row r="6">
      <c r="D6" s="76"/>
      <c r="E6" s="83">
        <v>292.1774</v>
      </c>
      <c r="F6" s="84">
        <v>1249.0</v>
      </c>
      <c r="G6" s="84">
        <v>283.03</v>
      </c>
      <c r="H6" s="84">
        <v>9.14744</v>
      </c>
    </row>
    <row r="7">
      <c r="D7" s="76"/>
      <c r="E7" s="83">
        <v>292.4121</v>
      </c>
      <c r="F7" s="84">
        <v>1721.0</v>
      </c>
      <c r="G7" s="84">
        <v>282.8</v>
      </c>
      <c r="H7" s="84">
        <v>9.61207</v>
      </c>
    </row>
    <row r="8">
      <c r="D8" s="76"/>
      <c r="E8" s="83">
        <v>292.6219</v>
      </c>
      <c r="F8" s="84">
        <v>2200.0</v>
      </c>
      <c r="G8" s="84">
        <v>283.12</v>
      </c>
      <c r="H8" s="84">
        <v>9.50189</v>
      </c>
    </row>
    <row r="9">
      <c r="D9" s="76"/>
      <c r="E9" s="83">
        <v>292.3308</v>
      </c>
      <c r="F9" s="84">
        <v>2672.0</v>
      </c>
      <c r="G9" s="84">
        <v>282.4</v>
      </c>
      <c r="H9" s="84">
        <v>9.93078</v>
      </c>
    </row>
    <row r="10">
      <c r="D10" s="82" t="s">
        <v>120</v>
      </c>
      <c r="E10" s="24">
        <v>292.7465</v>
      </c>
      <c r="F10" s="25">
        <v>3147.0</v>
      </c>
      <c r="G10" s="25">
        <v>284.14</v>
      </c>
      <c r="H10" s="25">
        <v>8.60653</v>
      </c>
    </row>
    <row r="11">
      <c r="D11" s="76"/>
      <c r="E11" s="24">
        <v>292.2567</v>
      </c>
      <c r="F11" s="25">
        <v>3620.0</v>
      </c>
      <c r="G11" s="25">
        <v>284.75</v>
      </c>
      <c r="H11" s="25">
        <v>7.50673</v>
      </c>
    </row>
    <row r="12">
      <c r="D12" s="76"/>
      <c r="E12" s="24">
        <v>291.9159</v>
      </c>
      <c r="F12" s="25">
        <v>4094.0</v>
      </c>
      <c r="G12" s="25">
        <v>284.62</v>
      </c>
      <c r="H12" s="25">
        <v>7.29585</v>
      </c>
    </row>
    <row r="13">
      <c r="D13" s="76"/>
      <c r="E13" s="24">
        <v>291.9338</v>
      </c>
      <c r="F13" s="25">
        <v>4568.0</v>
      </c>
      <c r="G13" s="25">
        <v>284.2</v>
      </c>
      <c r="H13" s="25">
        <v>7.73377</v>
      </c>
    </row>
    <row r="14">
      <c r="D14" s="76"/>
      <c r="E14" s="83">
        <v>291.9313</v>
      </c>
      <c r="F14" s="84">
        <v>5040.0</v>
      </c>
      <c r="G14" s="84">
        <v>285.23</v>
      </c>
      <c r="H14" s="84">
        <v>6.70131</v>
      </c>
    </row>
    <row r="15">
      <c r="D15" s="76"/>
      <c r="E15" s="83">
        <v>292.0138</v>
      </c>
      <c r="F15" s="84">
        <v>5514.0</v>
      </c>
      <c r="G15" s="84">
        <v>284.98</v>
      </c>
      <c r="H15" s="84">
        <v>7.03383</v>
      </c>
    </row>
    <row r="16">
      <c r="D16" s="76"/>
      <c r="E16" s="83">
        <v>291.8355</v>
      </c>
      <c r="F16" s="84">
        <v>5988.0</v>
      </c>
      <c r="G16" s="84">
        <v>284.91</v>
      </c>
      <c r="H16" s="84">
        <v>6.92547</v>
      </c>
    </row>
    <row r="17">
      <c r="D17" s="76"/>
      <c r="E17" s="83">
        <v>291.8491</v>
      </c>
      <c r="F17" s="111">
        <v>6461.0</v>
      </c>
      <c r="G17" s="83">
        <v>285.33</v>
      </c>
      <c r="H17" s="84">
        <v>6.51907</v>
      </c>
    </row>
    <row r="18">
      <c r="D18" s="76"/>
      <c r="E18" s="83">
        <v>291.5656</v>
      </c>
      <c r="F18" s="142">
        <v>6934.0</v>
      </c>
      <c r="G18" s="84">
        <v>285.04</v>
      </c>
      <c r="H18" s="84">
        <v>6.52556</v>
      </c>
    </row>
    <row r="19">
      <c r="D19" s="76"/>
      <c r="E19" s="83">
        <v>292.1472</v>
      </c>
      <c r="F19" s="84">
        <v>7406.0</v>
      </c>
      <c r="G19" s="84">
        <v>285.23</v>
      </c>
      <c r="H19" s="84">
        <v>6.91716</v>
      </c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282</v>
      </c>
      <c r="D1" s="76"/>
      <c r="E1" s="77" t="s">
        <v>283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95</v>
      </c>
      <c r="E4" s="83">
        <v>348.5865</v>
      </c>
      <c r="F4" s="84">
        <v>303.0</v>
      </c>
      <c r="G4" s="84">
        <v>323.3</v>
      </c>
      <c r="H4" s="84">
        <v>25.28654</v>
      </c>
    </row>
    <row r="5">
      <c r="D5" s="76"/>
      <c r="E5" s="83">
        <v>347.6793</v>
      </c>
      <c r="F5" s="84">
        <v>776.0</v>
      </c>
      <c r="G5" s="84">
        <v>322.4</v>
      </c>
      <c r="H5" s="84">
        <v>25.27925</v>
      </c>
    </row>
    <row r="6">
      <c r="D6" s="76"/>
      <c r="E6" s="83">
        <v>345.5434</v>
      </c>
      <c r="F6" s="84">
        <v>1250.0</v>
      </c>
      <c r="G6" s="84">
        <v>319.2</v>
      </c>
      <c r="H6" s="84">
        <v>26.34339</v>
      </c>
    </row>
    <row r="7">
      <c r="D7" s="76"/>
      <c r="E7" s="83">
        <v>341.4673</v>
      </c>
      <c r="F7" s="84">
        <v>1729.0</v>
      </c>
      <c r="G7" s="84">
        <v>315.4</v>
      </c>
      <c r="H7" s="84">
        <v>26.06731</v>
      </c>
    </row>
    <row r="8">
      <c r="D8" s="76"/>
      <c r="E8" s="83">
        <v>341.8558</v>
      </c>
      <c r="F8" s="84">
        <v>2202.0</v>
      </c>
      <c r="G8" s="84">
        <v>315.6</v>
      </c>
      <c r="H8" s="84">
        <v>26.25576</v>
      </c>
    </row>
    <row r="9">
      <c r="D9" s="76"/>
      <c r="E9" s="83">
        <v>340.6472</v>
      </c>
      <c r="F9" s="84">
        <v>2675.0</v>
      </c>
      <c r="G9" s="84">
        <v>315.1</v>
      </c>
      <c r="H9" s="84">
        <v>25.54716</v>
      </c>
    </row>
    <row r="10">
      <c r="D10" s="82" t="s">
        <v>114</v>
      </c>
      <c r="E10" s="24">
        <v>342.483</v>
      </c>
      <c r="F10" s="25">
        <v>3148.0</v>
      </c>
      <c r="G10" s="25">
        <v>321.8</v>
      </c>
      <c r="H10" s="25">
        <v>20.68303</v>
      </c>
    </row>
    <row r="11">
      <c r="D11" s="76"/>
      <c r="E11" s="24">
        <v>341.5283</v>
      </c>
      <c r="F11" s="25">
        <v>3625.0</v>
      </c>
      <c r="G11" s="25">
        <v>321.5</v>
      </c>
      <c r="H11" s="25">
        <v>20.02831</v>
      </c>
    </row>
    <row r="12">
      <c r="D12" s="76"/>
      <c r="E12" s="24">
        <v>339.9679</v>
      </c>
      <c r="F12" s="25">
        <v>4097.0</v>
      </c>
      <c r="G12" s="25">
        <v>323.0</v>
      </c>
      <c r="H12" s="25">
        <v>16.96792</v>
      </c>
    </row>
    <row r="13">
      <c r="D13" s="76"/>
      <c r="E13" s="83">
        <v>337.6442</v>
      </c>
      <c r="F13" s="84">
        <v>4573.0</v>
      </c>
      <c r="G13" s="84">
        <v>319.7</v>
      </c>
      <c r="H13" s="84">
        <v>17.94423</v>
      </c>
    </row>
    <row r="14">
      <c r="D14" s="76"/>
      <c r="E14" s="83">
        <v>337.7981</v>
      </c>
      <c r="F14" s="111">
        <v>5046.0</v>
      </c>
      <c r="G14" s="83">
        <v>320.1</v>
      </c>
      <c r="H14" s="84">
        <v>17.69807</v>
      </c>
    </row>
    <row r="15">
      <c r="D15" s="76"/>
      <c r="E15" s="83">
        <v>337.7547</v>
      </c>
      <c r="F15" s="142">
        <v>5518.0</v>
      </c>
      <c r="G15" s="84">
        <v>320.2</v>
      </c>
      <c r="H15" s="84">
        <v>17.55472</v>
      </c>
    </row>
    <row r="16">
      <c r="D16" s="76"/>
      <c r="E16" s="83">
        <v>337.2113</v>
      </c>
      <c r="F16" s="84">
        <v>5991.0</v>
      </c>
      <c r="G16" s="84">
        <v>320.0</v>
      </c>
      <c r="H16" s="84">
        <v>17.21133</v>
      </c>
    </row>
    <row r="17">
      <c r="D17" s="76"/>
      <c r="E17" s="24">
        <v>335.6962</v>
      </c>
      <c r="F17" s="25">
        <v>6463.0</v>
      </c>
      <c r="G17" s="25">
        <v>320.9</v>
      </c>
      <c r="H17" s="25">
        <v>14.79624</v>
      </c>
    </row>
    <row r="18">
      <c r="D18" s="76"/>
      <c r="E18" s="83">
        <v>335.8283</v>
      </c>
      <c r="F18" s="84">
        <v>6937.0</v>
      </c>
      <c r="G18" s="84">
        <v>318.7</v>
      </c>
      <c r="H18" s="84">
        <v>17.12831</v>
      </c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284</v>
      </c>
      <c r="D1" s="76"/>
      <c r="E1" s="77" t="s">
        <v>285</v>
      </c>
      <c r="J1" s="76"/>
      <c r="K1" s="77" t="s">
        <v>286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112</v>
      </c>
      <c r="D4" s="82" t="s">
        <v>143</v>
      </c>
      <c r="E4" s="83">
        <v>303.2805</v>
      </c>
      <c r="F4" s="84">
        <v>301.0</v>
      </c>
      <c r="G4" s="84">
        <v>294.24</v>
      </c>
      <c r="H4" s="84">
        <v>9.04055</v>
      </c>
      <c r="J4" s="82" t="s">
        <v>95</v>
      </c>
      <c r="K4" s="83">
        <v>300.0113</v>
      </c>
      <c r="L4" s="84">
        <v>301.0</v>
      </c>
      <c r="M4" s="84">
        <v>293.4</v>
      </c>
      <c r="N4" s="84">
        <v>6.61126</v>
      </c>
    </row>
    <row r="5">
      <c r="D5" s="76"/>
      <c r="E5" s="83">
        <v>302.8238</v>
      </c>
      <c r="F5" s="84">
        <v>775.0</v>
      </c>
      <c r="G5" s="84">
        <v>293.57</v>
      </c>
      <c r="H5" s="84">
        <v>9.25377</v>
      </c>
      <c r="J5" s="76"/>
      <c r="K5" s="83">
        <v>299.0606</v>
      </c>
      <c r="L5" s="84">
        <v>780.0</v>
      </c>
      <c r="M5" s="84">
        <v>291.19</v>
      </c>
      <c r="N5" s="84">
        <v>7.87062</v>
      </c>
    </row>
    <row r="6">
      <c r="D6" s="76"/>
      <c r="E6" s="83">
        <v>303.1897</v>
      </c>
      <c r="F6" s="84">
        <v>1249.0</v>
      </c>
      <c r="G6" s="84">
        <v>293.78</v>
      </c>
      <c r="H6" s="84">
        <v>9.40972</v>
      </c>
      <c r="J6" s="76"/>
      <c r="K6" s="83">
        <v>298.9908</v>
      </c>
      <c r="L6" s="84">
        <v>1257.0</v>
      </c>
      <c r="M6" s="84">
        <v>292.09</v>
      </c>
      <c r="N6" s="84">
        <v>6.90083</v>
      </c>
    </row>
    <row r="7">
      <c r="D7" s="76"/>
      <c r="E7" s="83">
        <v>303.0746</v>
      </c>
      <c r="F7" s="84">
        <v>1721.0</v>
      </c>
      <c r="G7" s="84">
        <v>293.86</v>
      </c>
      <c r="H7" s="84">
        <v>9.2146</v>
      </c>
      <c r="J7" s="76"/>
      <c r="K7" s="83">
        <v>299.3288</v>
      </c>
      <c r="L7" s="84">
        <v>1727.0</v>
      </c>
      <c r="M7" s="84">
        <v>291.56</v>
      </c>
      <c r="N7" s="84">
        <v>7.76875</v>
      </c>
    </row>
    <row r="8">
      <c r="D8" s="76"/>
      <c r="E8" s="83">
        <v>303.0838</v>
      </c>
      <c r="F8" s="84">
        <v>2194.0</v>
      </c>
      <c r="G8" s="84">
        <v>293.91</v>
      </c>
      <c r="H8" s="84">
        <v>9.17378</v>
      </c>
      <c r="J8" s="76"/>
      <c r="K8" s="83">
        <v>299.3119</v>
      </c>
      <c r="L8" s="84">
        <v>2196.0</v>
      </c>
      <c r="M8" s="84">
        <v>292.02</v>
      </c>
      <c r="N8" s="84">
        <v>7.29188</v>
      </c>
    </row>
    <row r="9">
      <c r="D9" s="82" t="s">
        <v>120</v>
      </c>
      <c r="E9" s="83">
        <v>300.2905</v>
      </c>
      <c r="F9" s="84">
        <v>2673.0</v>
      </c>
      <c r="G9" s="84">
        <v>293.66</v>
      </c>
      <c r="H9" s="84">
        <v>6.63054</v>
      </c>
      <c r="J9" s="76"/>
      <c r="K9" s="83">
        <v>298.9138</v>
      </c>
      <c r="L9" s="84">
        <v>2675.0</v>
      </c>
      <c r="M9" s="84">
        <v>291.17</v>
      </c>
      <c r="N9" s="84">
        <v>7.74374</v>
      </c>
    </row>
    <row r="10">
      <c r="D10" s="76"/>
      <c r="E10" s="83">
        <v>300.9719</v>
      </c>
      <c r="F10" s="84">
        <v>3146.0</v>
      </c>
      <c r="G10" s="84">
        <v>294.78</v>
      </c>
      <c r="H10" s="84">
        <v>6.19189</v>
      </c>
      <c r="J10" s="82" t="s">
        <v>107</v>
      </c>
      <c r="K10" s="83">
        <v>302.5676</v>
      </c>
      <c r="L10" s="84">
        <v>3154.0</v>
      </c>
      <c r="M10" s="84">
        <v>297.29</v>
      </c>
      <c r="N10" s="84">
        <v>5.27754</v>
      </c>
    </row>
    <row r="11">
      <c r="D11" s="76"/>
      <c r="E11" s="83">
        <v>301.4289</v>
      </c>
      <c r="F11" s="84">
        <v>3620.0</v>
      </c>
      <c r="G11" s="84">
        <v>294.72</v>
      </c>
      <c r="H11" s="84">
        <v>6.70889</v>
      </c>
      <c r="J11" s="76"/>
      <c r="K11" s="83">
        <v>303.1421</v>
      </c>
      <c r="L11" s="84">
        <v>3630.0</v>
      </c>
      <c r="M11" s="84">
        <v>297.78</v>
      </c>
      <c r="N11" s="84">
        <v>5.36208</v>
      </c>
    </row>
    <row r="12">
      <c r="D12" s="76"/>
      <c r="E12" s="83">
        <v>301.6178</v>
      </c>
      <c r="F12" s="84">
        <v>4099.0</v>
      </c>
      <c r="G12" s="84">
        <v>295.35</v>
      </c>
      <c r="H12" s="84">
        <v>6.26777</v>
      </c>
      <c r="J12" s="76"/>
      <c r="K12" s="83">
        <v>302.5238</v>
      </c>
      <c r="L12" s="84">
        <v>4105.0</v>
      </c>
      <c r="M12" s="84">
        <v>298.36</v>
      </c>
      <c r="N12" s="84">
        <v>4.16376</v>
      </c>
    </row>
    <row r="13">
      <c r="D13" s="76"/>
      <c r="E13" s="83">
        <v>301.7341</v>
      </c>
      <c r="F13" s="84">
        <v>4571.0</v>
      </c>
      <c r="G13" s="84">
        <v>295.16</v>
      </c>
      <c r="H13" s="84">
        <v>6.57405</v>
      </c>
      <c r="J13" s="76"/>
      <c r="K13" s="83">
        <v>302.3769</v>
      </c>
      <c r="L13" s="84">
        <v>4578.0</v>
      </c>
      <c r="M13" s="84">
        <v>297.65</v>
      </c>
      <c r="N13" s="84">
        <v>4.72688</v>
      </c>
    </row>
    <row r="14">
      <c r="D14" s="76"/>
      <c r="E14" s="83">
        <v>301.7916</v>
      </c>
      <c r="F14" s="84">
        <v>5045.0</v>
      </c>
      <c r="G14" s="84">
        <v>295.24</v>
      </c>
      <c r="H14" s="84">
        <v>6.55163</v>
      </c>
      <c r="J14" s="76"/>
      <c r="K14" s="83">
        <v>302.4483</v>
      </c>
      <c r="L14" s="84">
        <v>5053.0</v>
      </c>
      <c r="M14" s="84">
        <v>297.27</v>
      </c>
      <c r="N14" s="84">
        <v>5.17834</v>
      </c>
    </row>
    <row r="15">
      <c r="D15" s="76"/>
      <c r="E15" s="76"/>
      <c r="F15" s="76"/>
      <c r="G15" s="76"/>
      <c r="H15" s="76"/>
      <c r="J15" s="76"/>
      <c r="K15" s="83">
        <v>302.3016</v>
      </c>
      <c r="L15" s="84">
        <v>5521.0</v>
      </c>
      <c r="M15" s="84">
        <v>297.44</v>
      </c>
      <c r="N15" s="84">
        <v>4.86163</v>
      </c>
    </row>
    <row r="16">
      <c r="D16" s="76"/>
      <c r="E16" s="76"/>
      <c r="F16" s="76"/>
      <c r="G16" s="76"/>
      <c r="H16" s="76"/>
      <c r="J16" s="76"/>
      <c r="K16" s="76"/>
      <c r="L16" s="76"/>
      <c r="M16" s="76"/>
      <c r="N16" s="76"/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287</v>
      </c>
      <c r="D1" s="76"/>
      <c r="E1" s="77" t="s">
        <v>288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112</v>
      </c>
      <c r="D4" s="82" t="s">
        <v>95</v>
      </c>
      <c r="E4" s="83">
        <v>378.3765</v>
      </c>
      <c r="F4" s="84">
        <v>302.0</v>
      </c>
      <c r="G4" s="84">
        <v>353.9</v>
      </c>
      <c r="H4" s="84">
        <v>24.47649</v>
      </c>
    </row>
    <row r="5">
      <c r="D5" s="76"/>
      <c r="E5" s="83">
        <v>377.5061</v>
      </c>
      <c r="F5" s="84">
        <v>775.0</v>
      </c>
      <c r="G5" s="84">
        <v>353.2</v>
      </c>
      <c r="H5" s="84">
        <v>24.30607</v>
      </c>
    </row>
    <row r="6">
      <c r="D6" s="76"/>
      <c r="E6" s="83">
        <v>375.0</v>
      </c>
      <c r="F6" s="84">
        <v>1246.0</v>
      </c>
      <c r="G6" s="84">
        <v>351.4</v>
      </c>
      <c r="H6" s="84">
        <v>23.60001</v>
      </c>
    </row>
    <row r="7">
      <c r="D7" s="76"/>
      <c r="E7" s="83">
        <v>373.8824</v>
      </c>
      <c r="F7" s="84">
        <v>1721.0</v>
      </c>
      <c r="G7" s="84">
        <v>350.7</v>
      </c>
      <c r="H7" s="84">
        <v>23.18237</v>
      </c>
    </row>
    <row r="8">
      <c r="D8" s="76"/>
      <c r="E8" s="83">
        <v>374.2324</v>
      </c>
      <c r="F8" s="84">
        <v>2196.0</v>
      </c>
      <c r="G8" s="84">
        <v>349.8</v>
      </c>
      <c r="H8" s="84">
        <v>24.43237</v>
      </c>
    </row>
    <row r="9">
      <c r="D9" s="76"/>
      <c r="E9" s="83">
        <v>373.9788</v>
      </c>
      <c r="F9" s="84">
        <v>2668.0</v>
      </c>
      <c r="G9" s="84">
        <v>349.5</v>
      </c>
      <c r="H9" s="84">
        <v>24.47879</v>
      </c>
    </row>
    <row r="10">
      <c r="D10" s="76"/>
      <c r="E10" s="83">
        <v>372.9382</v>
      </c>
      <c r="F10" s="111">
        <v>3141.0</v>
      </c>
      <c r="G10" s="83">
        <v>349.2</v>
      </c>
      <c r="H10" s="84">
        <v>23.73822</v>
      </c>
    </row>
    <row r="11">
      <c r="D11" s="82" t="s">
        <v>114</v>
      </c>
      <c r="E11" s="83">
        <v>371.45</v>
      </c>
      <c r="F11" s="142">
        <v>3620.0</v>
      </c>
      <c r="G11" s="84">
        <v>354.9</v>
      </c>
      <c r="H11" s="84">
        <v>16.55</v>
      </c>
    </row>
    <row r="12">
      <c r="D12" s="76"/>
      <c r="E12" s="83">
        <v>369.5941</v>
      </c>
      <c r="F12" s="84">
        <v>4099.0</v>
      </c>
      <c r="G12" s="84">
        <v>354.0</v>
      </c>
      <c r="H12" s="84">
        <v>15.59412</v>
      </c>
    </row>
    <row r="13">
      <c r="D13" s="76"/>
      <c r="E13" s="83">
        <v>369.0333</v>
      </c>
      <c r="F13" s="84">
        <v>4574.0</v>
      </c>
      <c r="G13" s="84">
        <v>352.1</v>
      </c>
      <c r="H13" s="84">
        <v>16.93333</v>
      </c>
    </row>
    <row r="14">
      <c r="D14" s="76"/>
      <c r="E14" s="83">
        <v>368.1529</v>
      </c>
      <c r="F14" s="84">
        <v>5046.0</v>
      </c>
      <c r="G14" s="84">
        <v>352.2</v>
      </c>
      <c r="H14" s="84">
        <v>15.95294</v>
      </c>
    </row>
    <row r="15">
      <c r="D15" s="76"/>
      <c r="E15" s="83">
        <v>364.4324</v>
      </c>
      <c r="F15" s="84">
        <v>5520.0</v>
      </c>
      <c r="G15" s="84">
        <v>348.9</v>
      </c>
      <c r="H15" s="84">
        <v>15.53236</v>
      </c>
    </row>
    <row r="16">
      <c r="D16" s="76"/>
      <c r="E16" s="83">
        <v>369.0265</v>
      </c>
      <c r="F16" s="84">
        <v>5994.0</v>
      </c>
      <c r="G16" s="84">
        <v>354.0</v>
      </c>
      <c r="H16" s="84">
        <v>15.02647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289</v>
      </c>
      <c r="B1" s="130"/>
      <c r="C1" s="130"/>
      <c r="D1" s="130"/>
      <c r="F1" s="21" t="s">
        <v>290</v>
      </c>
      <c r="L1" s="21" t="s">
        <v>291</v>
      </c>
    </row>
    <row r="2">
      <c r="A2" s="95" t="s">
        <v>90</v>
      </c>
      <c r="B2" s="130"/>
      <c r="C2" s="130"/>
      <c r="D2" s="130"/>
      <c r="F2" s="154"/>
      <c r="G2" s="155" t="s">
        <v>292</v>
      </c>
      <c r="H2" s="155" t="s">
        <v>293</v>
      </c>
      <c r="I2" s="155" t="s">
        <v>294</v>
      </c>
      <c r="J2" s="155" t="s">
        <v>295</v>
      </c>
      <c r="L2" s="154"/>
      <c r="M2" s="155" t="s">
        <v>292</v>
      </c>
      <c r="N2" s="155" t="s">
        <v>293</v>
      </c>
      <c r="O2" s="155" t="s">
        <v>294</v>
      </c>
      <c r="P2" s="155" t="s">
        <v>295</v>
      </c>
    </row>
    <row r="3">
      <c r="A3" s="96" t="s">
        <v>111</v>
      </c>
      <c r="B3" s="130"/>
      <c r="C3" s="130"/>
      <c r="D3" s="130"/>
      <c r="F3" s="79" t="s">
        <v>21</v>
      </c>
      <c r="G3" s="156">
        <v>310.7522</v>
      </c>
      <c r="H3" s="156">
        <v>246.0</v>
      </c>
      <c r="I3" s="156">
        <v>303.48</v>
      </c>
      <c r="J3" s="156">
        <v>7.27219</v>
      </c>
      <c r="L3" s="79" t="s">
        <v>21</v>
      </c>
      <c r="M3" s="156">
        <v>303.8047</v>
      </c>
      <c r="N3" s="156">
        <v>374.0</v>
      </c>
      <c r="O3" s="156">
        <v>297.04</v>
      </c>
      <c r="P3" s="156">
        <v>6.76469</v>
      </c>
    </row>
    <row r="4">
      <c r="A4" s="96" t="s">
        <v>112</v>
      </c>
      <c r="B4" s="130"/>
      <c r="C4" s="130"/>
      <c r="D4" s="130"/>
      <c r="F4" s="92"/>
      <c r="G4" s="25">
        <v>309.7208</v>
      </c>
      <c r="H4" s="25">
        <v>719.0</v>
      </c>
      <c r="I4" s="25">
        <v>302.59</v>
      </c>
      <c r="J4" s="25">
        <v>7.13082</v>
      </c>
      <c r="L4" s="124"/>
      <c r="M4" s="25">
        <v>304.1165</v>
      </c>
      <c r="N4" s="25">
        <v>844.0</v>
      </c>
      <c r="O4" s="25">
        <v>297.21</v>
      </c>
      <c r="P4" s="25">
        <v>6.90654</v>
      </c>
    </row>
    <row r="5">
      <c r="F5" s="92"/>
      <c r="G5" s="25">
        <v>309.4376</v>
      </c>
      <c r="H5" s="25">
        <v>1193.0</v>
      </c>
      <c r="I5" s="25">
        <v>301.67</v>
      </c>
      <c r="J5" s="25">
        <v>7.76759</v>
      </c>
      <c r="L5" s="124"/>
      <c r="M5" s="25">
        <v>303.6988</v>
      </c>
      <c r="N5" s="25">
        <v>1319.0</v>
      </c>
      <c r="O5" s="25">
        <v>296.94</v>
      </c>
      <c r="P5" s="25">
        <v>6.75877</v>
      </c>
    </row>
    <row r="6">
      <c r="F6" s="92"/>
      <c r="G6" s="25">
        <v>308.6274</v>
      </c>
      <c r="H6" s="25">
        <v>1668.0</v>
      </c>
      <c r="I6" s="25">
        <v>301.33</v>
      </c>
      <c r="J6" s="25">
        <v>7.29741</v>
      </c>
      <c r="L6" s="124"/>
      <c r="M6" s="25">
        <v>303.9067</v>
      </c>
      <c r="N6" s="25">
        <v>1794.0</v>
      </c>
      <c r="O6" s="25">
        <v>296.88</v>
      </c>
      <c r="P6" s="25">
        <v>7.02674</v>
      </c>
    </row>
    <row r="7">
      <c r="F7" s="92"/>
      <c r="G7" s="25">
        <v>307.7998</v>
      </c>
      <c r="H7" s="25">
        <v>2141.0</v>
      </c>
      <c r="I7" s="25">
        <v>300.39</v>
      </c>
      <c r="J7" s="25">
        <v>7.40979</v>
      </c>
      <c r="L7" s="124"/>
      <c r="M7" s="25">
        <v>303.953</v>
      </c>
      <c r="N7" s="25">
        <v>2272.0</v>
      </c>
      <c r="O7" s="25">
        <v>296.33</v>
      </c>
      <c r="P7" s="25">
        <v>7.62301</v>
      </c>
    </row>
    <row r="8">
      <c r="F8" s="92"/>
      <c r="G8" s="25">
        <v>307.5818</v>
      </c>
      <c r="H8" s="25">
        <v>2612.0</v>
      </c>
      <c r="I8" s="25">
        <v>300.22</v>
      </c>
      <c r="J8" s="25">
        <v>7.3618</v>
      </c>
      <c r="L8" s="124"/>
      <c r="M8" s="25">
        <v>303.7098</v>
      </c>
      <c r="N8" s="25">
        <v>2738.0</v>
      </c>
      <c r="O8" s="25">
        <v>296.35</v>
      </c>
      <c r="P8" s="25">
        <v>7.35979</v>
      </c>
    </row>
    <row r="9">
      <c r="F9" s="157" t="s">
        <v>23</v>
      </c>
      <c r="G9" s="25">
        <v>307.732</v>
      </c>
      <c r="H9" s="25">
        <v>3087.0</v>
      </c>
      <c r="I9" s="25">
        <v>301.1</v>
      </c>
      <c r="J9" s="25">
        <v>6.63203</v>
      </c>
      <c r="L9" s="157" t="s">
        <v>24</v>
      </c>
      <c r="M9" s="25">
        <v>303.0214</v>
      </c>
      <c r="N9" s="25">
        <v>3207.0</v>
      </c>
      <c r="O9" s="25">
        <v>297.94</v>
      </c>
      <c r="P9" s="25">
        <v>5.0814</v>
      </c>
    </row>
    <row r="10">
      <c r="F10" s="92"/>
      <c r="G10" s="25">
        <v>307.2472</v>
      </c>
      <c r="H10" s="25">
        <v>3559.0</v>
      </c>
      <c r="I10" s="25">
        <v>300.64</v>
      </c>
      <c r="J10" s="25">
        <v>6.60719</v>
      </c>
      <c r="L10" s="124"/>
      <c r="M10" s="25">
        <v>303.0552</v>
      </c>
      <c r="N10" s="25">
        <v>3685.0</v>
      </c>
      <c r="O10" s="25">
        <v>298.61</v>
      </c>
      <c r="P10" s="25">
        <v>4.44521</v>
      </c>
    </row>
    <row r="11">
      <c r="F11" s="92"/>
      <c r="G11" s="25">
        <v>307.9539</v>
      </c>
      <c r="H11" s="25">
        <v>4030.0</v>
      </c>
      <c r="I11" s="25">
        <v>301.41</v>
      </c>
      <c r="J11" s="25">
        <v>6.54388</v>
      </c>
      <c r="L11" s="124"/>
      <c r="M11" s="25">
        <v>302.4304</v>
      </c>
      <c r="N11" s="25">
        <v>4157.0</v>
      </c>
      <c r="O11" s="25">
        <v>298.49</v>
      </c>
      <c r="P11" s="25">
        <v>3.94041</v>
      </c>
    </row>
    <row r="12">
      <c r="F12" s="92"/>
      <c r="G12" s="25">
        <v>307.8353</v>
      </c>
      <c r="H12" s="25">
        <v>4505.0</v>
      </c>
      <c r="I12" s="25">
        <v>301.12</v>
      </c>
      <c r="J12" s="25">
        <v>6.7153</v>
      </c>
      <c r="L12" s="124"/>
      <c r="M12" s="25">
        <v>302.77</v>
      </c>
      <c r="N12" s="25">
        <v>4631.0</v>
      </c>
      <c r="O12" s="25">
        <v>298.76</v>
      </c>
      <c r="P12" s="25">
        <v>4.00999</v>
      </c>
    </row>
    <row r="13">
      <c r="F13" s="92"/>
      <c r="G13" s="25">
        <v>307.4378</v>
      </c>
      <c r="H13" s="25">
        <v>4978.0</v>
      </c>
      <c r="I13" s="25">
        <v>300.93</v>
      </c>
      <c r="J13" s="25">
        <v>6.50781</v>
      </c>
      <c r="L13" s="124"/>
      <c r="M13" s="25">
        <v>302.6266</v>
      </c>
      <c r="N13" s="25">
        <v>5110.0</v>
      </c>
      <c r="O13" s="25">
        <v>298.49</v>
      </c>
      <c r="P13" s="25">
        <v>4.13661</v>
      </c>
    </row>
    <row r="14">
      <c r="F14" s="92"/>
      <c r="G14" s="25">
        <v>307.209</v>
      </c>
      <c r="H14" s="25">
        <v>5451.0</v>
      </c>
      <c r="I14" s="25">
        <v>300.47</v>
      </c>
      <c r="J14" s="25">
        <v>6.73898</v>
      </c>
      <c r="L14" s="124"/>
      <c r="M14" s="25">
        <v>302.8648</v>
      </c>
      <c r="N14" s="25">
        <v>5582.0</v>
      </c>
      <c r="O14" s="25">
        <v>298.9</v>
      </c>
      <c r="P14" s="25">
        <v>3.96481</v>
      </c>
    </row>
    <row r="15">
      <c r="F15" s="92"/>
      <c r="G15" s="25">
        <v>307.0471</v>
      </c>
      <c r="H15" s="25">
        <v>5922.0</v>
      </c>
      <c r="I15" s="25">
        <v>300.43</v>
      </c>
      <c r="J15" s="25">
        <v>6.61715</v>
      </c>
      <c r="L15" s="92"/>
      <c r="M15" s="25">
        <v>302.8504</v>
      </c>
      <c r="N15" s="25">
        <v>6053.0</v>
      </c>
      <c r="O15" s="25">
        <v>298.97</v>
      </c>
      <c r="P15" s="25">
        <v>3.88041</v>
      </c>
    </row>
    <row r="16">
      <c r="F16" s="92"/>
      <c r="G16" s="25">
        <v>306.8792</v>
      </c>
      <c r="H16" s="25">
        <v>6401.0</v>
      </c>
      <c r="I16" s="25">
        <v>299.95</v>
      </c>
      <c r="J16" s="25">
        <v>6.92919</v>
      </c>
      <c r="L16" s="92"/>
      <c r="M16" s="25">
        <v>302.7608</v>
      </c>
      <c r="N16" s="25">
        <v>6521.0</v>
      </c>
      <c r="O16" s="25">
        <v>299.01</v>
      </c>
      <c r="P16" s="25">
        <v>3.75081</v>
      </c>
    </row>
    <row r="17">
      <c r="F17" s="92"/>
      <c r="G17" s="25">
        <v>306.9641</v>
      </c>
      <c r="H17" s="25">
        <v>6872.0</v>
      </c>
      <c r="I17" s="25">
        <v>300.54</v>
      </c>
      <c r="J17" s="25">
        <v>6.42407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296</v>
      </c>
      <c r="B1" s="130"/>
      <c r="C1" s="130"/>
      <c r="D1" s="130"/>
      <c r="F1" s="21" t="s">
        <v>297</v>
      </c>
    </row>
    <row r="2">
      <c r="A2" s="95" t="s">
        <v>90</v>
      </c>
      <c r="B2" s="130"/>
      <c r="C2" s="130"/>
      <c r="D2" s="130"/>
      <c r="F2" s="154"/>
      <c r="G2" s="155" t="s">
        <v>292</v>
      </c>
      <c r="H2" s="155" t="s">
        <v>293</v>
      </c>
      <c r="I2" s="155" t="s">
        <v>294</v>
      </c>
      <c r="J2" s="155" t="s">
        <v>295</v>
      </c>
    </row>
    <row r="3">
      <c r="A3" s="96" t="s">
        <v>111</v>
      </c>
      <c r="B3" s="130"/>
      <c r="C3" s="130"/>
      <c r="D3" s="130"/>
      <c r="F3" s="121" t="s">
        <v>148</v>
      </c>
      <c r="G3" s="15">
        <v>359.4408</v>
      </c>
      <c r="H3" s="15">
        <v>260.0</v>
      </c>
      <c r="I3" s="15">
        <v>343.5</v>
      </c>
      <c r="J3" s="15">
        <v>15.94079</v>
      </c>
      <c r="K3" s="158">
        <f>AVERAGEA(J3:J8)</f>
        <v>16.37763167</v>
      </c>
    </row>
    <row r="4">
      <c r="A4" s="96" t="s">
        <v>112</v>
      </c>
      <c r="B4" s="130"/>
      <c r="C4" s="130"/>
      <c r="D4" s="130"/>
      <c r="F4" s="124"/>
      <c r="G4" s="20">
        <v>359.0868</v>
      </c>
      <c r="H4" s="20">
        <v>734.0</v>
      </c>
      <c r="I4" s="20">
        <v>341.5</v>
      </c>
      <c r="J4" s="20">
        <v>17.58684</v>
      </c>
    </row>
    <row r="5">
      <c r="F5" s="124"/>
      <c r="G5" s="20">
        <v>356.5882</v>
      </c>
      <c r="H5" s="20">
        <v>1212.0</v>
      </c>
      <c r="I5" s="20">
        <v>340.2</v>
      </c>
      <c r="J5" s="20">
        <v>16.38816</v>
      </c>
    </row>
    <row r="6">
      <c r="F6" s="124"/>
      <c r="G6" s="20">
        <v>357.4947</v>
      </c>
      <c r="H6" s="20">
        <v>1681.0</v>
      </c>
      <c r="I6" s="20">
        <v>341.1</v>
      </c>
      <c r="J6" s="20">
        <v>16.39474</v>
      </c>
    </row>
    <row r="7">
      <c r="F7" s="92"/>
      <c r="G7" s="20">
        <v>355.5026</v>
      </c>
      <c r="H7" s="20">
        <v>2154.0</v>
      </c>
      <c r="I7" s="20">
        <v>339.4</v>
      </c>
      <c r="J7" s="20">
        <v>16.10263</v>
      </c>
    </row>
    <row r="8">
      <c r="F8" s="92"/>
      <c r="G8" s="20">
        <v>354.7526</v>
      </c>
      <c r="H8" s="20">
        <v>2628.0</v>
      </c>
      <c r="I8" s="20">
        <v>338.9</v>
      </c>
      <c r="J8" s="20">
        <v>15.85263</v>
      </c>
    </row>
    <row r="9">
      <c r="F9" s="125" t="s">
        <v>155</v>
      </c>
      <c r="G9" s="25">
        <v>356.1264</v>
      </c>
      <c r="H9" s="25">
        <v>3102.0</v>
      </c>
      <c r="I9" s="25">
        <v>343.1</v>
      </c>
      <c r="J9" s="25">
        <v>13.0264</v>
      </c>
    </row>
    <row r="10">
      <c r="F10" s="124"/>
      <c r="G10" s="20">
        <v>354.1437</v>
      </c>
      <c r="H10" s="20">
        <v>3576.0</v>
      </c>
      <c r="I10" s="20">
        <v>341.8</v>
      </c>
      <c r="J10" s="20">
        <v>12.34365</v>
      </c>
      <c r="K10" s="158">
        <f>AVERAGE(J10:J16)</f>
        <v>11.82386286</v>
      </c>
    </row>
    <row r="11">
      <c r="F11" s="124"/>
      <c r="G11" s="20">
        <v>353.9698</v>
      </c>
      <c r="H11" s="20">
        <v>4046.0</v>
      </c>
      <c r="I11" s="20">
        <v>341.6</v>
      </c>
      <c r="J11" s="20">
        <v>12.36984</v>
      </c>
    </row>
    <row r="12">
      <c r="F12" s="92"/>
      <c r="G12" s="20">
        <v>353.2221</v>
      </c>
      <c r="H12" s="20">
        <v>4519.0</v>
      </c>
      <c r="I12" s="20">
        <v>342.0</v>
      </c>
      <c r="J12" s="20">
        <v>11.22214</v>
      </c>
    </row>
    <row r="13">
      <c r="F13" s="124"/>
      <c r="G13" s="20">
        <v>350.4311</v>
      </c>
      <c r="H13" s="20">
        <v>4994.0</v>
      </c>
      <c r="I13" s="20">
        <v>338.7</v>
      </c>
      <c r="J13" s="20">
        <v>11.73106</v>
      </c>
    </row>
    <row r="14">
      <c r="F14" s="124"/>
      <c r="G14" s="20">
        <v>349.8049</v>
      </c>
      <c r="H14" s="20">
        <v>5466.0</v>
      </c>
      <c r="I14" s="20">
        <v>337.3</v>
      </c>
      <c r="J14" s="20">
        <v>12.5049</v>
      </c>
    </row>
    <row r="15">
      <c r="F15" s="92"/>
      <c r="G15" s="20">
        <v>348.9242</v>
      </c>
      <c r="H15" s="20">
        <v>5939.0</v>
      </c>
      <c r="I15" s="20">
        <v>337.8</v>
      </c>
      <c r="J15" s="20">
        <v>11.12424</v>
      </c>
    </row>
    <row r="16">
      <c r="F16" s="124"/>
      <c r="G16" s="20">
        <v>348.4712</v>
      </c>
      <c r="H16" s="20">
        <v>6413.0</v>
      </c>
      <c r="I16" s="20">
        <v>337.0</v>
      </c>
      <c r="J16" s="20">
        <v>11.47121</v>
      </c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298</v>
      </c>
      <c r="B1" s="130"/>
      <c r="C1" s="130"/>
      <c r="D1" s="130"/>
      <c r="F1" s="21" t="s">
        <v>299</v>
      </c>
      <c r="M1" s="21" t="s">
        <v>300</v>
      </c>
    </row>
    <row r="2">
      <c r="A2" s="95" t="s">
        <v>90</v>
      </c>
      <c r="B2" s="130"/>
      <c r="C2" s="130"/>
      <c r="D2" s="130"/>
      <c r="F2" s="154"/>
      <c r="G2" s="155" t="s">
        <v>292</v>
      </c>
      <c r="H2" s="155" t="s">
        <v>293</v>
      </c>
      <c r="I2" s="155" t="s">
        <v>294</v>
      </c>
      <c r="J2" s="155" t="s">
        <v>295</v>
      </c>
      <c r="M2" s="154"/>
      <c r="N2" s="155" t="s">
        <v>292</v>
      </c>
      <c r="O2" s="155" t="s">
        <v>293</v>
      </c>
      <c r="P2" s="155" t="s">
        <v>294</v>
      </c>
      <c r="Q2" s="155" t="s">
        <v>295</v>
      </c>
    </row>
    <row r="3">
      <c r="A3" s="96" t="s">
        <v>111</v>
      </c>
      <c r="B3" s="130"/>
      <c r="C3" s="130"/>
      <c r="D3" s="130"/>
      <c r="F3" s="121" t="s">
        <v>69</v>
      </c>
      <c r="G3" s="156" t="s">
        <v>301</v>
      </c>
      <c r="H3" s="156">
        <v>297.0</v>
      </c>
      <c r="I3" s="156">
        <v>335.4</v>
      </c>
      <c r="J3" s="156">
        <v>22.83872</v>
      </c>
      <c r="M3" s="121" t="s">
        <v>22</v>
      </c>
      <c r="N3" s="156">
        <v>347.4694</v>
      </c>
      <c r="O3" s="156">
        <v>313.0</v>
      </c>
      <c r="P3" s="156">
        <v>325.6</v>
      </c>
      <c r="Q3" s="156">
        <v>21.86936</v>
      </c>
    </row>
    <row r="4">
      <c r="A4" s="96" t="s">
        <v>118</v>
      </c>
      <c r="B4" s="130"/>
      <c r="C4" s="130"/>
      <c r="D4" s="130"/>
      <c r="F4" s="124"/>
      <c r="G4" s="25">
        <v>358.2952</v>
      </c>
      <c r="H4" s="25">
        <v>771.0</v>
      </c>
      <c r="I4" s="25">
        <v>335.7</v>
      </c>
      <c r="J4" s="25">
        <v>22.59515</v>
      </c>
      <c r="M4" s="124"/>
      <c r="N4" s="25">
        <v>347.4032</v>
      </c>
      <c r="O4" s="25">
        <v>785.0</v>
      </c>
      <c r="P4" s="25">
        <v>326.6</v>
      </c>
      <c r="Q4" s="25">
        <v>20.80324</v>
      </c>
    </row>
    <row r="5">
      <c r="F5" s="124"/>
      <c r="G5" s="25">
        <v>355.7823</v>
      </c>
      <c r="H5" s="25">
        <v>1243.0</v>
      </c>
      <c r="I5" s="25">
        <v>333.1</v>
      </c>
      <c r="J5" s="25">
        <v>22.68227</v>
      </c>
      <c r="M5" s="92"/>
      <c r="N5" s="25">
        <v>348.0419</v>
      </c>
      <c r="O5" s="25">
        <v>1257.0</v>
      </c>
      <c r="P5" s="25">
        <v>327.4</v>
      </c>
      <c r="Q5" s="25">
        <v>20.64193</v>
      </c>
    </row>
    <row r="6">
      <c r="F6" s="92"/>
      <c r="G6" s="25">
        <v>353.3016</v>
      </c>
      <c r="H6" s="25">
        <v>1718.0</v>
      </c>
      <c r="I6" s="25">
        <v>330.8</v>
      </c>
      <c r="J6" s="25">
        <v>22.50161</v>
      </c>
      <c r="M6" s="124"/>
      <c r="N6" s="25">
        <v>347.171</v>
      </c>
      <c r="O6" s="25">
        <v>1731.0</v>
      </c>
      <c r="P6" s="25">
        <v>325.7</v>
      </c>
      <c r="Q6" s="25">
        <v>21.47096</v>
      </c>
    </row>
    <row r="7">
      <c r="F7" s="124"/>
      <c r="G7" s="25">
        <v>353.1113</v>
      </c>
      <c r="H7" s="25">
        <v>2192.0</v>
      </c>
      <c r="I7" s="25">
        <v>329.3</v>
      </c>
      <c r="J7" s="25">
        <v>23.8113</v>
      </c>
      <c r="M7" s="92"/>
      <c r="N7" s="25">
        <v>344.9468</v>
      </c>
      <c r="O7" s="25">
        <v>11503.0</v>
      </c>
      <c r="P7" s="25">
        <v>324.5</v>
      </c>
      <c r="Q7" s="25">
        <v>20.44678</v>
      </c>
    </row>
    <row r="8">
      <c r="F8" s="124"/>
      <c r="G8" s="25">
        <v>349.6548</v>
      </c>
      <c r="H8" s="25">
        <v>2665.0</v>
      </c>
      <c r="I8" s="25">
        <v>326.9</v>
      </c>
      <c r="J8" s="25">
        <v>22.75483</v>
      </c>
      <c r="M8" s="92"/>
      <c r="N8" s="25">
        <v>345.8081</v>
      </c>
      <c r="O8" s="25">
        <v>11977.0</v>
      </c>
      <c r="P8" s="25">
        <v>324.8</v>
      </c>
      <c r="Q8" s="25">
        <v>21.00806</v>
      </c>
    </row>
    <row r="9">
      <c r="F9" s="125" t="s">
        <v>22</v>
      </c>
      <c r="G9" s="25">
        <v>349.5597</v>
      </c>
      <c r="H9" s="25">
        <v>3139.0</v>
      </c>
      <c r="I9" s="25">
        <v>326.2</v>
      </c>
      <c r="J9" s="25">
        <v>23.35967</v>
      </c>
      <c r="M9" s="124"/>
      <c r="N9" s="25">
        <v>344.6258</v>
      </c>
      <c r="O9" s="25">
        <v>12451.0</v>
      </c>
      <c r="P9" s="25">
        <v>323.6</v>
      </c>
      <c r="Q9" s="25">
        <v>21.02581</v>
      </c>
    </row>
    <row r="10">
      <c r="F10" s="92"/>
      <c r="G10" s="25">
        <v>347.4694</v>
      </c>
      <c r="H10" s="25">
        <v>3613.0</v>
      </c>
      <c r="I10" s="25">
        <v>325.6</v>
      </c>
      <c r="J10" s="25">
        <v>21.86936</v>
      </c>
      <c r="M10" s="124"/>
      <c r="N10" s="25">
        <v>344.0032</v>
      </c>
      <c r="O10" s="25">
        <v>12922.0</v>
      </c>
      <c r="P10" s="25">
        <v>323.1</v>
      </c>
      <c r="Q10" s="25">
        <v>20.90323</v>
      </c>
    </row>
    <row r="11">
      <c r="F11" s="124"/>
      <c r="G11" s="25">
        <v>347.4032</v>
      </c>
      <c r="H11" s="25">
        <v>4085.0</v>
      </c>
      <c r="I11" s="25">
        <v>326.6</v>
      </c>
      <c r="J11" s="25">
        <v>20.80324</v>
      </c>
      <c r="M11" s="125" t="s">
        <v>68</v>
      </c>
      <c r="N11" s="25">
        <v>346.9645</v>
      </c>
      <c r="O11" s="25">
        <v>13384.0</v>
      </c>
      <c r="P11" s="25">
        <v>328.8</v>
      </c>
      <c r="Q11" s="25">
        <v>18.16453</v>
      </c>
    </row>
    <row r="12">
      <c r="F12" s="92"/>
      <c r="G12" s="25">
        <v>348.0419</v>
      </c>
      <c r="H12" s="25">
        <v>4557.0</v>
      </c>
      <c r="I12" s="25">
        <v>327.4</v>
      </c>
      <c r="J12" s="25">
        <v>20.64193</v>
      </c>
      <c r="M12" s="92"/>
      <c r="N12" s="25">
        <v>346.0048</v>
      </c>
      <c r="O12" s="25">
        <v>13856.0</v>
      </c>
      <c r="P12" s="25">
        <v>330.7</v>
      </c>
      <c r="Q12" s="25">
        <v>15.30483</v>
      </c>
    </row>
    <row r="13">
      <c r="F13" s="124"/>
      <c r="G13" s="25">
        <v>347.171</v>
      </c>
      <c r="H13" s="25">
        <v>5031.0</v>
      </c>
      <c r="I13" s="25">
        <v>325.7</v>
      </c>
      <c r="J13" s="25">
        <v>21.47096</v>
      </c>
      <c r="M13" s="124"/>
      <c r="N13" s="25">
        <v>344.1823</v>
      </c>
      <c r="O13" s="25">
        <v>14331.0</v>
      </c>
      <c r="P13" s="25">
        <v>329.4</v>
      </c>
      <c r="Q13" s="25">
        <v>14.78226</v>
      </c>
    </row>
    <row r="14">
      <c r="F14" s="92"/>
      <c r="G14" s="25">
        <v>344.9468</v>
      </c>
      <c r="H14" s="25">
        <v>5504.0</v>
      </c>
      <c r="I14" s="25">
        <v>324.5</v>
      </c>
      <c r="J14" s="25">
        <v>20.44678</v>
      </c>
      <c r="M14" s="124"/>
      <c r="N14" s="25">
        <v>343.8645</v>
      </c>
      <c r="O14" s="25">
        <v>14803.0</v>
      </c>
      <c r="P14" s="25">
        <v>329.0</v>
      </c>
      <c r="Q14" s="25">
        <v>14.86452</v>
      </c>
    </row>
    <row r="15">
      <c r="F15" s="92"/>
      <c r="G15" s="25">
        <v>345.8081</v>
      </c>
      <c r="H15" s="25">
        <v>5978.0</v>
      </c>
      <c r="I15" s="25">
        <v>324.8</v>
      </c>
      <c r="J15" s="25">
        <v>21.00806</v>
      </c>
      <c r="M15" s="124"/>
      <c r="N15" s="25">
        <v>343.5143</v>
      </c>
      <c r="O15" s="25">
        <v>15278.0</v>
      </c>
      <c r="P15" s="25">
        <v>329.9</v>
      </c>
      <c r="Q15" s="25">
        <v>13.61429</v>
      </c>
    </row>
    <row r="16">
      <c r="F16" s="124"/>
      <c r="G16" s="25">
        <v>344.6258</v>
      </c>
      <c r="H16" s="25">
        <v>6452.0</v>
      </c>
      <c r="I16" s="25">
        <v>323.6</v>
      </c>
      <c r="J16" s="25">
        <v>21.02581</v>
      </c>
      <c r="M16" s="124"/>
      <c r="N16" s="25">
        <v>342.8086</v>
      </c>
      <c r="O16" s="25">
        <v>15750.0</v>
      </c>
      <c r="P16" s="25">
        <v>329.7</v>
      </c>
      <c r="Q16" s="25">
        <v>13.10858</v>
      </c>
    </row>
    <row r="17">
      <c r="F17" s="124"/>
      <c r="G17" s="25">
        <v>344.0032</v>
      </c>
      <c r="H17" s="25">
        <v>6923.0</v>
      </c>
      <c r="I17" s="25">
        <v>323.1</v>
      </c>
      <c r="J17" s="25">
        <v>20.90323</v>
      </c>
      <c r="M17" s="124"/>
      <c r="N17" s="25">
        <v>342.8695</v>
      </c>
      <c r="O17" s="25">
        <v>16225.0</v>
      </c>
      <c r="P17" s="25">
        <v>329.6</v>
      </c>
      <c r="Q17" s="25">
        <v>13.26948</v>
      </c>
    </row>
    <row r="18">
      <c r="F18" s="76"/>
      <c r="G18" s="76"/>
      <c r="H18" s="76"/>
      <c r="I18" s="76"/>
      <c r="J18" s="76"/>
      <c r="M18" s="92"/>
      <c r="N18" s="25">
        <v>341.8593</v>
      </c>
      <c r="O18" s="25">
        <v>16696.0</v>
      </c>
      <c r="P18" s="25">
        <v>329.0</v>
      </c>
      <c r="Q18" s="25">
        <v>12.85933</v>
      </c>
    </row>
    <row r="19">
      <c r="F19" s="76"/>
      <c r="G19" s="76"/>
      <c r="H19" s="76"/>
      <c r="I19" s="76"/>
      <c r="J19" s="76"/>
      <c r="M19" s="124"/>
      <c r="N19" s="25">
        <v>341.178</v>
      </c>
      <c r="O19" s="25">
        <v>17170.0</v>
      </c>
      <c r="P19" s="25">
        <v>327.9</v>
      </c>
      <c r="Q19" s="25">
        <v>13.27798</v>
      </c>
    </row>
    <row r="20">
      <c r="M20" s="124"/>
      <c r="N20" s="25">
        <v>340.51</v>
      </c>
      <c r="O20" s="25">
        <v>17644.0</v>
      </c>
      <c r="P20" s="25">
        <v>327.7</v>
      </c>
      <c r="Q20" s="25">
        <v>12.81001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302</v>
      </c>
      <c r="B1" s="130"/>
      <c r="C1" s="130"/>
      <c r="D1" s="130"/>
    </row>
    <row r="2">
      <c r="A2" s="95" t="s">
        <v>90</v>
      </c>
      <c r="B2" s="130"/>
      <c r="C2" s="130"/>
      <c r="D2" s="130"/>
      <c r="F2" s="21" t="s">
        <v>303</v>
      </c>
      <c r="M2" s="21" t="s">
        <v>304</v>
      </c>
    </row>
    <row r="3">
      <c r="A3" s="96" t="s">
        <v>111</v>
      </c>
      <c r="B3" s="130"/>
      <c r="C3" s="130"/>
      <c r="D3" s="130"/>
      <c r="F3" s="154"/>
      <c r="G3" s="155" t="s">
        <v>292</v>
      </c>
      <c r="H3" s="155" t="s">
        <v>293</v>
      </c>
      <c r="I3" s="155" t="s">
        <v>294</v>
      </c>
      <c r="J3" s="155" t="s">
        <v>295</v>
      </c>
      <c r="M3" s="154"/>
      <c r="N3" s="155" t="s">
        <v>292</v>
      </c>
      <c r="O3" s="155" t="s">
        <v>293</v>
      </c>
      <c r="P3" s="155" t="s">
        <v>294</v>
      </c>
      <c r="Q3" s="155" t="s">
        <v>295</v>
      </c>
    </row>
    <row r="4">
      <c r="A4" s="96" t="s">
        <v>118</v>
      </c>
      <c r="B4" s="130"/>
      <c r="C4" s="130"/>
      <c r="D4" s="130"/>
      <c r="F4" s="121" t="s">
        <v>66</v>
      </c>
      <c r="G4" s="159">
        <v>305.0782</v>
      </c>
      <c r="H4" s="159">
        <v>240.0</v>
      </c>
      <c r="I4" s="159">
        <v>297.04</v>
      </c>
      <c r="J4" s="159">
        <v>8.03823</v>
      </c>
      <c r="M4" s="79" t="s">
        <v>69</v>
      </c>
      <c r="N4" s="159">
        <v>299.543</v>
      </c>
      <c r="O4" s="159">
        <v>278.0</v>
      </c>
      <c r="P4" s="159">
        <v>291.92</v>
      </c>
      <c r="Q4" s="159">
        <v>7.62299</v>
      </c>
    </row>
    <row r="5">
      <c r="F5" s="92"/>
      <c r="G5" s="160">
        <v>304.2616</v>
      </c>
      <c r="H5" s="160">
        <v>713.0</v>
      </c>
      <c r="I5" s="160">
        <v>296.58</v>
      </c>
      <c r="J5" s="160">
        <v>7.68163</v>
      </c>
      <c r="M5" s="92"/>
      <c r="N5" s="160">
        <v>299.3741</v>
      </c>
      <c r="O5" s="160">
        <v>753.0</v>
      </c>
      <c r="P5" s="160">
        <v>292.11</v>
      </c>
      <c r="Q5" s="160">
        <v>7.26414</v>
      </c>
    </row>
    <row r="6">
      <c r="F6" s="124"/>
      <c r="G6" s="160">
        <v>304.2531</v>
      </c>
      <c r="H6" s="160">
        <v>1185.0</v>
      </c>
      <c r="I6" s="160">
        <v>295.77</v>
      </c>
      <c r="J6" s="160">
        <v>8.4831</v>
      </c>
      <c r="M6" s="92"/>
      <c r="N6" s="160">
        <v>299.4634</v>
      </c>
      <c r="O6" s="160">
        <v>1225.0</v>
      </c>
      <c r="P6" s="160">
        <v>291.94</v>
      </c>
      <c r="Q6" s="160">
        <v>7.52337</v>
      </c>
    </row>
    <row r="7">
      <c r="F7" s="124"/>
      <c r="G7" s="160">
        <v>304.689</v>
      </c>
      <c r="H7" s="160">
        <v>1662.0</v>
      </c>
      <c r="I7" s="160">
        <v>297.34</v>
      </c>
      <c r="J7" s="160">
        <v>7.34897</v>
      </c>
      <c r="M7" s="92"/>
      <c r="N7" s="160">
        <v>299.4595</v>
      </c>
      <c r="O7" s="160">
        <v>1700.0</v>
      </c>
      <c r="P7" s="160">
        <v>291.92</v>
      </c>
      <c r="Q7" s="160">
        <v>7.53949</v>
      </c>
    </row>
    <row r="8">
      <c r="F8" s="92"/>
      <c r="G8" s="160">
        <v>304.3332</v>
      </c>
      <c r="H8" s="160">
        <v>2133.0</v>
      </c>
      <c r="I8" s="160">
        <v>296.44</v>
      </c>
      <c r="J8" s="160">
        <v>7.89323</v>
      </c>
      <c r="M8" s="92"/>
      <c r="N8" s="160">
        <v>299.5751</v>
      </c>
      <c r="O8" s="160">
        <v>2172.0</v>
      </c>
      <c r="P8" s="160">
        <v>291.75</v>
      </c>
      <c r="Q8" s="160">
        <v>7.82514</v>
      </c>
    </row>
    <row r="9">
      <c r="F9" s="92"/>
      <c r="G9" s="160">
        <v>304.0942</v>
      </c>
      <c r="H9" s="160">
        <v>2607.0</v>
      </c>
      <c r="I9" s="160">
        <v>296.48</v>
      </c>
      <c r="J9" s="160">
        <v>7.61418</v>
      </c>
      <c r="M9" s="92"/>
      <c r="N9" s="160">
        <v>299.4521</v>
      </c>
      <c r="O9" s="160">
        <v>2646.0</v>
      </c>
      <c r="P9" s="160">
        <v>292.11</v>
      </c>
      <c r="Q9" s="160">
        <v>7.3421</v>
      </c>
    </row>
    <row r="10">
      <c r="F10" s="125" t="s">
        <v>23</v>
      </c>
      <c r="G10" s="25">
        <v>302.0332</v>
      </c>
      <c r="H10" s="25">
        <v>3064.0</v>
      </c>
      <c r="I10" s="25">
        <v>296.14</v>
      </c>
      <c r="J10" s="25">
        <v>5.8932</v>
      </c>
      <c r="M10" s="92"/>
      <c r="N10" s="160">
        <v>299.3245</v>
      </c>
      <c r="O10" s="160">
        <v>3120.0</v>
      </c>
      <c r="P10" s="160">
        <v>291.79</v>
      </c>
      <c r="Q10" s="160">
        <v>7.53444</v>
      </c>
    </row>
    <row r="11">
      <c r="F11" s="92"/>
      <c r="G11" s="25">
        <v>302.4667</v>
      </c>
      <c r="H11" s="25">
        <v>3542.0</v>
      </c>
      <c r="I11" s="25">
        <v>296.77</v>
      </c>
      <c r="J11" s="25">
        <v>5.69668</v>
      </c>
      <c r="M11" s="157" t="s">
        <v>22</v>
      </c>
      <c r="N11" s="25">
        <v>299.3925</v>
      </c>
      <c r="O11" s="25">
        <v>3591.0</v>
      </c>
      <c r="P11" s="25">
        <v>293.15</v>
      </c>
      <c r="Q11" s="25">
        <v>6.24249</v>
      </c>
    </row>
    <row r="12">
      <c r="F12" s="124"/>
      <c r="G12" s="160">
        <v>302.2422</v>
      </c>
      <c r="H12" s="160">
        <v>4013.0</v>
      </c>
      <c r="I12" s="160">
        <v>297.25</v>
      </c>
      <c r="J12" s="160">
        <v>4.9922</v>
      </c>
      <c r="M12" s="92"/>
      <c r="N12" s="25">
        <v>299.4802</v>
      </c>
      <c r="O12" s="25">
        <v>4067.0</v>
      </c>
      <c r="P12" s="25">
        <v>293.4</v>
      </c>
      <c r="Q12" s="25">
        <v>6.08019</v>
      </c>
    </row>
    <row r="13">
      <c r="F13" s="92"/>
      <c r="G13" s="160">
        <v>301.3009</v>
      </c>
      <c r="H13" s="160">
        <v>4485.0</v>
      </c>
      <c r="I13" s="160">
        <v>296.44</v>
      </c>
      <c r="J13" s="160">
        <v>4.86087</v>
      </c>
      <c r="M13" s="92"/>
      <c r="N13" s="25">
        <v>299.2871</v>
      </c>
      <c r="O13" s="25">
        <v>4543.0</v>
      </c>
      <c r="P13" s="25">
        <v>293.49</v>
      </c>
      <c r="Q13" s="25">
        <v>5.79707</v>
      </c>
    </row>
    <row r="14">
      <c r="F14" s="92"/>
      <c r="G14" s="160">
        <v>301.8901</v>
      </c>
      <c r="H14" s="160">
        <v>4959.0</v>
      </c>
      <c r="I14" s="160">
        <v>297.04</v>
      </c>
      <c r="J14" s="160">
        <v>4.85011</v>
      </c>
      <c r="M14" s="92"/>
      <c r="N14" s="160">
        <v>299.316</v>
      </c>
      <c r="O14" s="160">
        <v>5012.0</v>
      </c>
      <c r="P14" s="160">
        <v>293.72</v>
      </c>
      <c r="Q14" s="160">
        <v>5.59596</v>
      </c>
    </row>
    <row r="15">
      <c r="F15" s="92"/>
      <c r="G15" s="160">
        <v>301.4337</v>
      </c>
      <c r="H15" s="160">
        <v>5433.0</v>
      </c>
      <c r="I15" s="160">
        <v>296.42</v>
      </c>
      <c r="J15" s="160">
        <v>5.01369</v>
      </c>
      <c r="M15" s="92"/>
      <c r="N15" s="160">
        <v>299.3581</v>
      </c>
      <c r="O15" s="160">
        <v>5488.0</v>
      </c>
      <c r="P15" s="160">
        <v>293.8</v>
      </c>
      <c r="Q15" s="160">
        <v>5.5581</v>
      </c>
    </row>
    <row r="16">
      <c r="F16" s="92"/>
      <c r="G16" s="160">
        <v>302.239</v>
      </c>
      <c r="H16" s="160">
        <v>5907.0</v>
      </c>
      <c r="I16" s="160">
        <v>297.21</v>
      </c>
      <c r="J16" s="160">
        <v>5.02903</v>
      </c>
      <c r="M16" s="92"/>
      <c r="N16" s="160">
        <v>299.4612</v>
      </c>
      <c r="O16" s="160">
        <v>5959.0</v>
      </c>
      <c r="P16" s="160">
        <v>293.93</v>
      </c>
      <c r="Q16" s="160">
        <v>5.5312</v>
      </c>
    </row>
    <row r="17">
      <c r="F17" s="92"/>
      <c r="G17" s="160">
        <v>302.101</v>
      </c>
      <c r="H17" s="160">
        <v>6379.0</v>
      </c>
      <c r="I17" s="160">
        <v>297.69</v>
      </c>
      <c r="J17" s="160">
        <v>4.41099</v>
      </c>
      <c r="M17" s="92"/>
      <c r="N17" s="160">
        <v>299.4555</v>
      </c>
      <c r="O17" s="160">
        <v>6432.0</v>
      </c>
      <c r="P17" s="160">
        <v>293.95</v>
      </c>
      <c r="Q17" s="160">
        <v>5.50549</v>
      </c>
    </row>
    <row r="18">
      <c r="M18" s="92"/>
      <c r="N18" s="160">
        <v>299.3044</v>
      </c>
      <c r="O18" s="160">
        <v>6907.0</v>
      </c>
      <c r="P18" s="160">
        <v>293.66</v>
      </c>
      <c r="Q18" s="160">
        <v>5.6444</v>
      </c>
    </row>
    <row r="19">
      <c r="M19" s="92"/>
      <c r="N19" s="160">
        <v>299.1682</v>
      </c>
      <c r="O19" s="160">
        <v>7379.0</v>
      </c>
      <c r="P19" s="160">
        <v>293.99</v>
      </c>
      <c r="Q19" s="160">
        <v>5.17817</v>
      </c>
    </row>
    <row r="20">
      <c r="M20" s="92"/>
      <c r="N20" s="160">
        <v>299.2329</v>
      </c>
      <c r="O20" s="160">
        <v>7851.0</v>
      </c>
      <c r="P20" s="160">
        <v>293.8</v>
      </c>
      <c r="Q20" s="160">
        <v>5.43295</v>
      </c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305</v>
      </c>
      <c r="D1" s="76"/>
      <c r="E1" s="77" t="s">
        <v>306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113</v>
      </c>
      <c r="E4" s="83">
        <v>335.8629</v>
      </c>
      <c r="F4" s="111">
        <v>301.0</v>
      </c>
      <c r="G4" s="83">
        <v>310.6</v>
      </c>
      <c r="H4" s="84">
        <v>25.26285</v>
      </c>
    </row>
    <row r="5">
      <c r="D5" s="76"/>
      <c r="E5" s="83">
        <v>337.0912</v>
      </c>
      <c r="F5" s="142">
        <v>775.0</v>
      </c>
      <c r="G5" s="84">
        <v>310.9</v>
      </c>
      <c r="H5" s="84">
        <v>26.19118</v>
      </c>
    </row>
    <row r="6">
      <c r="D6" s="76"/>
      <c r="E6" s="83">
        <v>336.0441</v>
      </c>
      <c r="F6" s="84">
        <v>1247.0</v>
      </c>
      <c r="G6" s="84">
        <v>310.1</v>
      </c>
      <c r="H6" s="84">
        <v>25.94412</v>
      </c>
    </row>
    <row r="7">
      <c r="D7" s="76"/>
      <c r="E7" s="83">
        <v>335.9294</v>
      </c>
      <c r="F7" s="84">
        <v>1719.0</v>
      </c>
      <c r="G7" s="84">
        <v>310.1</v>
      </c>
      <c r="H7" s="84">
        <v>25.82942</v>
      </c>
    </row>
    <row r="8">
      <c r="D8" s="76"/>
      <c r="E8" s="83">
        <v>335.8088</v>
      </c>
      <c r="F8" s="84">
        <v>2192.0</v>
      </c>
      <c r="G8" s="84">
        <v>309.3</v>
      </c>
      <c r="H8" s="84">
        <v>26.50881</v>
      </c>
    </row>
    <row r="9">
      <c r="D9" s="76"/>
      <c r="E9" s="24">
        <v>336.8559</v>
      </c>
      <c r="F9" s="25">
        <v>2667.0</v>
      </c>
      <c r="G9" s="25">
        <v>316.1</v>
      </c>
      <c r="H9" s="25">
        <v>20.75588</v>
      </c>
    </row>
    <row r="10">
      <c r="D10" s="76"/>
      <c r="E10" s="24">
        <v>336.9114</v>
      </c>
      <c r="F10" s="25">
        <v>3142.0</v>
      </c>
      <c r="G10" s="25">
        <v>317.5</v>
      </c>
      <c r="H10" s="25">
        <v>19.41143</v>
      </c>
    </row>
    <row r="11">
      <c r="D11" s="82" t="s">
        <v>114</v>
      </c>
      <c r="E11" s="24">
        <v>334.5</v>
      </c>
      <c r="F11" s="25">
        <v>3615.0</v>
      </c>
      <c r="G11" s="25">
        <v>315.8</v>
      </c>
      <c r="H11" s="25">
        <v>18.69999</v>
      </c>
    </row>
    <row r="12">
      <c r="D12" s="76"/>
      <c r="E12" s="83">
        <v>333.5265</v>
      </c>
      <c r="F12" s="84">
        <v>4088.0</v>
      </c>
      <c r="G12" s="84">
        <v>316.0</v>
      </c>
      <c r="H12" s="84">
        <v>17.52647</v>
      </c>
    </row>
    <row r="13">
      <c r="D13" s="76"/>
      <c r="E13" s="83">
        <v>331.7412</v>
      </c>
      <c r="F13" s="84">
        <v>4567.0</v>
      </c>
      <c r="G13" s="84">
        <v>314.4</v>
      </c>
      <c r="H13" s="84">
        <v>17.34119</v>
      </c>
    </row>
    <row r="14">
      <c r="D14" s="76"/>
      <c r="E14" s="83">
        <v>331.7314</v>
      </c>
      <c r="F14" s="84">
        <v>5041.0</v>
      </c>
      <c r="G14" s="84">
        <v>314.7</v>
      </c>
      <c r="H14" s="84">
        <v>17.03142</v>
      </c>
    </row>
    <row r="15">
      <c r="D15" s="76"/>
      <c r="E15" s="83">
        <v>332.0743</v>
      </c>
      <c r="F15" s="84">
        <v>5513.0</v>
      </c>
      <c r="G15" s="84">
        <v>314.8</v>
      </c>
      <c r="H15" s="84">
        <v>17.2743</v>
      </c>
    </row>
    <row r="16">
      <c r="D16" s="76"/>
      <c r="E16" s="83">
        <v>328.6314</v>
      </c>
      <c r="F16" s="84">
        <v>5987.0</v>
      </c>
      <c r="G16" s="84">
        <v>312.9</v>
      </c>
      <c r="H16" s="84">
        <v>15.73142</v>
      </c>
    </row>
    <row r="17">
      <c r="D17" s="76"/>
      <c r="E17" s="83">
        <v>327.4853</v>
      </c>
      <c r="F17" s="84">
        <v>6462.0</v>
      </c>
      <c r="G17" s="84">
        <v>312.2</v>
      </c>
      <c r="H17" s="84">
        <v>15.28528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307</v>
      </c>
      <c r="E1" s="76"/>
      <c r="F1" s="77" t="s">
        <v>308</v>
      </c>
    </row>
    <row r="2">
      <c r="A2" s="95" t="s">
        <v>90</v>
      </c>
      <c r="E2" s="76"/>
      <c r="F2" s="76"/>
      <c r="G2" s="76"/>
      <c r="H2" s="76"/>
      <c r="I2" s="76"/>
    </row>
    <row r="3">
      <c r="A3" s="96" t="s">
        <v>111</v>
      </c>
      <c r="E3" s="76"/>
      <c r="F3" s="79" t="s">
        <v>10</v>
      </c>
      <c r="G3" s="80" t="s">
        <v>11</v>
      </c>
      <c r="H3" s="80" t="s">
        <v>12</v>
      </c>
      <c r="I3" s="81" t="s">
        <v>85</v>
      </c>
    </row>
    <row r="4">
      <c r="A4" s="96" t="s">
        <v>118</v>
      </c>
      <c r="E4" s="82" t="s">
        <v>95</v>
      </c>
      <c r="F4" s="83">
        <v>299.5774</v>
      </c>
      <c r="G4" s="84">
        <v>301.0</v>
      </c>
      <c r="H4" s="84">
        <v>283.66</v>
      </c>
      <c r="I4" s="84">
        <v>15.91736</v>
      </c>
    </row>
    <row r="5">
      <c r="E5" s="76"/>
      <c r="F5" s="83">
        <v>299.1098</v>
      </c>
      <c r="G5" s="84">
        <v>775.0</v>
      </c>
      <c r="H5" s="84">
        <v>283.55</v>
      </c>
      <c r="I5" s="84">
        <v>15.55983</v>
      </c>
    </row>
    <row r="6">
      <c r="E6" s="76"/>
      <c r="F6" s="83">
        <v>298.8546</v>
      </c>
      <c r="G6" s="84">
        <v>1248.0</v>
      </c>
      <c r="H6" s="84">
        <v>283.32</v>
      </c>
      <c r="I6" s="84">
        <v>15.53462</v>
      </c>
    </row>
    <row r="7">
      <c r="E7" s="76"/>
      <c r="F7" s="83">
        <v>299.2915</v>
      </c>
      <c r="G7" s="84">
        <v>1727.0</v>
      </c>
      <c r="H7" s="84">
        <v>283.95</v>
      </c>
      <c r="I7" s="84">
        <v>15.34147</v>
      </c>
    </row>
    <row r="8">
      <c r="E8" s="76"/>
      <c r="F8" s="83">
        <v>299.5417</v>
      </c>
      <c r="G8" s="84">
        <v>2199.0</v>
      </c>
      <c r="H8" s="84">
        <v>283.32</v>
      </c>
      <c r="I8" s="84">
        <v>16.22166</v>
      </c>
    </row>
    <row r="9">
      <c r="E9" s="76"/>
      <c r="F9" s="83">
        <v>299.3734</v>
      </c>
      <c r="G9" s="84">
        <v>2672.0</v>
      </c>
      <c r="H9" s="84">
        <v>284.33</v>
      </c>
      <c r="I9" s="84">
        <v>15.04341</v>
      </c>
    </row>
    <row r="10">
      <c r="E10" s="82" t="s">
        <v>107</v>
      </c>
      <c r="F10" s="24">
        <v>298.5335</v>
      </c>
      <c r="G10" s="25">
        <v>3147.0</v>
      </c>
      <c r="H10" s="25">
        <v>288.03</v>
      </c>
      <c r="I10" s="25">
        <v>10.50352</v>
      </c>
    </row>
    <row r="11">
      <c r="E11" s="76"/>
      <c r="F11" s="83">
        <v>298.752</v>
      </c>
      <c r="G11" s="84">
        <v>3621.0</v>
      </c>
      <c r="H11" s="84">
        <v>291.23</v>
      </c>
      <c r="I11" s="84">
        <v>7.52203</v>
      </c>
    </row>
    <row r="12">
      <c r="E12" s="76"/>
      <c r="F12" s="83">
        <v>298.9757</v>
      </c>
      <c r="G12" s="84">
        <v>4093.0</v>
      </c>
      <c r="H12" s="84">
        <v>291.67</v>
      </c>
      <c r="I12" s="84">
        <v>7.30573</v>
      </c>
    </row>
    <row r="13">
      <c r="E13" s="76"/>
      <c r="F13" s="83">
        <v>298.9552</v>
      </c>
      <c r="G13" s="84">
        <v>4568.0</v>
      </c>
      <c r="H13" s="84">
        <v>291.42</v>
      </c>
      <c r="I13" s="84">
        <v>7.53517</v>
      </c>
    </row>
    <row r="14">
      <c r="E14" s="76"/>
      <c r="F14" s="83">
        <v>298.5194</v>
      </c>
      <c r="G14" s="84">
        <v>5041.0</v>
      </c>
      <c r="H14" s="84">
        <v>291.0</v>
      </c>
      <c r="I14" s="84">
        <v>7.51943</v>
      </c>
    </row>
    <row r="15">
      <c r="E15" s="76"/>
      <c r="F15" s="83">
        <v>298.8696</v>
      </c>
      <c r="G15" s="84">
        <v>5514.0</v>
      </c>
      <c r="H15" s="84">
        <v>291.33</v>
      </c>
      <c r="I15" s="84">
        <v>7.53964</v>
      </c>
    </row>
    <row r="16">
      <c r="E16" s="76"/>
      <c r="F16" s="83">
        <v>298.5221</v>
      </c>
      <c r="G16" s="84">
        <v>5988.0</v>
      </c>
      <c r="H16" s="84">
        <v>290.58</v>
      </c>
      <c r="I16" s="84">
        <v>7.94209</v>
      </c>
    </row>
    <row r="17">
      <c r="E17" s="76"/>
      <c r="F17" s="76"/>
      <c r="G17" s="76"/>
      <c r="H17" s="76"/>
      <c r="I17" s="76"/>
    </row>
    <row r="18">
      <c r="E18" s="76"/>
      <c r="F18" s="76"/>
      <c r="G18" s="76"/>
      <c r="H18" s="76"/>
      <c r="I18" s="76"/>
    </row>
    <row r="19">
      <c r="E19" s="76"/>
      <c r="F19" s="76"/>
      <c r="G19" s="76"/>
      <c r="H19" s="76"/>
      <c r="I19" s="76"/>
    </row>
    <row r="20">
      <c r="E20" s="76"/>
      <c r="F20" s="76"/>
      <c r="G20" s="76"/>
      <c r="H20" s="76"/>
      <c r="I20" s="76"/>
    </row>
    <row r="21">
      <c r="E21" s="76"/>
      <c r="F21" s="76"/>
      <c r="G21" s="76"/>
      <c r="H21" s="76"/>
      <c r="I21" s="76"/>
    </row>
    <row r="22">
      <c r="E22" s="76"/>
      <c r="F22" s="76"/>
      <c r="G22" s="76"/>
      <c r="H22" s="76"/>
      <c r="I22" s="76"/>
    </row>
    <row r="23">
      <c r="E23" s="76"/>
      <c r="F23" s="76"/>
      <c r="G23" s="76"/>
      <c r="H23" s="76"/>
      <c r="I23" s="76"/>
    </row>
    <row r="24">
      <c r="E24" s="76"/>
      <c r="F24" s="76"/>
      <c r="G24" s="76"/>
      <c r="H24" s="76"/>
      <c r="I24" s="76"/>
    </row>
    <row r="25">
      <c r="E25" s="76"/>
      <c r="F25" s="76"/>
      <c r="G25" s="76"/>
      <c r="H25" s="76"/>
      <c r="I25" s="76"/>
    </row>
    <row r="26">
      <c r="E26" s="76"/>
      <c r="F26" s="76"/>
      <c r="G26" s="76"/>
      <c r="H26" s="76"/>
      <c r="I26" s="76"/>
    </row>
  </sheetData>
  <mergeCells count="1">
    <mergeCell ref="F1:I1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309</v>
      </c>
      <c r="D1" s="76"/>
      <c r="E1" s="77" t="s">
        <v>310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95</v>
      </c>
      <c r="E4" s="83">
        <v>337.9466</v>
      </c>
      <c r="F4" s="84">
        <v>301.0</v>
      </c>
      <c r="G4" s="84">
        <v>314.6</v>
      </c>
      <c r="H4" s="84">
        <v>23.34656</v>
      </c>
    </row>
    <row r="5">
      <c r="D5" s="76"/>
      <c r="E5" s="83">
        <v>337.3328</v>
      </c>
      <c r="F5" s="84">
        <v>774.0</v>
      </c>
      <c r="G5" s="84">
        <v>313.8</v>
      </c>
      <c r="H5" s="84">
        <v>23.53275</v>
      </c>
    </row>
    <row r="6">
      <c r="D6" s="76"/>
      <c r="E6" s="83">
        <v>335.7759</v>
      </c>
      <c r="F6" s="84">
        <v>1249.0</v>
      </c>
      <c r="G6" s="84">
        <v>310.5</v>
      </c>
      <c r="H6" s="84">
        <v>25.27586</v>
      </c>
    </row>
    <row r="7">
      <c r="D7" s="76"/>
      <c r="E7" s="83">
        <v>336.0069</v>
      </c>
      <c r="F7" s="84">
        <v>1721.0</v>
      </c>
      <c r="G7" s="84">
        <v>311.3</v>
      </c>
      <c r="H7" s="84">
        <v>24.70688</v>
      </c>
    </row>
    <row r="8">
      <c r="D8" s="76"/>
      <c r="E8" s="83">
        <v>335.6914</v>
      </c>
      <c r="F8" s="84">
        <v>2195.0</v>
      </c>
      <c r="G8" s="84">
        <v>310.7</v>
      </c>
      <c r="H8" s="84">
        <v>24.99138</v>
      </c>
    </row>
    <row r="9">
      <c r="D9" s="76"/>
      <c r="E9" s="83">
        <v>333.5</v>
      </c>
      <c r="F9" s="84">
        <v>2668.0</v>
      </c>
      <c r="G9" s="84">
        <v>308.2</v>
      </c>
      <c r="H9" s="84">
        <v>25.3</v>
      </c>
    </row>
    <row r="10">
      <c r="D10" s="76"/>
      <c r="E10" s="24">
        <v>333.5729</v>
      </c>
      <c r="F10" s="25">
        <v>3142.0</v>
      </c>
      <c r="G10" s="25">
        <v>307.2</v>
      </c>
      <c r="H10" s="25">
        <v>26.37287</v>
      </c>
    </row>
    <row r="11">
      <c r="D11" s="82" t="s">
        <v>107</v>
      </c>
      <c r="E11" s="24">
        <v>335.1638</v>
      </c>
      <c r="F11" s="25">
        <v>3615.0</v>
      </c>
      <c r="G11" s="25">
        <v>310.9</v>
      </c>
      <c r="H11" s="25">
        <v>24.26379</v>
      </c>
    </row>
    <row r="12">
      <c r="D12" s="76"/>
      <c r="E12" s="83">
        <v>333.4552</v>
      </c>
      <c r="F12" s="84">
        <v>4089.0</v>
      </c>
      <c r="G12" s="84">
        <v>314.6</v>
      </c>
      <c r="H12" s="84">
        <v>18.85518</v>
      </c>
    </row>
    <row r="13">
      <c r="D13" s="76"/>
      <c r="E13" s="83">
        <v>332.8621</v>
      </c>
      <c r="F13" s="84">
        <v>4563.0</v>
      </c>
      <c r="G13" s="84">
        <v>315.4</v>
      </c>
      <c r="H13" s="84">
        <v>17.46207</v>
      </c>
    </row>
    <row r="14">
      <c r="D14" s="76"/>
      <c r="E14" s="83">
        <v>332.6644</v>
      </c>
      <c r="F14" s="84">
        <v>5036.0</v>
      </c>
      <c r="G14" s="84">
        <v>316.5</v>
      </c>
      <c r="H14" s="84">
        <v>16.1644</v>
      </c>
    </row>
    <row r="15">
      <c r="D15" s="76"/>
      <c r="E15" s="83">
        <v>333.3155</v>
      </c>
      <c r="F15" s="84">
        <v>5509.0</v>
      </c>
      <c r="G15" s="84">
        <v>318.3</v>
      </c>
      <c r="H15" s="84">
        <v>15.01551</v>
      </c>
    </row>
    <row r="16">
      <c r="D16" s="76"/>
      <c r="E16" s="83">
        <v>331.6535</v>
      </c>
      <c r="F16" s="84">
        <v>5983.0</v>
      </c>
      <c r="G16" s="84">
        <v>317.4</v>
      </c>
      <c r="H16" s="84">
        <v>14.25344</v>
      </c>
    </row>
    <row r="17">
      <c r="D17" s="76"/>
      <c r="E17" s="83">
        <v>331.4862</v>
      </c>
      <c r="F17" s="84">
        <v>6457.0</v>
      </c>
      <c r="G17" s="84">
        <v>317.2</v>
      </c>
      <c r="H17" s="84">
        <v>14.2862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311</v>
      </c>
      <c r="D1" s="76"/>
      <c r="E1" s="77" t="s">
        <v>312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112</v>
      </c>
      <c r="D4" s="82" t="s">
        <v>138</v>
      </c>
      <c r="E4" s="83">
        <v>282.9144</v>
      </c>
      <c r="F4" s="84">
        <v>301.0</v>
      </c>
      <c r="G4" s="84">
        <v>277.89</v>
      </c>
      <c r="H4" s="84">
        <v>5.0244</v>
      </c>
    </row>
    <row r="5">
      <c r="D5" s="76"/>
      <c r="E5" s="83">
        <v>281.7569</v>
      </c>
      <c r="F5" s="84">
        <v>776.0</v>
      </c>
      <c r="G5" s="84">
        <v>276.63</v>
      </c>
      <c r="H5" s="84">
        <v>5.12686</v>
      </c>
    </row>
    <row r="6">
      <c r="D6" s="76"/>
      <c r="E6" s="83">
        <v>281.5643</v>
      </c>
      <c r="F6" s="84">
        <v>1246.0</v>
      </c>
      <c r="G6" s="84">
        <v>276.9</v>
      </c>
      <c r="H6" s="84">
        <v>4.66427</v>
      </c>
    </row>
    <row r="7">
      <c r="D7" s="76"/>
      <c r="E7" s="83">
        <v>281.6126</v>
      </c>
      <c r="F7" s="84">
        <v>1720.0</v>
      </c>
      <c r="G7" s="84">
        <v>276.8</v>
      </c>
      <c r="H7" s="84">
        <v>4.8126</v>
      </c>
    </row>
    <row r="8">
      <c r="D8" s="76"/>
      <c r="E8" s="83">
        <v>280.9893</v>
      </c>
      <c r="F8" s="84">
        <v>2196.0</v>
      </c>
      <c r="G8" s="84">
        <v>276.05</v>
      </c>
      <c r="H8" s="84">
        <v>4.93927</v>
      </c>
    </row>
    <row r="9">
      <c r="D9" s="76"/>
      <c r="E9" s="83">
        <v>280.9074</v>
      </c>
      <c r="F9" s="84">
        <v>2668.0</v>
      </c>
      <c r="G9" s="84">
        <v>276.13</v>
      </c>
      <c r="H9" s="84">
        <v>4.77736</v>
      </c>
    </row>
    <row r="10">
      <c r="D10" s="82" t="s">
        <v>107</v>
      </c>
      <c r="E10" s="24">
        <v>282.1624</v>
      </c>
      <c r="F10" s="25">
        <v>3146.0</v>
      </c>
      <c r="G10" s="25">
        <v>278.16</v>
      </c>
      <c r="H10" s="25">
        <v>4.00241</v>
      </c>
    </row>
    <row r="11">
      <c r="D11" s="76"/>
      <c r="E11" s="83">
        <v>281.9369</v>
      </c>
      <c r="F11" s="84">
        <v>3617.0</v>
      </c>
      <c r="G11" s="84">
        <v>278.68</v>
      </c>
      <c r="H11" s="84">
        <v>3.25686</v>
      </c>
    </row>
    <row r="12">
      <c r="D12" s="76"/>
      <c r="E12" s="83">
        <v>281.049</v>
      </c>
      <c r="F12" s="84">
        <v>4090.0</v>
      </c>
      <c r="G12" s="84">
        <v>278.58</v>
      </c>
      <c r="H12" s="84">
        <v>2.46901</v>
      </c>
    </row>
    <row r="13">
      <c r="D13" s="76"/>
      <c r="E13" s="83">
        <v>281.43</v>
      </c>
      <c r="F13" s="84">
        <v>4566.0</v>
      </c>
      <c r="G13" s="84">
        <v>278.26</v>
      </c>
      <c r="H13" s="84">
        <v>3.16999</v>
      </c>
    </row>
    <row r="14">
      <c r="D14" s="76"/>
      <c r="E14" s="83">
        <v>281.3045</v>
      </c>
      <c r="F14" s="84">
        <v>5038.0</v>
      </c>
      <c r="G14" s="84">
        <v>278.95</v>
      </c>
      <c r="H14" s="84">
        <v>2.35449</v>
      </c>
    </row>
    <row r="15">
      <c r="D15" s="76"/>
      <c r="E15" s="83">
        <v>280.5895</v>
      </c>
      <c r="F15" s="84">
        <v>5514.0</v>
      </c>
      <c r="G15" s="84">
        <v>278.28</v>
      </c>
      <c r="H15" s="84">
        <v>2.3095</v>
      </c>
    </row>
    <row r="16">
      <c r="D16" s="76"/>
      <c r="E16" s="83">
        <v>282.1637</v>
      </c>
      <c r="F16" s="84">
        <v>5983.0</v>
      </c>
      <c r="G16" s="84">
        <v>278.68</v>
      </c>
      <c r="H16" s="84">
        <v>3.48367</v>
      </c>
    </row>
    <row r="17">
      <c r="D17" s="76"/>
      <c r="E17" s="83">
        <v>281.4015</v>
      </c>
      <c r="F17" s="84">
        <v>6459.0</v>
      </c>
      <c r="G17" s="84">
        <v>278.6</v>
      </c>
      <c r="H17" s="84">
        <v>2.80149</v>
      </c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313</v>
      </c>
      <c r="D1" s="76"/>
      <c r="E1" s="77" t="s">
        <v>314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112</v>
      </c>
      <c r="D4" s="82" t="s">
        <v>119</v>
      </c>
      <c r="E4" s="83">
        <v>307.7878</v>
      </c>
      <c r="F4" s="84">
        <v>301.0</v>
      </c>
      <c r="G4" s="84">
        <v>291.2</v>
      </c>
      <c r="H4" s="84">
        <v>16.58775</v>
      </c>
    </row>
    <row r="5">
      <c r="D5" s="76"/>
      <c r="E5" s="83">
        <v>307.39</v>
      </c>
      <c r="F5" s="84">
        <v>775.0</v>
      </c>
      <c r="G5" s="84">
        <v>289.7</v>
      </c>
      <c r="H5" s="84">
        <v>17.69</v>
      </c>
    </row>
    <row r="6">
      <c r="D6" s="76"/>
      <c r="E6" s="83">
        <v>306.0939</v>
      </c>
      <c r="F6" s="84">
        <v>1254.0</v>
      </c>
      <c r="G6" s="84">
        <v>289.3</v>
      </c>
      <c r="H6" s="84">
        <v>16.79389</v>
      </c>
    </row>
    <row r="7">
      <c r="D7" s="76"/>
      <c r="E7" s="83">
        <v>306.0551</v>
      </c>
      <c r="F7" s="84">
        <v>1725.0</v>
      </c>
      <c r="G7" s="84">
        <v>288.3</v>
      </c>
      <c r="H7" s="84">
        <v>17.7551</v>
      </c>
    </row>
    <row r="8">
      <c r="D8" s="76"/>
      <c r="E8" s="83">
        <v>305.1611</v>
      </c>
      <c r="F8" s="84">
        <v>2199.0</v>
      </c>
      <c r="G8" s="84">
        <v>288.0</v>
      </c>
      <c r="H8" s="84">
        <v>17.16112</v>
      </c>
    </row>
    <row r="9">
      <c r="D9" s="76"/>
      <c r="E9" s="83">
        <v>305.7306</v>
      </c>
      <c r="F9" s="84">
        <v>2672.0</v>
      </c>
      <c r="G9" s="84">
        <v>288.2</v>
      </c>
      <c r="H9" s="84">
        <v>17.53057</v>
      </c>
    </row>
    <row r="10">
      <c r="D10" s="82" t="s">
        <v>107</v>
      </c>
      <c r="E10" s="83">
        <v>303.1028</v>
      </c>
      <c r="F10" s="84">
        <v>3146.0</v>
      </c>
      <c r="G10" s="84">
        <v>285.3</v>
      </c>
      <c r="H10" s="84">
        <v>17.80279</v>
      </c>
    </row>
    <row r="11">
      <c r="D11" s="76"/>
      <c r="E11" s="83">
        <v>306.1639</v>
      </c>
      <c r="F11" s="84">
        <v>3625.0</v>
      </c>
      <c r="G11" s="84">
        <v>294.4</v>
      </c>
      <c r="H11" s="84">
        <v>11.76388</v>
      </c>
    </row>
    <row r="12">
      <c r="D12" s="76"/>
      <c r="E12" s="83">
        <v>306.4278</v>
      </c>
      <c r="F12" s="84">
        <v>4101.0</v>
      </c>
      <c r="G12" s="84">
        <v>294.5</v>
      </c>
      <c r="H12" s="84">
        <v>11.92779</v>
      </c>
    </row>
    <row r="13">
      <c r="D13" s="76"/>
      <c r="E13" s="83">
        <v>305.3514</v>
      </c>
      <c r="F13" s="84">
        <v>4574.0</v>
      </c>
      <c r="G13" s="84">
        <v>295.0</v>
      </c>
      <c r="H13" s="84">
        <v>10.35136</v>
      </c>
    </row>
    <row r="14">
      <c r="D14" s="76"/>
      <c r="E14" s="83">
        <v>306.3556</v>
      </c>
      <c r="F14" s="84">
        <v>5049.0</v>
      </c>
      <c r="G14" s="84">
        <v>294.7</v>
      </c>
      <c r="H14" s="84">
        <v>11.65556</v>
      </c>
    </row>
    <row r="15">
      <c r="D15" s="76"/>
      <c r="E15" s="83">
        <v>305.4167</v>
      </c>
      <c r="F15" s="84">
        <v>5521.0</v>
      </c>
      <c r="G15" s="84">
        <v>295.2</v>
      </c>
      <c r="H15" s="84">
        <v>10.21668</v>
      </c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315</v>
      </c>
      <c r="D1" s="76"/>
      <c r="E1" s="77" t="s">
        <v>316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119</v>
      </c>
      <c r="E4" s="83">
        <v>289.725</v>
      </c>
      <c r="F4" s="84">
        <v>301.0</v>
      </c>
      <c r="G4" s="84">
        <v>282.26</v>
      </c>
      <c r="H4" s="84">
        <v>7.46499</v>
      </c>
    </row>
    <row r="5">
      <c r="D5" s="76"/>
      <c r="E5" s="83">
        <v>289.895</v>
      </c>
      <c r="F5" s="84">
        <v>775.0</v>
      </c>
      <c r="G5" s="84">
        <v>281.61</v>
      </c>
      <c r="H5" s="84">
        <v>8.28501</v>
      </c>
    </row>
    <row r="6">
      <c r="D6" s="76"/>
      <c r="E6" s="83">
        <v>289.1653</v>
      </c>
      <c r="F6" s="84">
        <v>1247.0</v>
      </c>
      <c r="G6" s="84">
        <v>280.65</v>
      </c>
      <c r="H6" s="84">
        <v>8.51533</v>
      </c>
    </row>
    <row r="7">
      <c r="D7" s="76"/>
      <c r="E7" s="83">
        <v>289.284</v>
      </c>
      <c r="F7" s="84">
        <v>1721.0</v>
      </c>
      <c r="G7" s="84">
        <v>280.52</v>
      </c>
      <c r="H7" s="84">
        <v>8.76405</v>
      </c>
    </row>
    <row r="8">
      <c r="D8" s="76"/>
      <c r="E8" s="83">
        <v>289.2523</v>
      </c>
      <c r="F8" s="84">
        <v>2195.0</v>
      </c>
      <c r="G8" s="84">
        <v>280.38</v>
      </c>
      <c r="H8" s="84">
        <v>8.87234</v>
      </c>
    </row>
    <row r="9">
      <c r="D9" s="76"/>
      <c r="E9" s="83">
        <v>289.3204</v>
      </c>
      <c r="F9" s="84">
        <v>2669.0</v>
      </c>
      <c r="G9" s="84">
        <v>280.06</v>
      </c>
      <c r="H9" s="84">
        <v>9.26043</v>
      </c>
    </row>
    <row r="10">
      <c r="D10" s="82" t="s">
        <v>107</v>
      </c>
      <c r="E10" s="24">
        <v>289.4589</v>
      </c>
      <c r="F10" s="25">
        <v>3141.0</v>
      </c>
      <c r="G10" s="25">
        <v>281.57</v>
      </c>
      <c r="H10" s="25">
        <v>7.88893</v>
      </c>
    </row>
    <row r="11">
      <c r="D11" s="76"/>
      <c r="E11" s="83">
        <v>289.5915</v>
      </c>
      <c r="F11" s="84">
        <v>3614.0</v>
      </c>
      <c r="G11" s="84">
        <v>283.85</v>
      </c>
      <c r="H11" s="84">
        <v>5.74145</v>
      </c>
    </row>
    <row r="12">
      <c r="D12" s="76"/>
      <c r="E12" s="83">
        <v>289.4494</v>
      </c>
      <c r="F12" s="84">
        <v>4088.0</v>
      </c>
      <c r="G12" s="84">
        <v>283.89</v>
      </c>
      <c r="H12" s="84">
        <v>5.55937</v>
      </c>
    </row>
    <row r="13">
      <c r="D13" s="76"/>
      <c r="E13" s="83">
        <v>289.4523</v>
      </c>
      <c r="F13" s="84">
        <v>4562.0</v>
      </c>
      <c r="G13" s="84">
        <v>284.31</v>
      </c>
      <c r="H13" s="84">
        <v>5.14229</v>
      </c>
    </row>
    <row r="14">
      <c r="D14" s="76"/>
      <c r="E14" s="83">
        <v>289.6686</v>
      </c>
      <c r="F14" s="84">
        <v>5035.0</v>
      </c>
      <c r="G14" s="84">
        <v>284.52</v>
      </c>
      <c r="H14" s="84">
        <v>5.14856</v>
      </c>
    </row>
    <row r="15">
      <c r="D15" s="76"/>
      <c r="E15" s="83">
        <v>290.2596</v>
      </c>
      <c r="F15" s="84">
        <v>5508.0</v>
      </c>
      <c r="G15" s="84">
        <v>285.35</v>
      </c>
      <c r="H15" s="84">
        <v>4.90956</v>
      </c>
    </row>
    <row r="16">
      <c r="D16" s="76"/>
      <c r="E16" s="83">
        <v>290.3271</v>
      </c>
      <c r="F16" s="84">
        <v>5980.0</v>
      </c>
      <c r="G16" s="84">
        <v>285.67</v>
      </c>
      <c r="H16" s="84">
        <v>4.65707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317</v>
      </c>
      <c r="D1" s="76"/>
      <c r="E1" s="77" t="s">
        <v>318</v>
      </c>
      <c r="J1" s="76"/>
      <c r="K1" s="77" t="s">
        <v>319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118</v>
      </c>
      <c r="D4" s="82" t="s">
        <v>138</v>
      </c>
      <c r="E4" s="83">
        <v>331.1576</v>
      </c>
      <c r="F4" s="84">
        <v>301.0</v>
      </c>
      <c r="G4" s="84">
        <v>295.8</v>
      </c>
      <c r="H4" s="84">
        <v>35.35758</v>
      </c>
      <c r="J4" s="82" t="s">
        <v>143</v>
      </c>
      <c r="K4" s="83">
        <v>338.6647</v>
      </c>
      <c r="L4" s="84">
        <v>301.0</v>
      </c>
      <c r="M4" s="84">
        <v>299.2</v>
      </c>
      <c r="N4" s="84">
        <v>39.46471</v>
      </c>
    </row>
    <row r="5">
      <c r="D5" s="76"/>
      <c r="E5" s="83">
        <v>329.2735</v>
      </c>
      <c r="F5" s="84">
        <v>773.0</v>
      </c>
      <c r="G5" s="84">
        <v>293.6</v>
      </c>
      <c r="H5" s="84">
        <v>35.67354</v>
      </c>
      <c r="J5" s="76"/>
      <c r="K5" s="83">
        <v>339.2824</v>
      </c>
      <c r="L5" s="84">
        <v>774.0</v>
      </c>
      <c r="M5" s="84">
        <v>298.5</v>
      </c>
      <c r="N5" s="84">
        <v>40.78235</v>
      </c>
    </row>
    <row r="6">
      <c r="D6" s="76"/>
      <c r="E6" s="83">
        <v>329.8912</v>
      </c>
      <c r="F6" s="84">
        <v>1246.0</v>
      </c>
      <c r="G6" s="84">
        <v>293.4</v>
      </c>
      <c r="H6" s="84">
        <v>36.49119</v>
      </c>
      <c r="J6" s="76"/>
      <c r="K6" s="83">
        <v>339.097</v>
      </c>
      <c r="L6" s="84">
        <v>1253.0</v>
      </c>
      <c r="M6" s="84">
        <v>296.6</v>
      </c>
      <c r="N6" s="84">
        <v>42.49696</v>
      </c>
    </row>
    <row r="7">
      <c r="D7" s="76"/>
      <c r="E7" s="83">
        <v>327.2</v>
      </c>
      <c r="F7" s="84">
        <v>1719.0</v>
      </c>
      <c r="G7" s="84">
        <v>291.3</v>
      </c>
      <c r="H7" s="84">
        <v>35.9</v>
      </c>
      <c r="J7" s="76"/>
      <c r="K7" s="83">
        <v>338.7618</v>
      </c>
      <c r="L7" s="84">
        <v>1727.0</v>
      </c>
      <c r="M7" s="84">
        <v>295.8</v>
      </c>
      <c r="N7" s="84">
        <v>42.96176</v>
      </c>
    </row>
    <row r="8">
      <c r="D8" s="76"/>
      <c r="E8" s="83">
        <v>326.0177</v>
      </c>
      <c r="F8" s="84">
        <v>2198.0</v>
      </c>
      <c r="G8" s="84">
        <v>291.5</v>
      </c>
      <c r="H8" s="84">
        <v>34.51765</v>
      </c>
      <c r="J8" s="76"/>
      <c r="K8" s="83">
        <v>333.4412</v>
      </c>
      <c r="L8" s="84">
        <v>2206.0</v>
      </c>
      <c r="M8" s="84">
        <v>292.5</v>
      </c>
      <c r="N8" s="84">
        <v>40.94119</v>
      </c>
    </row>
    <row r="9">
      <c r="D9" s="76"/>
      <c r="E9" s="83">
        <v>325.8</v>
      </c>
      <c r="F9" s="84">
        <v>2671.0</v>
      </c>
      <c r="G9" s="84">
        <v>291.8</v>
      </c>
      <c r="H9" s="84">
        <v>34.00001</v>
      </c>
      <c r="J9" s="82" t="s">
        <v>138</v>
      </c>
      <c r="K9" s="83">
        <v>331.1576</v>
      </c>
      <c r="L9" s="84">
        <v>2680.0</v>
      </c>
      <c r="M9" s="84">
        <v>295.8</v>
      </c>
      <c r="N9" s="84">
        <v>35.35758</v>
      </c>
    </row>
    <row r="10">
      <c r="D10" s="82" t="s">
        <v>114</v>
      </c>
      <c r="E10" s="83">
        <v>319.4546</v>
      </c>
      <c r="F10" s="84">
        <v>3150.0</v>
      </c>
      <c r="G10" s="84">
        <v>293.8</v>
      </c>
      <c r="H10" s="84">
        <v>25.65455</v>
      </c>
      <c r="J10" s="76"/>
      <c r="K10" s="83">
        <v>329.2735</v>
      </c>
      <c r="L10" s="84">
        <v>3152.0</v>
      </c>
      <c r="M10" s="84">
        <v>293.6</v>
      </c>
      <c r="N10" s="84">
        <v>35.67354</v>
      </c>
    </row>
    <row r="11">
      <c r="D11" s="76"/>
      <c r="E11" s="83">
        <v>319.6824</v>
      </c>
      <c r="F11" s="84">
        <v>3623.0</v>
      </c>
      <c r="G11" s="84">
        <v>294.5</v>
      </c>
      <c r="H11" s="84">
        <v>25.18236</v>
      </c>
      <c r="J11" s="76"/>
      <c r="K11" s="83">
        <v>329.8912</v>
      </c>
      <c r="L11" s="84">
        <v>3625.0</v>
      </c>
      <c r="M11" s="84">
        <v>293.4</v>
      </c>
      <c r="N11" s="84">
        <v>36.49119</v>
      </c>
    </row>
    <row r="12">
      <c r="D12" s="76"/>
      <c r="E12" s="83">
        <v>318.7441</v>
      </c>
      <c r="F12" s="84">
        <v>4097.0</v>
      </c>
      <c r="G12" s="84">
        <v>293.6</v>
      </c>
      <c r="H12" s="84">
        <v>25.14413</v>
      </c>
      <c r="J12" s="76"/>
      <c r="K12" s="83">
        <v>327.2</v>
      </c>
      <c r="L12" s="84">
        <v>4098.0</v>
      </c>
      <c r="M12" s="84">
        <v>291.3</v>
      </c>
      <c r="N12" s="84">
        <v>35.9</v>
      </c>
    </row>
    <row r="13">
      <c r="D13" s="76"/>
      <c r="E13" s="83">
        <v>318.9059</v>
      </c>
      <c r="F13" s="84">
        <v>4570.0</v>
      </c>
      <c r="G13" s="84">
        <v>295.5</v>
      </c>
      <c r="H13" s="84">
        <v>23.40587</v>
      </c>
      <c r="J13" s="76"/>
      <c r="K13" s="83">
        <v>326.0177</v>
      </c>
      <c r="L13" s="84">
        <v>4577.0</v>
      </c>
      <c r="M13" s="84">
        <v>291.5</v>
      </c>
      <c r="N13" s="84">
        <v>34.51765</v>
      </c>
    </row>
    <row r="14">
      <c r="D14" s="76"/>
      <c r="E14" s="83">
        <v>317.7147</v>
      </c>
      <c r="F14" s="84">
        <v>5044.0</v>
      </c>
      <c r="G14" s="84">
        <v>294.3</v>
      </c>
      <c r="H14" s="84">
        <v>23.41472</v>
      </c>
      <c r="J14" s="76"/>
      <c r="K14" s="83">
        <v>325.8</v>
      </c>
      <c r="L14" s="84">
        <v>5050.0</v>
      </c>
      <c r="M14" s="84">
        <v>291.8</v>
      </c>
      <c r="N14" s="84">
        <v>34.00001</v>
      </c>
    </row>
    <row r="15">
      <c r="D15" s="76"/>
      <c r="E15" s="76"/>
      <c r="F15" s="76"/>
      <c r="G15" s="76"/>
      <c r="H15" s="76"/>
      <c r="J15" s="76"/>
      <c r="K15" s="76"/>
      <c r="L15" s="76"/>
      <c r="M15" s="76"/>
      <c r="N15" s="76"/>
    </row>
    <row r="16">
      <c r="D16" s="76"/>
      <c r="E16" s="76"/>
      <c r="F16" s="76"/>
      <c r="G16" s="76"/>
      <c r="H16" s="76"/>
      <c r="J16" s="76"/>
      <c r="K16" s="76"/>
      <c r="L16" s="76"/>
      <c r="M16" s="76"/>
      <c r="N16" s="76"/>
    </row>
    <row r="17">
      <c r="D17" s="76"/>
      <c r="E17" s="76"/>
      <c r="F17" s="76"/>
      <c r="G17" s="76"/>
      <c r="H17" s="76"/>
      <c r="J17" s="76"/>
      <c r="K17" s="76"/>
      <c r="L17" s="76"/>
      <c r="M17" s="76"/>
      <c r="N17" s="76"/>
    </row>
    <row r="18">
      <c r="D18" s="76"/>
      <c r="E18" s="76"/>
      <c r="F18" s="76"/>
      <c r="G18" s="76"/>
      <c r="H18" s="76"/>
      <c r="J18" s="76"/>
      <c r="K18" s="76"/>
      <c r="L18" s="76"/>
      <c r="M18" s="76"/>
      <c r="N18" s="76"/>
    </row>
    <row r="19">
      <c r="D19" s="76"/>
      <c r="E19" s="76"/>
      <c r="F19" s="76"/>
      <c r="G19" s="76"/>
      <c r="H19" s="76"/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</sheetData>
  <mergeCells count="2">
    <mergeCell ref="E1:H1"/>
    <mergeCell ref="K1:N1"/>
  </mergeCell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320</v>
      </c>
      <c r="D1" s="76"/>
      <c r="E1" s="77" t="s">
        <v>321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95</v>
      </c>
      <c r="E4" s="83">
        <v>288.8436</v>
      </c>
      <c r="F4" s="84">
        <v>301.0</v>
      </c>
      <c r="G4" s="84">
        <v>283.3</v>
      </c>
      <c r="H4" s="84">
        <v>5.54361</v>
      </c>
    </row>
    <row r="5">
      <c r="D5" s="76"/>
      <c r="E5" s="83">
        <v>288.6114</v>
      </c>
      <c r="F5" s="84">
        <v>779.0</v>
      </c>
      <c r="G5" s="84">
        <v>283.14</v>
      </c>
      <c r="H5" s="84">
        <v>5.47142</v>
      </c>
    </row>
    <row r="6">
      <c r="D6" s="76"/>
      <c r="E6" s="83">
        <v>288.5831</v>
      </c>
      <c r="F6" s="84">
        <v>1249.0</v>
      </c>
      <c r="G6" s="84">
        <v>283.2</v>
      </c>
      <c r="H6" s="84">
        <v>5.38305</v>
      </c>
    </row>
    <row r="7">
      <c r="D7" s="76"/>
      <c r="E7" s="83">
        <v>288.6342</v>
      </c>
      <c r="F7" s="84">
        <v>1728.0</v>
      </c>
      <c r="G7" s="84">
        <v>282.97</v>
      </c>
      <c r="H7" s="84">
        <v>5.6642</v>
      </c>
    </row>
    <row r="8">
      <c r="D8" s="76"/>
      <c r="E8" s="83">
        <v>288.4478</v>
      </c>
      <c r="F8" s="84">
        <v>2199.0</v>
      </c>
      <c r="G8" s="84">
        <v>283.01</v>
      </c>
      <c r="H8" s="84">
        <v>5.43774</v>
      </c>
    </row>
    <row r="9">
      <c r="D9" s="76"/>
      <c r="E9" s="83">
        <v>288.3984</v>
      </c>
      <c r="F9" s="84">
        <v>2669.0</v>
      </c>
      <c r="G9" s="84">
        <v>284.01</v>
      </c>
      <c r="H9" s="84">
        <v>4.38836</v>
      </c>
    </row>
    <row r="10">
      <c r="D10" s="82" t="s">
        <v>107</v>
      </c>
      <c r="E10" s="83">
        <v>288.9025</v>
      </c>
      <c r="F10" s="111">
        <v>3148.0</v>
      </c>
      <c r="G10" s="83">
        <v>284.45</v>
      </c>
      <c r="H10" s="84">
        <v>4.45244</v>
      </c>
    </row>
    <row r="11">
      <c r="D11" s="76"/>
      <c r="E11" s="83">
        <v>289.0188</v>
      </c>
      <c r="F11" s="142">
        <v>3618.0</v>
      </c>
      <c r="G11" s="84">
        <v>284.77</v>
      </c>
      <c r="H11" s="84">
        <v>4.24881</v>
      </c>
    </row>
    <row r="12">
      <c r="D12" s="76"/>
      <c r="E12" s="83">
        <v>289.61</v>
      </c>
      <c r="F12" s="84">
        <v>4097.0</v>
      </c>
      <c r="G12" s="84">
        <v>285.37</v>
      </c>
      <c r="H12" s="84">
        <v>4.24</v>
      </c>
    </row>
    <row r="13">
      <c r="D13" s="76"/>
      <c r="E13" s="83">
        <v>289.4537</v>
      </c>
      <c r="F13" s="84">
        <v>4568.0</v>
      </c>
      <c r="G13" s="84">
        <v>285.27</v>
      </c>
      <c r="H13" s="84">
        <v>4.18373</v>
      </c>
    </row>
    <row r="14">
      <c r="D14" s="76"/>
      <c r="E14" s="83">
        <v>289.4279</v>
      </c>
      <c r="F14" s="84">
        <v>5042.0</v>
      </c>
      <c r="G14" s="84">
        <v>285.0</v>
      </c>
      <c r="H14" s="84">
        <v>4.42791</v>
      </c>
    </row>
    <row r="15">
      <c r="D15" s="76"/>
      <c r="E15" s="76"/>
      <c r="F15" s="76"/>
      <c r="G15" s="76"/>
      <c r="H15" s="76"/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322</v>
      </c>
      <c r="D1" s="76"/>
      <c r="E1" s="77" t="s">
        <v>323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138</v>
      </c>
      <c r="E4" s="112">
        <v>286.3643</v>
      </c>
      <c r="F4" s="142">
        <v>300.0</v>
      </c>
      <c r="G4" s="142">
        <v>281.13</v>
      </c>
      <c r="H4" s="142">
        <v>5.23428</v>
      </c>
    </row>
    <row r="5">
      <c r="D5" s="76"/>
      <c r="E5" s="83">
        <v>286.1941</v>
      </c>
      <c r="F5" s="84">
        <v>771.0</v>
      </c>
      <c r="G5" s="84">
        <v>281.21</v>
      </c>
      <c r="H5" s="84">
        <v>4.98409</v>
      </c>
    </row>
    <row r="6">
      <c r="D6" s="76"/>
      <c r="E6" s="83">
        <v>286.0361</v>
      </c>
      <c r="F6" s="84">
        <v>1244.0</v>
      </c>
      <c r="G6" s="84">
        <v>281.09</v>
      </c>
      <c r="H6" s="84">
        <v>4.94612</v>
      </c>
    </row>
    <row r="7">
      <c r="D7" s="76"/>
      <c r="E7" s="83">
        <v>286.0402</v>
      </c>
      <c r="F7" s="84">
        <v>1718.0</v>
      </c>
      <c r="G7" s="84">
        <v>280.63</v>
      </c>
      <c r="H7" s="84">
        <v>5.4102</v>
      </c>
    </row>
    <row r="8">
      <c r="D8" s="76"/>
      <c r="E8" s="83">
        <v>285.8269</v>
      </c>
      <c r="F8" s="84">
        <v>2192.0</v>
      </c>
      <c r="G8" s="84">
        <v>280.23</v>
      </c>
      <c r="H8" s="84">
        <v>5.59693</v>
      </c>
    </row>
    <row r="9">
      <c r="D9" s="76"/>
      <c r="E9" s="83">
        <v>285.9935</v>
      </c>
      <c r="F9" s="111">
        <v>2665.0</v>
      </c>
      <c r="G9" s="111">
        <v>280.35</v>
      </c>
      <c r="H9" s="83">
        <v>5.64349</v>
      </c>
    </row>
    <row r="10">
      <c r="D10" s="82" t="s">
        <v>107</v>
      </c>
      <c r="E10" s="24">
        <v>285.7513</v>
      </c>
      <c r="F10" s="156">
        <v>3138.0</v>
      </c>
      <c r="G10" s="156">
        <v>279.85</v>
      </c>
      <c r="H10" s="25">
        <v>5.90127</v>
      </c>
    </row>
    <row r="11">
      <c r="D11" s="76"/>
      <c r="E11" s="83">
        <v>285.5262</v>
      </c>
      <c r="F11" s="84">
        <v>3614.0</v>
      </c>
      <c r="G11" s="84">
        <v>281.27</v>
      </c>
      <c r="H11" s="84">
        <v>4.25616</v>
      </c>
    </row>
    <row r="12">
      <c r="D12" s="76"/>
      <c r="E12" s="83">
        <v>285.6167</v>
      </c>
      <c r="F12" s="84">
        <v>4086.0</v>
      </c>
      <c r="G12" s="84">
        <v>281.63</v>
      </c>
      <c r="H12" s="84">
        <v>3.98666</v>
      </c>
    </row>
    <row r="13">
      <c r="D13" s="76"/>
      <c r="E13" s="83">
        <v>285.5374</v>
      </c>
      <c r="F13" s="84">
        <v>4558.0</v>
      </c>
      <c r="G13" s="84">
        <v>281.92</v>
      </c>
      <c r="H13" s="84">
        <v>3.61742</v>
      </c>
    </row>
    <row r="14">
      <c r="D14" s="76"/>
      <c r="E14" s="83">
        <v>285.648</v>
      </c>
      <c r="F14" s="84">
        <v>5032.0</v>
      </c>
      <c r="G14" s="84">
        <v>281.71</v>
      </c>
      <c r="H14" s="84">
        <v>3.93796</v>
      </c>
    </row>
    <row r="15">
      <c r="D15" s="76"/>
      <c r="E15" s="83">
        <v>285.4397</v>
      </c>
      <c r="F15" s="84">
        <v>5508.0</v>
      </c>
      <c r="G15" s="84">
        <v>281.61</v>
      </c>
      <c r="H15" s="84">
        <v>3.82975</v>
      </c>
    </row>
    <row r="16">
      <c r="D16" s="76"/>
      <c r="E16" s="76"/>
      <c r="F16" s="76"/>
      <c r="G16" s="76"/>
      <c r="H16" s="76"/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</sheetData>
  <mergeCells count="1">
    <mergeCell ref="E1:H1"/>
  </mergeCell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37" t="s">
        <v>324</v>
      </c>
      <c r="D1" s="76"/>
      <c r="E1" s="77" t="s">
        <v>325</v>
      </c>
    </row>
    <row r="2">
      <c r="A2" s="137" t="s">
        <v>90</v>
      </c>
      <c r="D2" s="76"/>
      <c r="E2" s="76"/>
      <c r="F2" s="76"/>
      <c r="G2" s="76"/>
      <c r="H2" s="76"/>
    </row>
    <row r="3">
      <c r="A3" s="138" t="s">
        <v>111</v>
      </c>
      <c r="D3" s="76"/>
      <c r="E3" s="140" t="s">
        <v>10</v>
      </c>
      <c r="F3" s="161" t="s">
        <v>11</v>
      </c>
      <c r="G3" s="161" t="s">
        <v>12</v>
      </c>
      <c r="H3" s="162" t="s">
        <v>85</v>
      </c>
    </row>
    <row r="4">
      <c r="A4" s="138" t="s">
        <v>112</v>
      </c>
      <c r="D4" s="163" t="s">
        <v>119</v>
      </c>
      <c r="E4" s="83">
        <v>294.1084</v>
      </c>
      <c r="F4" s="84">
        <v>301.0</v>
      </c>
      <c r="G4" s="84">
        <v>260.3</v>
      </c>
      <c r="H4" s="84">
        <v>33.80845</v>
      </c>
    </row>
    <row r="5">
      <c r="D5" s="76"/>
      <c r="E5" s="83">
        <v>293.8321</v>
      </c>
      <c r="F5" s="84">
        <v>777.0</v>
      </c>
      <c r="G5" s="84">
        <v>260.78</v>
      </c>
      <c r="H5" s="84">
        <v>33.05208</v>
      </c>
    </row>
    <row r="6">
      <c r="D6" s="76"/>
      <c r="E6" s="83">
        <v>291.7617</v>
      </c>
      <c r="F6" s="84">
        <v>1252.0</v>
      </c>
      <c r="G6" s="84">
        <v>260.07</v>
      </c>
      <c r="H6" s="84">
        <v>31.69166</v>
      </c>
    </row>
    <row r="7">
      <c r="D7" s="76"/>
      <c r="E7" s="83">
        <v>292.5724</v>
      </c>
      <c r="F7" s="84">
        <v>1725.0</v>
      </c>
      <c r="G7" s="84">
        <v>260.65</v>
      </c>
      <c r="H7" s="84">
        <v>31.92241</v>
      </c>
    </row>
    <row r="8">
      <c r="D8" s="76"/>
      <c r="E8" s="83">
        <v>293.1156</v>
      </c>
      <c r="F8" s="84">
        <v>2197.0</v>
      </c>
      <c r="G8" s="84">
        <v>260.24</v>
      </c>
      <c r="H8" s="84">
        <v>32.87561</v>
      </c>
    </row>
    <row r="9">
      <c r="D9" s="76"/>
      <c r="E9" s="83">
        <v>292.7179</v>
      </c>
      <c r="F9" s="84">
        <v>2670.0</v>
      </c>
      <c r="G9" s="84">
        <v>259.46</v>
      </c>
      <c r="H9" s="84">
        <v>33.25792</v>
      </c>
    </row>
    <row r="10">
      <c r="D10" s="76"/>
      <c r="E10" s="83">
        <v>295.1076</v>
      </c>
      <c r="F10" s="84">
        <v>3144.0</v>
      </c>
      <c r="G10" s="84">
        <v>259.44</v>
      </c>
      <c r="H10" s="84">
        <v>35.6676</v>
      </c>
    </row>
    <row r="11">
      <c r="D11" s="76"/>
      <c r="E11" s="83">
        <v>293.3604</v>
      </c>
      <c r="F11" s="84">
        <v>3617.0</v>
      </c>
      <c r="G11" s="84">
        <v>259.34</v>
      </c>
      <c r="H11" s="84">
        <v>34.0204</v>
      </c>
    </row>
    <row r="12">
      <c r="D12" s="163" t="s">
        <v>138</v>
      </c>
      <c r="E12" s="24">
        <v>291.0504</v>
      </c>
      <c r="F12" s="25">
        <v>4090.0</v>
      </c>
      <c r="G12" s="25">
        <v>259.82</v>
      </c>
      <c r="H12" s="25">
        <v>31.23041</v>
      </c>
    </row>
    <row r="13">
      <c r="D13" s="76"/>
      <c r="E13" s="24">
        <v>293.2676</v>
      </c>
      <c r="F13" s="25">
        <v>4566.0</v>
      </c>
      <c r="G13" s="25">
        <v>260.3</v>
      </c>
      <c r="H13" s="25">
        <v>32.96761</v>
      </c>
    </row>
    <row r="14">
      <c r="D14" s="76"/>
      <c r="E14" s="83">
        <v>292.504</v>
      </c>
      <c r="F14" s="84">
        <v>5037.0</v>
      </c>
      <c r="G14" s="84">
        <v>259.78</v>
      </c>
      <c r="H14" s="84">
        <v>32.724</v>
      </c>
    </row>
    <row r="15">
      <c r="D15" s="76"/>
      <c r="E15" s="83">
        <v>290.7992</v>
      </c>
      <c r="F15" s="84">
        <v>5511.0</v>
      </c>
      <c r="G15" s="84">
        <v>258.58</v>
      </c>
      <c r="H15" s="84">
        <v>32.21921</v>
      </c>
    </row>
    <row r="16">
      <c r="D16" s="76"/>
      <c r="E16" s="83">
        <v>292.966</v>
      </c>
      <c r="F16" s="84">
        <v>5984.0</v>
      </c>
      <c r="G16" s="84">
        <v>259.02</v>
      </c>
      <c r="H16" s="84">
        <v>33.94601</v>
      </c>
    </row>
    <row r="17">
      <c r="D17" s="76"/>
      <c r="E17" s="83">
        <v>290.9129</v>
      </c>
      <c r="F17" s="84">
        <v>6458.0</v>
      </c>
      <c r="G17" s="84">
        <v>259.73</v>
      </c>
      <c r="H17" s="84">
        <v>31.18291</v>
      </c>
    </row>
    <row r="18">
      <c r="D18" s="76"/>
      <c r="E18" s="83">
        <v>290.714</v>
      </c>
      <c r="F18" s="84">
        <v>6931.0</v>
      </c>
      <c r="G18" s="84">
        <v>259.32</v>
      </c>
      <c r="H18" s="84">
        <v>31.39399</v>
      </c>
    </row>
    <row r="19">
      <c r="D19" s="76"/>
      <c r="E19" s="83">
        <v>290.3148</v>
      </c>
      <c r="F19" s="84">
        <v>7404.0</v>
      </c>
      <c r="G19" s="84">
        <v>257.94</v>
      </c>
      <c r="H19" s="84">
        <v>32.3748</v>
      </c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  <row r="27">
      <c r="D27" s="76"/>
      <c r="E27" s="76"/>
      <c r="F27" s="76"/>
      <c r="G27" s="76"/>
      <c r="H27" s="76"/>
    </row>
    <row r="28">
      <c r="D28" s="76"/>
      <c r="E28" s="76"/>
      <c r="F28" s="76"/>
      <c r="G28" s="76"/>
      <c r="H28" s="76"/>
    </row>
    <row r="29">
      <c r="D29" s="76"/>
      <c r="E29" s="76"/>
      <c r="F29" s="76"/>
      <c r="G29" s="76"/>
      <c r="H29" s="76"/>
    </row>
    <row r="30">
      <c r="D30" s="76"/>
      <c r="E30" s="76"/>
      <c r="F30" s="76"/>
      <c r="G30" s="76"/>
      <c r="H30" s="76"/>
    </row>
    <row r="31">
      <c r="D31" s="76"/>
      <c r="E31" s="76"/>
      <c r="F31" s="76"/>
      <c r="G31" s="76"/>
      <c r="H31" s="76"/>
    </row>
    <row r="32">
      <c r="D32" s="76"/>
      <c r="E32" s="76"/>
      <c r="F32" s="76"/>
      <c r="G32" s="76"/>
      <c r="H32" s="76"/>
    </row>
    <row r="33">
      <c r="D33" s="76"/>
      <c r="E33" s="76"/>
      <c r="F33" s="76"/>
      <c r="G33" s="76"/>
      <c r="H33" s="76"/>
    </row>
    <row r="34">
      <c r="D34" s="76"/>
      <c r="E34" s="76"/>
      <c r="F34" s="76"/>
      <c r="G34" s="76"/>
      <c r="H34" s="76"/>
    </row>
    <row r="35">
      <c r="D35" s="76"/>
      <c r="E35" s="76"/>
      <c r="F35" s="76"/>
      <c r="G35" s="76"/>
      <c r="H35" s="76"/>
    </row>
    <row r="36">
      <c r="D36" s="76"/>
      <c r="E36" s="76"/>
      <c r="F36" s="76"/>
      <c r="G36" s="76"/>
      <c r="H36" s="76"/>
    </row>
  </sheetData>
  <mergeCells count="1">
    <mergeCell ref="E1:H1"/>
  </mergeCell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326</v>
      </c>
      <c r="D1" s="76"/>
      <c r="E1" s="77" t="s">
        <v>327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118</v>
      </c>
      <c r="D4" s="82" t="s">
        <v>143</v>
      </c>
      <c r="E4" s="83">
        <v>293.3082</v>
      </c>
      <c r="F4" s="84">
        <v>301.0</v>
      </c>
      <c r="G4" s="84">
        <v>266.97</v>
      </c>
      <c r="H4" s="84">
        <v>26.33818</v>
      </c>
    </row>
    <row r="5">
      <c r="D5" s="76"/>
      <c r="E5" s="83">
        <v>293.6456</v>
      </c>
      <c r="F5" s="84">
        <v>774.0</v>
      </c>
      <c r="G5" s="84">
        <v>266.3</v>
      </c>
      <c r="H5" s="84">
        <v>27.34563</v>
      </c>
    </row>
    <row r="6">
      <c r="D6" s="76"/>
      <c r="E6" s="83">
        <v>293.5676</v>
      </c>
      <c r="F6" s="84">
        <v>1247.0</v>
      </c>
      <c r="G6" s="84">
        <v>266.32</v>
      </c>
      <c r="H6" s="84">
        <v>27.24756</v>
      </c>
    </row>
    <row r="7">
      <c r="D7" s="76"/>
      <c r="E7" s="83">
        <v>293.5625</v>
      </c>
      <c r="F7" s="84">
        <v>1721.0</v>
      </c>
      <c r="G7" s="84">
        <v>267.03</v>
      </c>
      <c r="H7" s="84">
        <v>26.5325</v>
      </c>
    </row>
    <row r="8">
      <c r="D8" s="76"/>
      <c r="E8" s="83">
        <v>293.5982</v>
      </c>
      <c r="F8" s="84">
        <v>2194.0</v>
      </c>
      <c r="G8" s="84">
        <v>265.84</v>
      </c>
      <c r="H8" s="84">
        <v>27.75818</v>
      </c>
    </row>
    <row r="9">
      <c r="D9" s="76"/>
      <c r="E9" s="83">
        <v>293.5276</v>
      </c>
      <c r="F9" s="84">
        <v>2668.0</v>
      </c>
      <c r="G9" s="84">
        <v>265.69</v>
      </c>
      <c r="H9" s="84">
        <v>27.83757</v>
      </c>
    </row>
    <row r="10">
      <c r="D10" s="82" t="s">
        <v>138</v>
      </c>
      <c r="E10" s="24">
        <v>293.5806</v>
      </c>
      <c r="F10" s="25">
        <v>3141.0</v>
      </c>
      <c r="G10" s="25">
        <v>264.8</v>
      </c>
      <c r="H10" s="25">
        <v>28.78061</v>
      </c>
    </row>
    <row r="11">
      <c r="D11" s="76"/>
      <c r="E11" s="83">
        <v>292.5009</v>
      </c>
      <c r="F11" s="84">
        <v>3615.0</v>
      </c>
      <c r="G11" s="84">
        <v>267.12</v>
      </c>
      <c r="H11" s="84">
        <v>25.38091</v>
      </c>
    </row>
    <row r="12">
      <c r="D12" s="76"/>
      <c r="E12" s="83">
        <v>292.9069</v>
      </c>
      <c r="F12" s="84">
        <v>4088.0</v>
      </c>
      <c r="G12" s="84">
        <v>266.36</v>
      </c>
      <c r="H12" s="84">
        <v>26.54688</v>
      </c>
    </row>
    <row r="13">
      <c r="D13" s="76"/>
      <c r="E13" s="83">
        <v>292.4688</v>
      </c>
      <c r="F13" s="84">
        <v>4562.0</v>
      </c>
      <c r="G13" s="84">
        <v>267.24</v>
      </c>
      <c r="H13" s="84">
        <v>25.2288</v>
      </c>
    </row>
    <row r="14">
      <c r="D14" s="76"/>
      <c r="E14" s="83">
        <v>292.3972</v>
      </c>
      <c r="F14" s="84">
        <v>5035.0</v>
      </c>
      <c r="G14" s="84">
        <v>266.82</v>
      </c>
      <c r="H14" s="84">
        <v>25.57718</v>
      </c>
    </row>
    <row r="15">
      <c r="D15" s="76"/>
      <c r="E15" s="83">
        <v>292.7894</v>
      </c>
      <c r="F15" s="84">
        <v>5508.0</v>
      </c>
      <c r="G15" s="84">
        <v>267.01</v>
      </c>
      <c r="H15" s="84">
        <v>25.77936</v>
      </c>
    </row>
    <row r="16">
      <c r="D16" s="76"/>
      <c r="E16" s="83">
        <v>292.7342</v>
      </c>
      <c r="F16" s="84">
        <v>5983.0</v>
      </c>
      <c r="G16" s="84">
        <v>266.3</v>
      </c>
      <c r="H16" s="84">
        <v>26.43425</v>
      </c>
    </row>
    <row r="17">
      <c r="D17" s="76"/>
      <c r="E17" s="76"/>
      <c r="F17" s="76"/>
      <c r="G17" s="76"/>
      <c r="H17" s="76"/>
    </row>
    <row r="18">
      <c r="D18" s="76"/>
      <c r="E18" s="76"/>
      <c r="F18" s="76"/>
      <c r="G18" s="76"/>
      <c r="H18" s="76"/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  <row r="27">
      <c r="D27" s="76"/>
      <c r="E27" s="76"/>
      <c r="F27" s="76"/>
      <c r="G27" s="76"/>
      <c r="H27" s="76"/>
    </row>
    <row r="28">
      <c r="D28" s="76"/>
      <c r="E28" s="76"/>
      <c r="F28" s="76"/>
      <c r="G28" s="76"/>
      <c r="H28" s="76"/>
    </row>
    <row r="29">
      <c r="D29" s="76"/>
      <c r="E29" s="76"/>
      <c r="F29" s="76"/>
      <c r="G29" s="76"/>
      <c r="H29" s="76"/>
    </row>
    <row r="30">
      <c r="D30" s="76"/>
      <c r="E30" s="76"/>
      <c r="F30" s="76"/>
      <c r="G30" s="76"/>
      <c r="H30" s="76"/>
    </row>
    <row r="31">
      <c r="D31" s="76"/>
      <c r="E31" s="76"/>
      <c r="F31" s="76"/>
      <c r="G31" s="76"/>
      <c r="H31" s="76"/>
    </row>
    <row r="32">
      <c r="D32" s="76"/>
      <c r="E32" s="76"/>
      <c r="F32" s="76"/>
      <c r="G32" s="76"/>
      <c r="H32" s="76"/>
    </row>
    <row r="33">
      <c r="D33" s="76"/>
      <c r="E33" s="76"/>
      <c r="F33" s="76"/>
      <c r="G33" s="76"/>
      <c r="H33" s="76"/>
    </row>
    <row r="34">
      <c r="D34" s="76"/>
      <c r="E34" s="76"/>
      <c r="F34" s="76"/>
      <c r="G34" s="76"/>
      <c r="H34" s="76"/>
    </row>
    <row r="35">
      <c r="D35" s="76"/>
      <c r="E35" s="76"/>
      <c r="F35" s="76"/>
      <c r="G35" s="76"/>
      <c r="H35" s="76"/>
    </row>
    <row r="36">
      <c r="D36" s="76"/>
      <c r="E36" s="76"/>
      <c r="F36" s="76"/>
      <c r="G36" s="76"/>
      <c r="H36" s="76"/>
    </row>
  </sheetData>
  <mergeCells count="1">
    <mergeCell ref="E1:H1"/>
  </mergeCell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328</v>
      </c>
      <c r="D1" s="76"/>
      <c r="E1" s="77" t="s">
        <v>329</v>
      </c>
    </row>
    <row r="2">
      <c r="A2" s="95" t="s">
        <v>90</v>
      </c>
      <c r="D2" s="76"/>
      <c r="E2" s="76"/>
      <c r="F2" s="76"/>
      <c r="G2" s="76"/>
      <c r="H2" s="76"/>
    </row>
    <row r="3">
      <c r="A3" s="96" t="s">
        <v>111</v>
      </c>
      <c r="D3" s="135"/>
      <c r="E3" s="79" t="s">
        <v>10</v>
      </c>
      <c r="F3" s="80" t="s">
        <v>11</v>
      </c>
      <c r="G3" s="80" t="s">
        <v>12</v>
      </c>
      <c r="H3" s="81" t="s">
        <v>85</v>
      </c>
    </row>
    <row r="4">
      <c r="A4" s="96" t="s">
        <v>112</v>
      </c>
      <c r="D4" s="82" t="s">
        <v>143</v>
      </c>
      <c r="E4" s="83">
        <v>279.4524</v>
      </c>
      <c r="F4" s="84">
        <v>301.0</v>
      </c>
      <c r="G4" s="84">
        <v>258.06</v>
      </c>
      <c r="H4" s="84">
        <v>21.3924</v>
      </c>
    </row>
    <row r="5">
      <c r="D5" s="76"/>
      <c r="E5" s="83">
        <v>279.3156</v>
      </c>
      <c r="F5" s="84">
        <v>774.0</v>
      </c>
      <c r="G5" s="84">
        <v>257.54</v>
      </c>
      <c r="H5" s="84">
        <v>21.77559</v>
      </c>
    </row>
    <row r="6">
      <c r="D6" s="76"/>
      <c r="E6" s="83">
        <v>279.0036</v>
      </c>
      <c r="F6" s="84">
        <v>1248.0</v>
      </c>
      <c r="G6" s="84">
        <v>257.33</v>
      </c>
      <c r="H6" s="84">
        <v>21.67361</v>
      </c>
    </row>
    <row r="7">
      <c r="D7" s="76"/>
      <c r="E7" s="83">
        <v>279.0496</v>
      </c>
      <c r="F7" s="84">
        <v>1723.0</v>
      </c>
      <c r="G7" s="84">
        <v>255.87</v>
      </c>
      <c r="H7" s="84">
        <v>23.1796</v>
      </c>
    </row>
    <row r="8">
      <c r="D8" s="76"/>
      <c r="E8" s="83">
        <v>278.6492</v>
      </c>
      <c r="F8" s="84">
        <v>2195.0</v>
      </c>
      <c r="G8" s="84">
        <v>257.77</v>
      </c>
      <c r="H8" s="84">
        <v>20.87921</v>
      </c>
    </row>
    <row r="9">
      <c r="D9" s="76"/>
      <c r="E9" s="83">
        <v>278.4604</v>
      </c>
      <c r="F9" s="111">
        <v>2670.0</v>
      </c>
      <c r="G9" s="83">
        <v>258.52</v>
      </c>
      <c r="H9" s="84">
        <v>19.94041</v>
      </c>
    </row>
    <row r="10">
      <c r="D10" s="76"/>
      <c r="E10" s="83">
        <v>279.3796</v>
      </c>
      <c r="F10" s="142">
        <v>3143.0</v>
      </c>
      <c r="G10" s="84">
        <v>257.35</v>
      </c>
      <c r="H10" s="84">
        <v>22.02961</v>
      </c>
    </row>
    <row r="11">
      <c r="D11" s="82" t="s">
        <v>114</v>
      </c>
      <c r="E11" s="24">
        <v>279.3675</v>
      </c>
      <c r="F11" s="25">
        <v>3619.0</v>
      </c>
      <c r="G11" s="25">
        <v>256.22</v>
      </c>
      <c r="H11" s="25">
        <v>23.1475</v>
      </c>
    </row>
    <row r="12">
      <c r="D12" s="76"/>
      <c r="E12" s="83">
        <v>278.8881</v>
      </c>
      <c r="F12" s="84">
        <v>4089.0</v>
      </c>
      <c r="G12" s="84">
        <v>259.19</v>
      </c>
      <c r="H12" s="84">
        <v>19.69812</v>
      </c>
    </row>
    <row r="13">
      <c r="D13" s="76"/>
      <c r="E13" s="83">
        <v>278.7744</v>
      </c>
      <c r="F13" s="84">
        <v>4563.0</v>
      </c>
      <c r="G13" s="84">
        <v>258.67</v>
      </c>
      <c r="H13" s="84">
        <v>20.10436</v>
      </c>
    </row>
    <row r="14">
      <c r="D14" s="76"/>
      <c r="E14" s="83">
        <v>279.2406</v>
      </c>
      <c r="F14" s="84">
        <v>5037.0</v>
      </c>
      <c r="G14" s="84">
        <v>259.4</v>
      </c>
      <c r="H14" s="84">
        <v>19.84064</v>
      </c>
    </row>
    <row r="15">
      <c r="D15" s="76"/>
      <c r="E15" s="83">
        <v>278.3713</v>
      </c>
      <c r="F15" s="84">
        <v>5510.0</v>
      </c>
      <c r="G15" s="84">
        <v>260.26</v>
      </c>
      <c r="H15" s="84">
        <v>18.11124</v>
      </c>
    </row>
    <row r="16">
      <c r="D16" s="76"/>
      <c r="E16" s="83">
        <v>279.61</v>
      </c>
      <c r="F16" s="84">
        <v>5983.0</v>
      </c>
      <c r="G16" s="84">
        <v>260.63</v>
      </c>
      <c r="H16" s="84">
        <v>18.98</v>
      </c>
    </row>
    <row r="17">
      <c r="D17" s="76"/>
      <c r="E17" s="83">
        <v>278.3522</v>
      </c>
      <c r="F17" s="84">
        <v>6459.0</v>
      </c>
      <c r="G17" s="84">
        <v>258.92</v>
      </c>
      <c r="H17" s="84">
        <v>19.43218</v>
      </c>
    </row>
    <row r="18">
      <c r="D18" s="76"/>
      <c r="E18" s="83">
        <v>279.5981</v>
      </c>
      <c r="F18" s="84">
        <v>6930.0</v>
      </c>
      <c r="G18" s="84">
        <v>260.78</v>
      </c>
      <c r="H18" s="84">
        <v>18.81813</v>
      </c>
    </row>
    <row r="19">
      <c r="D19" s="76"/>
      <c r="E19" s="76"/>
      <c r="F19" s="76"/>
      <c r="G19" s="76"/>
      <c r="H19" s="76"/>
    </row>
    <row r="20">
      <c r="D20" s="76"/>
      <c r="E20" s="76"/>
      <c r="F20" s="76"/>
      <c r="G20" s="76"/>
      <c r="H20" s="76"/>
    </row>
    <row r="21">
      <c r="D21" s="76"/>
      <c r="E21" s="76"/>
      <c r="F21" s="76"/>
      <c r="G21" s="76"/>
      <c r="H21" s="76"/>
    </row>
    <row r="22">
      <c r="D22" s="76"/>
      <c r="E22" s="76"/>
      <c r="F22" s="76"/>
      <c r="G22" s="76"/>
      <c r="H22" s="76"/>
    </row>
    <row r="23">
      <c r="D23" s="76"/>
      <c r="E23" s="76"/>
      <c r="F23" s="76"/>
      <c r="G23" s="76"/>
      <c r="H23" s="76"/>
    </row>
    <row r="24">
      <c r="D24" s="76"/>
      <c r="E24" s="76"/>
      <c r="F24" s="76"/>
      <c r="G24" s="76"/>
      <c r="H24" s="76"/>
    </row>
    <row r="25">
      <c r="D25" s="76"/>
      <c r="E25" s="76"/>
      <c r="F25" s="76"/>
      <c r="G25" s="76"/>
      <c r="H25" s="76"/>
    </row>
    <row r="26">
      <c r="D26" s="76"/>
      <c r="E26" s="76"/>
      <c r="F26" s="76"/>
      <c r="G26" s="76"/>
      <c r="H26" s="76"/>
    </row>
    <row r="27">
      <c r="D27" s="76"/>
      <c r="E27" s="76"/>
      <c r="F27" s="76"/>
      <c r="G27" s="76"/>
      <c r="H27" s="76"/>
    </row>
    <row r="28">
      <c r="D28" s="76"/>
      <c r="E28" s="76"/>
      <c r="F28" s="76"/>
      <c r="G28" s="76"/>
      <c r="H28" s="76"/>
    </row>
    <row r="29">
      <c r="D29" s="76"/>
      <c r="E29" s="76"/>
      <c r="F29" s="76"/>
      <c r="G29" s="76"/>
      <c r="H29" s="76"/>
    </row>
    <row r="30">
      <c r="D30" s="76"/>
      <c r="E30" s="76"/>
      <c r="F30" s="76"/>
      <c r="G30" s="76"/>
      <c r="H30" s="76"/>
    </row>
    <row r="31">
      <c r="D31" s="76"/>
      <c r="E31" s="76"/>
      <c r="F31" s="76"/>
      <c r="G31" s="76"/>
      <c r="H31" s="76"/>
    </row>
    <row r="32">
      <c r="D32" s="76"/>
      <c r="E32" s="76"/>
      <c r="F32" s="76"/>
      <c r="G32" s="76"/>
      <c r="H32" s="76"/>
    </row>
    <row r="33">
      <c r="D33" s="76"/>
      <c r="E33" s="76"/>
      <c r="F33" s="76"/>
      <c r="G33" s="76"/>
      <c r="H33" s="76"/>
    </row>
    <row r="34">
      <c r="D34" s="76"/>
      <c r="E34" s="76"/>
      <c r="F34" s="76"/>
      <c r="G34" s="76"/>
      <c r="H34" s="76"/>
    </row>
    <row r="35">
      <c r="D35" s="76"/>
      <c r="E35" s="76"/>
      <c r="F35" s="76"/>
      <c r="G35" s="76"/>
      <c r="H35" s="76"/>
    </row>
    <row r="36">
      <c r="D36" s="76"/>
      <c r="E36" s="76"/>
      <c r="F36" s="76"/>
      <c r="G36" s="76"/>
      <c r="H36" s="76"/>
    </row>
  </sheetData>
  <mergeCells count="1">
    <mergeCell ref="E1:H1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330</v>
      </c>
      <c r="D1" s="76"/>
      <c r="E1" s="77" t="s">
        <v>331</v>
      </c>
      <c r="J1" s="76"/>
      <c r="K1" s="77" t="s">
        <v>332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112</v>
      </c>
      <c r="D4" s="82" t="s">
        <v>95</v>
      </c>
      <c r="E4" s="83">
        <v>357.1429</v>
      </c>
      <c r="F4" s="84">
        <v>301.0</v>
      </c>
      <c r="G4" s="84">
        <v>309.5</v>
      </c>
      <c r="H4" s="84">
        <v>47.64285</v>
      </c>
      <c r="J4" s="82" t="s">
        <v>114</v>
      </c>
      <c r="K4" s="83">
        <v>347.1321</v>
      </c>
      <c r="L4" s="84">
        <v>301.0</v>
      </c>
      <c r="M4" s="84">
        <v>307.7</v>
      </c>
      <c r="N4" s="84">
        <v>39.43213</v>
      </c>
    </row>
    <row r="5">
      <c r="D5" s="76"/>
      <c r="E5" s="83">
        <v>353.2206</v>
      </c>
      <c r="F5" s="84">
        <v>775.0</v>
      </c>
      <c r="G5" s="84">
        <v>308.0</v>
      </c>
      <c r="H5" s="84">
        <v>45.22058</v>
      </c>
      <c r="J5" s="76"/>
      <c r="K5" s="83">
        <v>347.1929</v>
      </c>
      <c r="L5" s="84">
        <v>774.0</v>
      </c>
      <c r="M5" s="84">
        <v>308.9</v>
      </c>
      <c r="N5" s="84">
        <v>38.29286</v>
      </c>
    </row>
    <row r="6">
      <c r="D6" s="76"/>
      <c r="E6" s="83">
        <v>351.2229</v>
      </c>
      <c r="F6" s="84">
        <v>1249.0</v>
      </c>
      <c r="G6" s="84">
        <v>305.6</v>
      </c>
      <c r="H6" s="84">
        <v>45.62287</v>
      </c>
      <c r="J6" s="76"/>
      <c r="K6" s="83">
        <v>346.9464</v>
      </c>
      <c r="L6" s="84">
        <v>1248.0</v>
      </c>
      <c r="M6" s="84">
        <v>307.2</v>
      </c>
      <c r="N6" s="84">
        <v>39.74642</v>
      </c>
    </row>
    <row r="7">
      <c r="D7" s="76"/>
      <c r="E7" s="83">
        <v>350.3343</v>
      </c>
      <c r="F7" s="84">
        <v>1721.0</v>
      </c>
      <c r="G7" s="84">
        <v>302.8</v>
      </c>
      <c r="H7" s="84">
        <v>47.53429</v>
      </c>
      <c r="J7" s="76"/>
      <c r="K7" s="83">
        <v>345.5464</v>
      </c>
      <c r="L7" s="84">
        <v>1721.0</v>
      </c>
      <c r="M7" s="84">
        <v>307.2</v>
      </c>
      <c r="N7" s="84">
        <v>38.34642</v>
      </c>
    </row>
    <row r="8">
      <c r="D8" s="76"/>
      <c r="E8" s="83">
        <v>350.3607</v>
      </c>
      <c r="F8" s="84">
        <v>2195.0</v>
      </c>
      <c r="G8" s="84">
        <v>302.7</v>
      </c>
      <c r="H8" s="84">
        <v>47.66071</v>
      </c>
      <c r="J8" s="76"/>
      <c r="K8" s="83">
        <v>343.1667</v>
      </c>
      <c r="L8" s="84">
        <v>2195.0</v>
      </c>
      <c r="M8" s="84">
        <v>305.4</v>
      </c>
      <c r="N8" s="84">
        <v>37.76666</v>
      </c>
    </row>
    <row r="9">
      <c r="D9" s="76"/>
      <c r="E9" s="83">
        <v>351.7222</v>
      </c>
      <c r="F9" s="84">
        <v>2668.0</v>
      </c>
      <c r="G9" s="84">
        <v>303.2</v>
      </c>
      <c r="H9" s="84">
        <v>48.52221</v>
      </c>
      <c r="J9" s="76"/>
      <c r="K9" s="83">
        <v>342.3429</v>
      </c>
      <c r="L9" s="84">
        <v>2669.0</v>
      </c>
      <c r="M9" s="84">
        <v>304.8</v>
      </c>
      <c r="N9" s="84">
        <v>37.54286</v>
      </c>
    </row>
    <row r="10">
      <c r="D10" s="76"/>
      <c r="E10" s="83">
        <v>349.2357</v>
      </c>
      <c r="F10" s="111">
        <v>3141.0</v>
      </c>
      <c r="G10" s="83">
        <v>302.1</v>
      </c>
      <c r="H10" s="84">
        <v>47.13572</v>
      </c>
      <c r="J10" s="82" t="s">
        <v>107</v>
      </c>
      <c r="K10" s="24">
        <v>342.3429</v>
      </c>
      <c r="L10" s="25">
        <v>3142.0</v>
      </c>
      <c r="M10" s="25">
        <v>304.5</v>
      </c>
      <c r="N10" s="25">
        <v>37.84286</v>
      </c>
    </row>
    <row r="11">
      <c r="D11" s="76"/>
      <c r="E11" s="83">
        <v>346.9964</v>
      </c>
      <c r="F11" s="142">
        <v>3616.0</v>
      </c>
      <c r="G11" s="84">
        <v>300.0</v>
      </c>
      <c r="H11" s="84">
        <v>46.99642</v>
      </c>
      <c r="J11" s="76"/>
      <c r="K11" s="83">
        <v>344.8875</v>
      </c>
      <c r="L11" s="84">
        <v>3617.0</v>
      </c>
      <c r="M11" s="84">
        <v>309.1</v>
      </c>
      <c r="N11" s="84">
        <v>35.7875</v>
      </c>
    </row>
    <row r="12">
      <c r="D12" s="82" t="s">
        <v>114</v>
      </c>
      <c r="E12" s="24">
        <v>348.075</v>
      </c>
      <c r="F12" s="25">
        <v>4089.0</v>
      </c>
      <c r="G12" s="25">
        <v>304.5</v>
      </c>
      <c r="H12" s="25">
        <v>43.57499</v>
      </c>
      <c r="J12" s="76"/>
      <c r="K12" s="83">
        <v>345.72</v>
      </c>
      <c r="L12" s="84">
        <v>4088.0</v>
      </c>
      <c r="M12" s="84">
        <v>310.9</v>
      </c>
      <c r="N12" s="84">
        <v>34.82</v>
      </c>
    </row>
    <row r="13">
      <c r="D13" s="76"/>
      <c r="E13" s="24">
        <v>347.7179</v>
      </c>
      <c r="F13" s="25">
        <v>4561.0</v>
      </c>
      <c r="G13" s="25">
        <v>305.1</v>
      </c>
      <c r="H13" s="25">
        <v>42.61787</v>
      </c>
      <c r="J13" s="76"/>
      <c r="K13" s="83">
        <v>345.0825</v>
      </c>
      <c r="L13" s="84">
        <v>4564.0</v>
      </c>
      <c r="M13" s="84">
        <v>308.6</v>
      </c>
      <c r="N13" s="84">
        <v>36.48249</v>
      </c>
    </row>
    <row r="14">
      <c r="D14" s="76"/>
      <c r="E14" s="83">
        <v>347.1321</v>
      </c>
      <c r="F14" s="84">
        <v>5035.0</v>
      </c>
      <c r="G14" s="84">
        <v>307.7</v>
      </c>
      <c r="H14" s="84">
        <v>39.43213</v>
      </c>
      <c r="J14" s="76"/>
      <c r="K14" s="83">
        <v>347.0125</v>
      </c>
      <c r="L14" s="84">
        <v>5034.0</v>
      </c>
      <c r="M14" s="84">
        <v>310.1</v>
      </c>
      <c r="N14" s="84">
        <v>36.91251</v>
      </c>
    </row>
    <row r="15">
      <c r="D15" s="76"/>
      <c r="E15" s="83">
        <v>347.1929</v>
      </c>
      <c r="F15" s="84">
        <v>5508.0</v>
      </c>
      <c r="G15" s="84">
        <v>308.9</v>
      </c>
      <c r="H15" s="84">
        <v>38.29286</v>
      </c>
      <c r="J15" s="76"/>
      <c r="K15" s="83">
        <v>349.4293</v>
      </c>
      <c r="L15" s="84">
        <v>5508.0</v>
      </c>
      <c r="M15" s="84">
        <v>313.0</v>
      </c>
      <c r="N15" s="84">
        <v>36.42928</v>
      </c>
    </row>
    <row r="16">
      <c r="D16" s="76"/>
      <c r="E16" s="83">
        <v>346.9464</v>
      </c>
      <c r="F16" s="84">
        <v>5982.0</v>
      </c>
      <c r="G16" s="84">
        <v>307.2</v>
      </c>
      <c r="H16" s="84">
        <v>39.74642</v>
      </c>
      <c r="J16" s="76"/>
      <c r="K16" s="83">
        <v>347.4439</v>
      </c>
      <c r="L16" s="84">
        <v>5982.0</v>
      </c>
      <c r="M16" s="84">
        <v>312.3</v>
      </c>
      <c r="N16" s="84">
        <v>35.1439</v>
      </c>
    </row>
    <row r="17">
      <c r="D17" s="76"/>
      <c r="E17" s="83">
        <v>345.5464</v>
      </c>
      <c r="F17" s="84">
        <v>6455.0</v>
      </c>
      <c r="G17" s="84">
        <v>307.2</v>
      </c>
      <c r="H17" s="84">
        <v>38.34642</v>
      </c>
      <c r="J17" s="76"/>
      <c r="K17" s="83">
        <v>347.2475</v>
      </c>
      <c r="L17" s="84">
        <v>6455.0</v>
      </c>
      <c r="M17" s="84">
        <v>313.0</v>
      </c>
      <c r="N17" s="84">
        <v>34.24751</v>
      </c>
    </row>
    <row r="18">
      <c r="D18" s="76"/>
      <c r="E18" s="83">
        <v>343.1667</v>
      </c>
      <c r="F18" s="84">
        <v>6929.0</v>
      </c>
      <c r="G18" s="84">
        <v>305.4</v>
      </c>
      <c r="H18" s="84">
        <v>37.76666</v>
      </c>
      <c r="J18" s="76"/>
      <c r="K18" s="76"/>
      <c r="L18" s="76"/>
      <c r="M18" s="76"/>
      <c r="N18" s="76"/>
    </row>
    <row r="19">
      <c r="D19" s="76"/>
      <c r="E19" s="83">
        <v>342.3429</v>
      </c>
      <c r="F19" s="84">
        <v>7404.0</v>
      </c>
      <c r="G19" s="84">
        <v>304.5</v>
      </c>
      <c r="H19" s="84">
        <v>37.84285</v>
      </c>
      <c r="J19" s="76"/>
      <c r="K19" s="76"/>
      <c r="L19" s="76"/>
      <c r="M19" s="76"/>
      <c r="N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  <row r="27">
      <c r="D27" s="76"/>
      <c r="E27" s="76"/>
      <c r="F27" s="76"/>
      <c r="G27" s="76"/>
      <c r="H27" s="76"/>
      <c r="J27" s="76"/>
      <c r="K27" s="76"/>
      <c r="L27" s="76"/>
      <c r="M27" s="76"/>
      <c r="N27" s="76"/>
    </row>
    <row r="28">
      <c r="D28" s="76"/>
      <c r="E28" s="76"/>
      <c r="F28" s="76"/>
      <c r="G28" s="76"/>
      <c r="H28" s="76"/>
      <c r="J28" s="76"/>
      <c r="K28" s="76"/>
      <c r="L28" s="76"/>
      <c r="M28" s="76"/>
      <c r="N28" s="76"/>
    </row>
    <row r="29">
      <c r="D29" s="76"/>
      <c r="E29" s="76"/>
      <c r="F29" s="76"/>
      <c r="G29" s="76"/>
      <c r="H29" s="76"/>
      <c r="J29" s="76"/>
      <c r="K29" s="76"/>
      <c r="L29" s="76"/>
      <c r="M29" s="76"/>
      <c r="N29" s="76"/>
    </row>
    <row r="30">
      <c r="D30" s="76"/>
      <c r="E30" s="76"/>
      <c r="F30" s="76"/>
      <c r="G30" s="76"/>
      <c r="H30" s="76"/>
      <c r="J30" s="76"/>
      <c r="K30" s="76"/>
      <c r="L30" s="76"/>
      <c r="M30" s="76"/>
      <c r="N30" s="76"/>
    </row>
    <row r="31">
      <c r="D31" s="76"/>
      <c r="E31" s="76"/>
      <c r="F31" s="76"/>
      <c r="G31" s="76"/>
      <c r="H31" s="76"/>
      <c r="J31" s="76"/>
      <c r="K31" s="76"/>
      <c r="L31" s="76"/>
      <c r="M31" s="76"/>
      <c r="N31" s="76"/>
    </row>
    <row r="32">
      <c r="D32" s="76"/>
      <c r="E32" s="76"/>
      <c r="F32" s="76"/>
      <c r="G32" s="76"/>
      <c r="H32" s="76"/>
      <c r="J32" s="76"/>
      <c r="K32" s="76"/>
      <c r="L32" s="76"/>
      <c r="M32" s="76"/>
      <c r="N32" s="76"/>
    </row>
    <row r="33">
      <c r="D33" s="76"/>
      <c r="E33" s="76"/>
      <c r="F33" s="76"/>
      <c r="G33" s="76"/>
      <c r="H33" s="76"/>
      <c r="J33" s="76"/>
      <c r="K33" s="76"/>
      <c r="L33" s="76"/>
      <c r="M33" s="76"/>
      <c r="N33" s="76"/>
    </row>
    <row r="34">
      <c r="D34" s="76"/>
      <c r="E34" s="76"/>
      <c r="F34" s="76"/>
      <c r="G34" s="76"/>
      <c r="H34" s="76"/>
      <c r="J34" s="76"/>
      <c r="K34" s="76"/>
      <c r="L34" s="76"/>
      <c r="M34" s="76"/>
      <c r="N34" s="76"/>
    </row>
    <row r="35">
      <c r="D35" s="76"/>
      <c r="E35" s="76"/>
      <c r="F35" s="76"/>
      <c r="G35" s="76"/>
      <c r="H35" s="76"/>
      <c r="J35" s="76"/>
      <c r="K35" s="76"/>
      <c r="L35" s="76"/>
      <c r="M35" s="76"/>
      <c r="N35" s="76"/>
    </row>
    <row r="36">
      <c r="D36" s="76"/>
      <c r="E36" s="76"/>
      <c r="F36" s="76"/>
      <c r="G36" s="76"/>
      <c r="H36" s="76"/>
      <c r="J36" s="76"/>
      <c r="K36" s="76"/>
      <c r="L36" s="76"/>
      <c r="M36" s="76"/>
      <c r="N36" s="76"/>
    </row>
  </sheetData>
  <mergeCells count="2">
    <mergeCell ref="E1:H1"/>
    <mergeCell ref="K1:N1"/>
  </mergeCell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333</v>
      </c>
      <c r="D1" s="76"/>
      <c r="E1" s="77" t="s">
        <v>334</v>
      </c>
      <c r="J1" s="76"/>
      <c r="K1" s="77" t="s">
        <v>335</v>
      </c>
      <c r="P1" s="76"/>
      <c r="Q1" s="77" t="s">
        <v>336</v>
      </c>
    </row>
    <row r="2">
      <c r="A2" s="95" t="s">
        <v>90</v>
      </c>
      <c r="D2" s="76"/>
      <c r="E2" s="76"/>
      <c r="F2" s="76"/>
      <c r="G2" s="76"/>
      <c r="H2" s="76"/>
      <c r="J2" s="76"/>
      <c r="K2" s="76"/>
      <c r="L2" s="76"/>
      <c r="M2" s="76"/>
      <c r="N2" s="76"/>
      <c r="P2" s="76"/>
      <c r="Q2" s="76"/>
      <c r="R2" s="76"/>
      <c r="S2" s="76"/>
      <c r="T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  <c r="P3" s="76"/>
      <c r="Q3" s="79" t="s">
        <v>10</v>
      </c>
      <c r="R3" s="80" t="s">
        <v>11</v>
      </c>
      <c r="S3" s="80" t="s">
        <v>12</v>
      </c>
      <c r="T3" s="81" t="s">
        <v>85</v>
      </c>
    </row>
    <row r="4">
      <c r="A4" s="96" t="s">
        <v>112</v>
      </c>
      <c r="D4" s="82" t="s">
        <v>95</v>
      </c>
      <c r="E4" s="83">
        <v>282.7303</v>
      </c>
      <c r="F4" s="84">
        <v>301.0</v>
      </c>
      <c r="G4" s="84">
        <v>260.86</v>
      </c>
      <c r="H4" s="84">
        <v>21.87031</v>
      </c>
      <c r="J4" s="82" t="s">
        <v>143</v>
      </c>
      <c r="K4" s="83">
        <v>280.8544</v>
      </c>
      <c r="L4" s="84">
        <v>301.0</v>
      </c>
      <c r="M4" s="84">
        <v>258.0</v>
      </c>
      <c r="N4" s="84">
        <v>22.85441</v>
      </c>
      <c r="P4" s="82" t="s">
        <v>113</v>
      </c>
      <c r="Q4" s="83">
        <v>278.6685</v>
      </c>
      <c r="R4" s="84">
        <v>301.0</v>
      </c>
      <c r="S4" s="84">
        <v>258.54</v>
      </c>
      <c r="T4" s="84">
        <v>20.12851</v>
      </c>
    </row>
    <row r="5">
      <c r="D5" s="76"/>
      <c r="E5" s="83">
        <v>282.84</v>
      </c>
      <c r="F5" s="84">
        <v>774.0</v>
      </c>
      <c r="G5" s="84">
        <v>260.53</v>
      </c>
      <c r="H5" s="84">
        <v>22.31</v>
      </c>
      <c r="J5" s="76"/>
      <c r="K5" s="83">
        <v>280.4213</v>
      </c>
      <c r="L5" s="84">
        <v>773.0</v>
      </c>
      <c r="M5" s="84">
        <v>257.71</v>
      </c>
      <c r="N5" s="84">
        <v>22.71131</v>
      </c>
      <c r="P5" s="76"/>
      <c r="Q5" s="83">
        <v>278.9496</v>
      </c>
      <c r="R5" s="84">
        <v>775.0</v>
      </c>
      <c r="S5" s="84">
        <v>258.0</v>
      </c>
      <c r="T5" s="84">
        <v>20.94961</v>
      </c>
    </row>
    <row r="6">
      <c r="D6" s="76"/>
      <c r="E6" s="83">
        <v>282.7891</v>
      </c>
      <c r="F6" s="84">
        <v>1249.0</v>
      </c>
      <c r="G6" s="84">
        <v>260.57</v>
      </c>
      <c r="H6" s="84">
        <v>22.21908</v>
      </c>
      <c r="J6" s="76"/>
      <c r="K6" s="83">
        <v>280.199</v>
      </c>
      <c r="L6" s="84">
        <v>1248.0</v>
      </c>
      <c r="M6" s="84">
        <v>258.25</v>
      </c>
      <c r="N6" s="84">
        <v>21.949</v>
      </c>
      <c r="P6" s="76"/>
      <c r="Q6" s="83">
        <v>279.513</v>
      </c>
      <c r="R6" s="84">
        <v>1247.0</v>
      </c>
      <c r="S6" s="84">
        <v>258.27</v>
      </c>
      <c r="T6" s="84">
        <v>21.24298</v>
      </c>
    </row>
    <row r="7">
      <c r="D7" s="76"/>
      <c r="E7" s="83">
        <v>282.5853</v>
      </c>
      <c r="F7" s="84">
        <v>1723.0</v>
      </c>
      <c r="G7" s="84">
        <v>259.69</v>
      </c>
      <c r="H7" s="84">
        <v>22.89529</v>
      </c>
      <c r="J7" s="76"/>
      <c r="K7" s="83">
        <v>280.3613</v>
      </c>
      <c r="L7" s="84">
        <v>1720.0</v>
      </c>
      <c r="M7" s="84">
        <v>257.52</v>
      </c>
      <c r="N7" s="84">
        <v>22.84129</v>
      </c>
      <c r="P7" s="76"/>
      <c r="Q7" s="83">
        <v>279.5073</v>
      </c>
      <c r="R7" s="84">
        <v>1719.0</v>
      </c>
      <c r="S7" s="84">
        <v>258.4</v>
      </c>
      <c r="T7" s="84">
        <v>21.10732</v>
      </c>
    </row>
    <row r="8">
      <c r="D8" s="76"/>
      <c r="E8" s="83">
        <v>282.583</v>
      </c>
      <c r="F8" s="84">
        <v>2196.0</v>
      </c>
      <c r="G8" s="84">
        <v>259.92</v>
      </c>
      <c r="H8" s="84">
        <v>22.66302</v>
      </c>
      <c r="J8" s="76"/>
      <c r="K8" s="83">
        <v>280.1277</v>
      </c>
      <c r="L8" s="84">
        <v>2194.0</v>
      </c>
      <c r="M8" s="84">
        <v>257.6</v>
      </c>
      <c r="N8" s="84">
        <v>22.52768</v>
      </c>
      <c r="P8" s="76"/>
      <c r="Q8" s="83">
        <v>279.5004</v>
      </c>
      <c r="R8" s="84">
        <v>2193.0</v>
      </c>
      <c r="S8" s="84">
        <v>258.25</v>
      </c>
      <c r="T8" s="84">
        <v>21.25037</v>
      </c>
    </row>
    <row r="9">
      <c r="D9" s="76"/>
      <c r="E9" s="83">
        <v>282.2365</v>
      </c>
      <c r="F9" s="84">
        <v>2670.0</v>
      </c>
      <c r="G9" s="84">
        <v>260.05</v>
      </c>
      <c r="H9" s="84">
        <v>22.18648</v>
      </c>
      <c r="J9" s="76"/>
      <c r="K9" s="83">
        <v>279.921</v>
      </c>
      <c r="L9" s="84">
        <v>2666.0</v>
      </c>
      <c r="M9" s="84">
        <v>258.5</v>
      </c>
      <c r="N9" s="84">
        <v>21.42104</v>
      </c>
      <c r="P9" s="76"/>
      <c r="Q9" s="83">
        <v>279.5767</v>
      </c>
      <c r="R9" s="84">
        <v>2667.0</v>
      </c>
      <c r="S9" s="84">
        <v>258.27</v>
      </c>
      <c r="T9" s="84">
        <v>21.30668</v>
      </c>
    </row>
    <row r="10">
      <c r="D10" s="82" t="s">
        <v>114</v>
      </c>
      <c r="E10" s="24">
        <v>281.7362</v>
      </c>
      <c r="F10" s="25">
        <v>3143.0</v>
      </c>
      <c r="G10" s="25">
        <v>263.25</v>
      </c>
      <c r="H10" s="25">
        <v>18.48618</v>
      </c>
      <c r="J10" s="76"/>
      <c r="K10" s="83">
        <v>279.7428</v>
      </c>
      <c r="L10" s="84">
        <v>3142.0</v>
      </c>
      <c r="M10" s="84">
        <v>255.66</v>
      </c>
      <c r="N10" s="84">
        <v>24.08276</v>
      </c>
      <c r="P10" s="82" t="s">
        <v>114</v>
      </c>
      <c r="Q10" s="24">
        <v>280.0342</v>
      </c>
      <c r="R10" s="25">
        <v>3142.0</v>
      </c>
      <c r="S10" s="25">
        <v>261.39</v>
      </c>
      <c r="T10" s="25">
        <v>18.64422</v>
      </c>
    </row>
    <row r="11">
      <c r="D11" s="76"/>
      <c r="E11" s="83">
        <v>282.7385</v>
      </c>
      <c r="F11" s="84">
        <v>3616.0</v>
      </c>
      <c r="G11" s="84">
        <v>265.11</v>
      </c>
      <c r="H11" s="84">
        <v>17.62849</v>
      </c>
      <c r="J11" s="76"/>
      <c r="K11" s="83">
        <v>279.7728</v>
      </c>
      <c r="L11" s="84">
        <v>3614.0</v>
      </c>
      <c r="M11" s="84">
        <v>256.24</v>
      </c>
      <c r="N11" s="84">
        <v>23.53277</v>
      </c>
      <c r="P11" s="76"/>
      <c r="Q11" s="83">
        <v>279.4696</v>
      </c>
      <c r="R11" s="84">
        <v>3616.0</v>
      </c>
      <c r="S11" s="84">
        <v>263.73</v>
      </c>
      <c r="T11" s="84">
        <v>15.7396</v>
      </c>
    </row>
    <row r="12">
      <c r="D12" s="76"/>
      <c r="E12" s="83">
        <v>282.5776</v>
      </c>
      <c r="F12" s="84">
        <v>4088.0</v>
      </c>
      <c r="G12" s="84">
        <v>264.88</v>
      </c>
      <c r="H12" s="84">
        <v>17.69757</v>
      </c>
      <c r="J12" s="82" t="s">
        <v>114</v>
      </c>
      <c r="K12" s="24">
        <v>280.0135</v>
      </c>
      <c r="L12" s="25">
        <v>4088.0</v>
      </c>
      <c r="M12" s="25">
        <v>258.77</v>
      </c>
      <c r="N12" s="25">
        <v>21.24346</v>
      </c>
      <c r="P12" s="76"/>
      <c r="Q12" s="83">
        <v>279.6741</v>
      </c>
      <c r="R12" s="84">
        <v>4089.0</v>
      </c>
      <c r="S12" s="84">
        <v>263.85</v>
      </c>
      <c r="T12" s="84">
        <v>15.82406</v>
      </c>
    </row>
    <row r="13">
      <c r="D13" s="76"/>
      <c r="E13" s="83">
        <v>281.6206</v>
      </c>
      <c r="F13" s="84">
        <v>4563.0</v>
      </c>
      <c r="G13" s="84">
        <v>263.52</v>
      </c>
      <c r="H13" s="84">
        <v>18.1006</v>
      </c>
      <c r="J13" s="76"/>
      <c r="K13" s="83">
        <v>279.9169</v>
      </c>
      <c r="L13" s="84">
        <v>4562.0</v>
      </c>
      <c r="M13" s="84">
        <v>259.65</v>
      </c>
      <c r="N13" s="84">
        <v>20.26691</v>
      </c>
      <c r="P13" s="76"/>
      <c r="Q13" s="83">
        <v>280.2773</v>
      </c>
      <c r="R13" s="84">
        <v>4562.0</v>
      </c>
      <c r="S13" s="84">
        <v>264.42</v>
      </c>
      <c r="T13" s="84">
        <v>15.8573</v>
      </c>
    </row>
    <row r="14">
      <c r="D14" s="76"/>
      <c r="E14" s="83">
        <v>281.6076</v>
      </c>
      <c r="F14" s="84">
        <v>5036.0</v>
      </c>
      <c r="G14" s="84">
        <v>264.13</v>
      </c>
      <c r="H14" s="84">
        <v>17.47764</v>
      </c>
      <c r="J14" s="76"/>
      <c r="K14" s="83">
        <v>280.1717</v>
      </c>
      <c r="L14" s="84">
        <v>5034.0</v>
      </c>
      <c r="M14" s="84">
        <v>259.96</v>
      </c>
      <c r="N14" s="84">
        <v>20.21173</v>
      </c>
      <c r="P14" s="76"/>
      <c r="Q14" s="83">
        <v>280.5026</v>
      </c>
      <c r="R14" s="84">
        <v>5036.0</v>
      </c>
      <c r="S14" s="84">
        <v>264.13</v>
      </c>
      <c r="T14" s="84">
        <v>16.37259</v>
      </c>
    </row>
    <row r="15">
      <c r="D15" s="76"/>
      <c r="E15" s="83">
        <v>281.1458</v>
      </c>
      <c r="F15" s="84">
        <v>5510.0</v>
      </c>
      <c r="G15" s="84">
        <v>262.29</v>
      </c>
      <c r="H15" s="84">
        <v>18.85575</v>
      </c>
      <c r="J15" s="76"/>
      <c r="K15" s="83">
        <v>279.4841</v>
      </c>
      <c r="L15" s="84">
        <v>5508.0</v>
      </c>
      <c r="M15" s="84">
        <v>259.94</v>
      </c>
      <c r="N15" s="84">
        <v>19.54414</v>
      </c>
      <c r="P15" s="76"/>
      <c r="Q15" s="83">
        <v>280.6096</v>
      </c>
      <c r="R15" s="84">
        <v>5509.0</v>
      </c>
      <c r="S15" s="84">
        <v>265.03</v>
      </c>
      <c r="T15" s="84">
        <v>15.57962</v>
      </c>
    </row>
    <row r="16">
      <c r="D16" s="76"/>
      <c r="E16" s="76"/>
      <c r="F16" s="76"/>
      <c r="G16" s="76"/>
      <c r="H16" s="76"/>
      <c r="J16" s="76"/>
      <c r="K16" s="83">
        <v>279.7314</v>
      </c>
      <c r="L16" s="111">
        <v>5979.0</v>
      </c>
      <c r="M16" s="83">
        <v>261.03</v>
      </c>
      <c r="N16" s="84">
        <v>18.70143</v>
      </c>
      <c r="P16" s="76"/>
      <c r="Q16" s="83">
        <v>280.8256</v>
      </c>
      <c r="R16" s="84">
        <v>5982.0</v>
      </c>
      <c r="S16" s="84">
        <v>265.99</v>
      </c>
      <c r="T16" s="84">
        <v>14.83556</v>
      </c>
    </row>
    <row r="17">
      <c r="D17" s="76"/>
      <c r="E17" s="76"/>
      <c r="F17" s="76"/>
      <c r="G17" s="76"/>
      <c r="H17" s="76"/>
      <c r="J17" s="76"/>
      <c r="K17" s="83">
        <v>279.5617</v>
      </c>
      <c r="L17" s="142">
        <v>6453.0</v>
      </c>
      <c r="M17" s="84">
        <v>259.94</v>
      </c>
      <c r="N17" s="84">
        <v>19.62173</v>
      </c>
      <c r="P17" s="76"/>
      <c r="Q17" s="83">
        <v>280.9058</v>
      </c>
      <c r="R17" s="84">
        <v>6456.0</v>
      </c>
      <c r="S17" s="84">
        <v>264.94</v>
      </c>
      <c r="T17" s="84">
        <v>15.96577</v>
      </c>
    </row>
    <row r="18">
      <c r="D18" s="76"/>
      <c r="E18" s="76"/>
      <c r="F18" s="76"/>
      <c r="G18" s="76"/>
      <c r="H18" s="76"/>
      <c r="J18" s="76"/>
      <c r="K18" s="83">
        <v>279.4064</v>
      </c>
      <c r="L18" s="84">
        <v>6927.0</v>
      </c>
      <c r="M18" s="84">
        <v>259.78</v>
      </c>
      <c r="N18" s="84">
        <v>19.62643</v>
      </c>
      <c r="P18" s="76"/>
      <c r="Q18" s="76"/>
      <c r="R18" s="76"/>
      <c r="S18" s="76"/>
      <c r="T18" s="76"/>
    </row>
    <row r="19">
      <c r="D19" s="76"/>
      <c r="E19" s="76"/>
      <c r="F19" s="76"/>
      <c r="G19" s="76"/>
      <c r="H19" s="76"/>
      <c r="J19" s="76"/>
      <c r="K19" s="83">
        <v>279.3266</v>
      </c>
      <c r="L19" s="84">
        <v>7401.0</v>
      </c>
      <c r="M19" s="84">
        <v>259.65</v>
      </c>
      <c r="N19" s="84">
        <v>19.67656</v>
      </c>
      <c r="P19" s="76"/>
      <c r="Q19" s="76"/>
      <c r="R19" s="76"/>
      <c r="S19" s="76"/>
      <c r="T19" s="76"/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  <c r="P20" s="76"/>
      <c r="Q20" s="76"/>
      <c r="R20" s="76"/>
      <c r="S20" s="76"/>
      <c r="T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  <c r="P21" s="76"/>
      <c r="Q21" s="76"/>
      <c r="R21" s="76"/>
      <c r="S21" s="76"/>
      <c r="T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  <c r="P22" s="76"/>
      <c r="Q22" s="76"/>
      <c r="R22" s="76"/>
      <c r="S22" s="76"/>
      <c r="T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  <c r="P23" s="76"/>
      <c r="Q23" s="76"/>
      <c r="R23" s="76"/>
      <c r="S23" s="76"/>
      <c r="T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  <c r="P24" s="76"/>
      <c r="Q24" s="76"/>
      <c r="R24" s="76"/>
      <c r="S24" s="76"/>
      <c r="T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  <c r="P25" s="76"/>
      <c r="Q25" s="76"/>
      <c r="R25" s="76"/>
      <c r="S25" s="76"/>
      <c r="T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  <c r="P26" s="76"/>
      <c r="Q26" s="76"/>
      <c r="R26" s="76"/>
      <c r="S26" s="76"/>
      <c r="T26" s="76"/>
    </row>
    <row r="27">
      <c r="D27" s="76"/>
      <c r="E27" s="76"/>
      <c r="F27" s="76"/>
      <c r="G27" s="76"/>
      <c r="H27" s="76"/>
      <c r="J27" s="76"/>
      <c r="K27" s="76"/>
      <c r="L27" s="76"/>
      <c r="M27" s="76"/>
      <c r="N27" s="76"/>
      <c r="P27" s="76"/>
      <c r="Q27" s="76"/>
      <c r="R27" s="76"/>
      <c r="S27" s="76"/>
      <c r="T27" s="76"/>
    </row>
    <row r="28">
      <c r="D28" s="76"/>
      <c r="E28" s="76"/>
      <c r="F28" s="76"/>
      <c r="G28" s="76"/>
      <c r="H28" s="76"/>
      <c r="J28" s="76"/>
      <c r="K28" s="76"/>
      <c r="L28" s="76"/>
      <c r="M28" s="76"/>
      <c r="N28" s="76"/>
      <c r="P28" s="76"/>
      <c r="Q28" s="76"/>
      <c r="R28" s="76"/>
      <c r="S28" s="76"/>
      <c r="T28" s="76"/>
    </row>
    <row r="29">
      <c r="D29" s="76"/>
      <c r="E29" s="76"/>
      <c r="F29" s="76"/>
      <c r="G29" s="76"/>
      <c r="H29" s="76"/>
      <c r="J29" s="76"/>
      <c r="K29" s="76"/>
      <c r="L29" s="76"/>
      <c r="M29" s="76"/>
      <c r="N29" s="76"/>
      <c r="P29" s="76"/>
      <c r="Q29" s="76"/>
      <c r="R29" s="76"/>
      <c r="S29" s="76"/>
      <c r="T29" s="76"/>
    </row>
    <row r="30">
      <c r="D30" s="76"/>
      <c r="E30" s="76"/>
      <c r="F30" s="76"/>
      <c r="G30" s="76"/>
      <c r="H30" s="76"/>
      <c r="J30" s="76"/>
      <c r="K30" s="76"/>
      <c r="L30" s="76"/>
      <c r="M30" s="76"/>
      <c r="N30" s="76"/>
      <c r="P30" s="76"/>
      <c r="Q30" s="76"/>
      <c r="R30" s="76"/>
      <c r="S30" s="76"/>
      <c r="T30" s="76"/>
    </row>
    <row r="31">
      <c r="D31" s="76"/>
      <c r="E31" s="76"/>
      <c r="F31" s="76"/>
      <c r="G31" s="76"/>
      <c r="H31" s="76"/>
      <c r="J31" s="76"/>
      <c r="K31" s="76"/>
      <c r="L31" s="76"/>
      <c r="M31" s="76"/>
      <c r="N31" s="76"/>
      <c r="P31" s="76"/>
      <c r="Q31" s="76"/>
      <c r="R31" s="76"/>
      <c r="S31" s="76"/>
      <c r="T31" s="76"/>
    </row>
    <row r="32">
      <c r="D32" s="76"/>
      <c r="E32" s="76"/>
      <c r="F32" s="76"/>
      <c r="G32" s="76"/>
      <c r="H32" s="76"/>
      <c r="J32" s="76"/>
      <c r="K32" s="76"/>
      <c r="L32" s="76"/>
      <c r="M32" s="76"/>
      <c r="N32" s="76"/>
      <c r="P32" s="76"/>
      <c r="Q32" s="76"/>
      <c r="R32" s="76"/>
      <c r="S32" s="76"/>
      <c r="T32" s="76"/>
    </row>
    <row r="33">
      <c r="D33" s="76"/>
      <c r="E33" s="76"/>
      <c r="F33" s="76"/>
      <c r="G33" s="76"/>
      <c r="H33" s="76"/>
      <c r="J33" s="76"/>
      <c r="K33" s="76"/>
      <c r="L33" s="76"/>
      <c r="M33" s="76"/>
      <c r="N33" s="76"/>
      <c r="P33" s="76"/>
      <c r="Q33" s="76"/>
      <c r="R33" s="76"/>
      <c r="S33" s="76"/>
      <c r="T33" s="76"/>
    </row>
    <row r="34">
      <c r="D34" s="76"/>
      <c r="E34" s="76"/>
      <c r="F34" s="76"/>
      <c r="G34" s="76"/>
      <c r="H34" s="76"/>
      <c r="J34" s="76"/>
      <c r="K34" s="76"/>
      <c r="L34" s="76"/>
      <c r="M34" s="76"/>
      <c r="N34" s="76"/>
      <c r="P34" s="76"/>
      <c r="Q34" s="76"/>
      <c r="R34" s="76"/>
      <c r="S34" s="76"/>
      <c r="T34" s="76"/>
    </row>
    <row r="35">
      <c r="D35" s="76"/>
      <c r="E35" s="76"/>
      <c r="F35" s="76"/>
      <c r="G35" s="76"/>
      <c r="H35" s="76"/>
      <c r="J35" s="76"/>
      <c r="K35" s="76"/>
      <c r="L35" s="76"/>
      <c r="M35" s="76"/>
      <c r="N35" s="76"/>
      <c r="P35" s="76"/>
      <c r="Q35" s="76"/>
      <c r="R35" s="76"/>
      <c r="S35" s="76"/>
      <c r="T35" s="76"/>
    </row>
    <row r="36">
      <c r="D36" s="76"/>
      <c r="E36" s="76"/>
      <c r="F36" s="76"/>
      <c r="G36" s="76"/>
      <c r="H36" s="76"/>
      <c r="J36" s="76"/>
      <c r="K36" s="76"/>
      <c r="L36" s="76"/>
      <c r="M36" s="76"/>
      <c r="N36" s="76"/>
      <c r="P36" s="76"/>
      <c r="Q36" s="76"/>
      <c r="R36" s="76"/>
      <c r="S36" s="76"/>
      <c r="T36" s="76"/>
    </row>
  </sheetData>
  <mergeCells count="3">
    <mergeCell ref="E1:H1"/>
    <mergeCell ref="K1:N1"/>
    <mergeCell ref="Q1:T1"/>
  </mergeCell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5" t="s">
        <v>337</v>
      </c>
      <c r="D1" s="76"/>
      <c r="E1" s="77" t="s">
        <v>338</v>
      </c>
      <c r="J1" s="76"/>
      <c r="K1" s="77" t="s">
        <v>339</v>
      </c>
    </row>
    <row r="2">
      <c r="A2" s="95" t="s">
        <v>90</v>
      </c>
      <c r="D2" s="76"/>
      <c r="E2" s="76"/>
      <c r="F2" s="76"/>
      <c r="G2" s="76"/>
      <c r="H2" s="76"/>
      <c r="J2" s="135"/>
      <c r="K2" s="76"/>
      <c r="L2" s="76"/>
      <c r="M2" s="76"/>
      <c r="N2" s="76"/>
    </row>
    <row r="3">
      <c r="A3" s="96" t="s">
        <v>111</v>
      </c>
      <c r="D3" s="76"/>
      <c r="E3" s="79" t="s">
        <v>10</v>
      </c>
      <c r="F3" s="80" t="s">
        <v>11</v>
      </c>
      <c r="G3" s="80" t="s">
        <v>12</v>
      </c>
      <c r="H3" s="81" t="s">
        <v>85</v>
      </c>
      <c r="J3" s="76"/>
      <c r="K3" s="79" t="s">
        <v>10</v>
      </c>
      <c r="L3" s="80" t="s">
        <v>11</v>
      </c>
      <c r="M3" s="80" t="s">
        <v>12</v>
      </c>
      <c r="N3" s="81" t="s">
        <v>85</v>
      </c>
    </row>
    <row r="4">
      <c r="A4" s="96" t="s">
        <v>112</v>
      </c>
      <c r="D4" s="82" t="s">
        <v>95</v>
      </c>
      <c r="E4" s="83">
        <v>360.4487</v>
      </c>
      <c r="F4" s="84">
        <v>301.0</v>
      </c>
      <c r="G4" s="84">
        <v>292.7</v>
      </c>
      <c r="H4" s="84">
        <v>67.74873</v>
      </c>
      <c r="J4" s="82" t="s">
        <v>143</v>
      </c>
      <c r="K4" s="83">
        <v>351.4641</v>
      </c>
      <c r="L4" s="84">
        <v>301.0</v>
      </c>
      <c r="M4" s="84">
        <v>280.6</v>
      </c>
      <c r="N4" s="84">
        <v>70.86409</v>
      </c>
    </row>
    <row r="5">
      <c r="D5" s="76"/>
      <c r="E5" s="83">
        <v>360.2744</v>
      </c>
      <c r="F5" s="84">
        <v>774.0</v>
      </c>
      <c r="G5" s="84">
        <v>291.7</v>
      </c>
      <c r="H5" s="84">
        <v>68.57435</v>
      </c>
      <c r="J5" s="76"/>
      <c r="K5" s="83">
        <v>351.1769</v>
      </c>
      <c r="L5" s="84">
        <v>774.0</v>
      </c>
      <c r="M5" s="84">
        <v>280.3</v>
      </c>
      <c r="N5" s="84">
        <v>70.87693</v>
      </c>
    </row>
    <row r="6">
      <c r="D6" s="76"/>
      <c r="E6" s="83">
        <v>361.5525</v>
      </c>
      <c r="F6" s="84">
        <v>1247.0</v>
      </c>
      <c r="G6" s="84">
        <v>293.7</v>
      </c>
      <c r="H6" s="84">
        <v>67.85249</v>
      </c>
      <c r="J6" s="76"/>
      <c r="K6" s="83">
        <v>350.0725</v>
      </c>
      <c r="L6" s="84">
        <v>1247.0</v>
      </c>
      <c r="M6" s="84">
        <v>279.6</v>
      </c>
      <c r="N6" s="84">
        <v>70.47251</v>
      </c>
    </row>
    <row r="7">
      <c r="D7" s="76"/>
      <c r="E7" s="83">
        <v>360.2564</v>
      </c>
      <c r="F7" s="84">
        <v>1720.0</v>
      </c>
      <c r="G7" s="84">
        <v>290.9</v>
      </c>
      <c r="H7" s="84">
        <v>69.35642</v>
      </c>
      <c r="J7" s="76"/>
      <c r="K7" s="83">
        <v>352.8821</v>
      </c>
      <c r="L7" s="84">
        <v>1720.0</v>
      </c>
      <c r="M7" s="84">
        <v>282.3</v>
      </c>
      <c r="N7" s="84">
        <v>70.58205</v>
      </c>
    </row>
    <row r="8">
      <c r="D8" s="76"/>
      <c r="E8" s="83">
        <v>357.63</v>
      </c>
      <c r="F8" s="84">
        <v>2199.0</v>
      </c>
      <c r="G8" s="84">
        <v>290.4</v>
      </c>
      <c r="H8" s="84">
        <v>67.23</v>
      </c>
      <c r="J8" s="76"/>
      <c r="K8" s="83">
        <v>351.3872</v>
      </c>
      <c r="L8" s="84">
        <v>2194.0</v>
      </c>
      <c r="M8" s="84">
        <v>279.7</v>
      </c>
      <c r="N8" s="84">
        <v>71.68717</v>
      </c>
    </row>
    <row r="9">
      <c r="D9" s="76"/>
      <c r="E9" s="83">
        <v>356.0077</v>
      </c>
      <c r="F9" s="84">
        <v>2673.0</v>
      </c>
      <c r="G9" s="84">
        <v>287.1</v>
      </c>
      <c r="H9" s="84">
        <v>68.9077</v>
      </c>
      <c r="J9" s="76"/>
      <c r="K9" s="83">
        <v>349.91</v>
      </c>
      <c r="L9" s="84">
        <v>2667.0</v>
      </c>
      <c r="M9" s="84">
        <v>277.9</v>
      </c>
      <c r="N9" s="84">
        <v>72.00999</v>
      </c>
    </row>
    <row r="10">
      <c r="D10" s="76"/>
      <c r="E10" s="83">
        <v>353.6564</v>
      </c>
      <c r="F10" s="84">
        <v>3145.0</v>
      </c>
      <c r="G10" s="84">
        <v>288.1</v>
      </c>
      <c r="H10" s="84">
        <v>65.55641</v>
      </c>
      <c r="J10" s="76"/>
      <c r="K10" s="83">
        <v>348.6795</v>
      </c>
      <c r="L10" s="84">
        <v>3141.0</v>
      </c>
      <c r="M10" s="84">
        <v>277.1</v>
      </c>
      <c r="N10" s="84">
        <v>71.57949</v>
      </c>
    </row>
    <row r="11">
      <c r="D11" s="82" t="s">
        <v>120</v>
      </c>
      <c r="E11" s="24">
        <v>356.0282</v>
      </c>
      <c r="F11" s="25">
        <v>3619.0</v>
      </c>
      <c r="G11" s="25">
        <v>295.8</v>
      </c>
      <c r="H11" s="25">
        <v>60.2282</v>
      </c>
      <c r="J11" s="76"/>
      <c r="K11" s="83">
        <v>348.2875</v>
      </c>
      <c r="L11" s="84">
        <v>3614.0</v>
      </c>
      <c r="M11" s="84">
        <v>276.5</v>
      </c>
      <c r="N11" s="84">
        <v>71.78751</v>
      </c>
    </row>
    <row r="12">
      <c r="D12" s="76"/>
      <c r="E12" s="83">
        <v>355.4795</v>
      </c>
      <c r="F12" s="84">
        <v>4093.0</v>
      </c>
      <c r="G12" s="84">
        <v>297.7</v>
      </c>
      <c r="H12" s="84">
        <v>57.77949</v>
      </c>
      <c r="J12" s="82" t="s">
        <v>120</v>
      </c>
      <c r="K12" s="24">
        <v>348.1718</v>
      </c>
      <c r="L12" s="25">
        <v>4090.0</v>
      </c>
      <c r="M12" s="25">
        <v>285.7</v>
      </c>
      <c r="N12" s="25">
        <v>62.47181</v>
      </c>
    </row>
    <row r="13">
      <c r="D13" s="76"/>
      <c r="E13" s="83">
        <v>355.4564</v>
      </c>
      <c r="F13" s="84">
        <v>4566.0</v>
      </c>
      <c r="G13" s="84">
        <v>298.6</v>
      </c>
      <c r="H13" s="84">
        <v>56.85642</v>
      </c>
      <c r="J13" s="76"/>
      <c r="K13" s="24">
        <v>352.6128</v>
      </c>
      <c r="L13" s="25">
        <v>4561.0</v>
      </c>
      <c r="M13" s="25">
        <v>292.4</v>
      </c>
      <c r="N13" s="25">
        <v>60.21282</v>
      </c>
    </row>
    <row r="14">
      <c r="D14" s="76"/>
      <c r="E14" s="83">
        <v>354.2425</v>
      </c>
      <c r="F14" s="84">
        <v>5040.0</v>
      </c>
      <c r="G14" s="84">
        <v>297.1</v>
      </c>
      <c r="H14" s="84">
        <v>57.14249</v>
      </c>
      <c r="J14" s="76"/>
      <c r="K14" s="83">
        <v>353.61</v>
      </c>
      <c r="L14" s="84">
        <v>5034.0</v>
      </c>
      <c r="M14" s="84">
        <v>292.4</v>
      </c>
      <c r="N14" s="84">
        <v>61.21</v>
      </c>
    </row>
    <row r="15">
      <c r="D15" s="76"/>
      <c r="E15" s="83">
        <v>353.6744</v>
      </c>
      <c r="F15" s="84">
        <v>5513.0</v>
      </c>
      <c r="G15" s="84">
        <v>298.0</v>
      </c>
      <c r="H15" s="84">
        <v>55.67435</v>
      </c>
      <c r="J15" s="76"/>
      <c r="K15" s="83">
        <v>352.92</v>
      </c>
      <c r="L15" s="84">
        <v>5508.0</v>
      </c>
      <c r="M15" s="84">
        <v>291.4</v>
      </c>
      <c r="N15" s="84">
        <v>61.52001</v>
      </c>
    </row>
    <row r="16">
      <c r="D16" s="76"/>
      <c r="E16" s="83">
        <v>351.8205</v>
      </c>
      <c r="F16" s="84">
        <v>5986.0</v>
      </c>
      <c r="G16" s="84">
        <v>294.5</v>
      </c>
      <c r="H16" s="84">
        <v>57.32053</v>
      </c>
      <c r="J16" s="76"/>
      <c r="K16" s="83">
        <v>352.6128</v>
      </c>
      <c r="L16" s="84">
        <v>5980.0</v>
      </c>
      <c r="M16" s="84">
        <v>290.6</v>
      </c>
      <c r="N16" s="84">
        <v>62.01282</v>
      </c>
    </row>
    <row r="17">
      <c r="D17" s="76"/>
      <c r="E17" s="83">
        <v>347.75</v>
      </c>
      <c r="F17" s="84">
        <v>6460.0</v>
      </c>
      <c r="G17" s="84">
        <v>290.6</v>
      </c>
      <c r="H17" s="84">
        <v>57.15</v>
      </c>
      <c r="J17" s="76"/>
      <c r="K17" s="83">
        <v>352.3974</v>
      </c>
      <c r="L17" s="84">
        <v>6454.0</v>
      </c>
      <c r="M17" s="84">
        <v>289.5</v>
      </c>
      <c r="N17" s="84">
        <v>62.89743</v>
      </c>
    </row>
    <row r="18">
      <c r="D18" s="76"/>
      <c r="E18" s="76"/>
      <c r="F18" s="76"/>
      <c r="G18" s="76"/>
      <c r="H18" s="76"/>
      <c r="J18" s="76"/>
      <c r="K18" s="83">
        <v>350.6325</v>
      </c>
      <c r="L18" s="111">
        <v>6927.0</v>
      </c>
      <c r="M18" s="83">
        <v>287.4</v>
      </c>
      <c r="N18" s="84">
        <v>63.23249</v>
      </c>
    </row>
    <row r="19">
      <c r="D19" s="76"/>
      <c r="E19" s="76"/>
      <c r="F19" s="76"/>
      <c r="G19" s="76"/>
      <c r="H19" s="76"/>
      <c r="J19" s="76"/>
      <c r="K19" s="83">
        <v>349.8872</v>
      </c>
      <c r="L19" s="142">
        <v>7401.0</v>
      </c>
      <c r="M19" s="84">
        <v>287.1</v>
      </c>
      <c r="N19" s="84">
        <v>62.78719</v>
      </c>
    </row>
    <row r="20">
      <c r="D20" s="76"/>
      <c r="E20" s="76"/>
      <c r="F20" s="76"/>
      <c r="G20" s="76"/>
      <c r="H20" s="76"/>
      <c r="J20" s="76"/>
      <c r="K20" s="76"/>
      <c r="L20" s="76"/>
      <c r="M20" s="76"/>
      <c r="N20" s="76"/>
    </row>
    <row r="21">
      <c r="D21" s="76"/>
      <c r="E21" s="76"/>
      <c r="F21" s="76"/>
      <c r="G21" s="76"/>
      <c r="H21" s="76"/>
      <c r="J21" s="76"/>
      <c r="K21" s="76"/>
      <c r="L21" s="76"/>
      <c r="M21" s="76"/>
      <c r="N21" s="76"/>
    </row>
    <row r="22">
      <c r="D22" s="76"/>
      <c r="E22" s="76"/>
      <c r="F22" s="76"/>
      <c r="G22" s="76"/>
      <c r="H22" s="76"/>
      <c r="J22" s="76"/>
      <c r="K22" s="76"/>
      <c r="L22" s="76"/>
      <c r="M22" s="76"/>
      <c r="N22" s="76"/>
    </row>
    <row r="23">
      <c r="D23" s="76"/>
      <c r="E23" s="76"/>
      <c r="F23" s="76"/>
      <c r="G23" s="76"/>
      <c r="H23" s="76"/>
      <c r="J23" s="76"/>
      <c r="K23" s="76"/>
      <c r="L23" s="76"/>
      <c r="M23" s="76"/>
      <c r="N23" s="76"/>
    </row>
    <row r="24">
      <c r="D24" s="76"/>
      <c r="E24" s="76"/>
      <c r="F24" s="76"/>
      <c r="G24" s="76"/>
      <c r="H24" s="76"/>
      <c r="J24" s="76"/>
      <c r="K24" s="76"/>
      <c r="L24" s="76"/>
      <c r="M24" s="76"/>
      <c r="N24" s="76"/>
    </row>
    <row r="25">
      <c r="D25" s="76"/>
      <c r="E25" s="76"/>
      <c r="F25" s="76"/>
      <c r="G25" s="76"/>
      <c r="H25" s="76"/>
      <c r="J25" s="76"/>
      <c r="K25" s="76"/>
      <c r="L25" s="76"/>
      <c r="M25" s="76"/>
      <c r="N25" s="76"/>
    </row>
    <row r="26">
      <c r="D26" s="76"/>
      <c r="E26" s="76"/>
      <c r="F26" s="76"/>
      <c r="G26" s="76"/>
      <c r="H26" s="76"/>
      <c r="J26" s="76"/>
      <c r="K26" s="76"/>
      <c r="L26" s="76"/>
      <c r="M26" s="76"/>
      <c r="N26" s="76"/>
    </row>
    <row r="27">
      <c r="D27" s="76"/>
      <c r="E27" s="76"/>
      <c r="F27" s="76"/>
      <c r="G27" s="76"/>
      <c r="H27" s="76"/>
      <c r="J27" s="76"/>
      <c r="K27" s="76"/>
      <c r="L27" s="76"/>
      <c r="M27" s="76"/>
      <c r="N27" s="76"/>
    </row>
    <row r="28">
      <c r="D28" s="76"/>
      <c r="E28" s="76"/>
      <c r="F28" s="76"/>
      <c r="G28" s="76"/>
      <c r="H28" s="76"/>
      <c r="J28" s="76"/>
      <c r="K28" s="76"/>
      <c r="L28" s="76"/>
      <c r="M28" s="76"/>
      <c r="N28" s="76"/>
    </row>
    <row r="29">
      <c r="D29" s="76"/>
      <c r="E29" s="76"/>
      <c r="F29" s="76"/>
      <c r="G29" s="76"/>
      <c r="H29" s="76"/>
      <c r="J29" s="76"/>
      <c r="K29" s="76"/>
      <c r="L29" s="76"/>
      <c r="M29" s="76"/>
      <c r="N29" s="76"/>
    </row>
    <row r="30">
      <c r="D30" s="76"/>
      <c r="E30" s="76"/>
      <c r="F30" s="76"/>
      <c r="G30" s="76"/>
      <c r="H30" s="76"/>
      <c r="J30" s="76"/>
      <c r="K30" s="76"/>
      <c r="L30" s="76"/>
      <c r="M30" s="76"/>
      <c r="N30" s="76"/>
    </row>
    <row r="31">
      <c r="D31" s="76"/>
      <c r="E31" s="76"/>
      <c r="F31" s="76"/>
      <c r="G31" s="76"/>
      <c r="H31" s="76"/>
      <c r="J31" s="76"/>
      <c r="K31" s="76"/>
      <c r="L31" s="76"/>
      <c r="M31" s="76"/>
      <c r="N31" s="76"/>
    </row>
    <row r="32">
      <c r="D32" s="76"/>
      <c r="E32" s="76"/>
      <c r="F32" s="76"/>
      <c r="G32" s="76"/>
      <c r="H32" s="76"/>
      <c r="J32" s="76"/>
      <c r="K32" s="76"/>
      <c r="L32" s="76"/>
      <c r="M32" s="76"/>
      <c r="N32" s="76"/>
    </row>
    <row r="33">
      <c r="D33" s="76"/>
      <c r="E33" s="76"/>
      <c r="F33" s="76"/>
      <c r="G33" s="76"/>
      <c r="H33" s="76"/>
      <c r="J33" s="76"/>
      <c r="K33" s="76"/>
      <c r="L33" s="76"/>
      <c r="M33" s="76"/>
      <c r="N33" s="76"/>
    </row>
    <row r="34">
      <c r="D34" s="76"/>
      <c r="E34" s="76"/>
      <c r="F34" s="76"/>
      <c r="G34" s="76"/>
      <c r="H34" s="76"/>
      <c r="J34" s="76"/>
      <c r="K34" s="76"/>
      <c r="L34" s="76"/>
      <c r="M34" s="76"/>
      <c r="N34" s="76"/>
    </row>
    <row r="35">
      <c r="D35" s="76"/>
      <c r="E35" s="76"/>
      <c r="F35" s="76"/>
      <c r="G35" s="76"/>
      <c r="H35" s="76"/>
      <c r="J35" s="76"/>
      <c r="K35" s="76"/>
      <c r="L35" s="76"/>
      <c r="M35" s="76"/>
      <c r="N35" s="76"/>
    </row>
    <row r="36">
      <c r="D36" s="76"/>
      <c r="E36" s="76"/>
      <c r="F36" s="76"/>
      <c r="G36" s="76"/>
      <c r="H36" s="76"/>
      <c r="J36" s="76"/>
      <c r="K36" s="76"/>
      <c r="L36" s="76"/>
      <c r="M36" s="76"/>
      <c r="N36" s="76"/>
    </row>
  </sheetData>
  <mergeCells count="2">
    <mergeCell ref="E1:H1"/>
    <mergeCell ref="K1:N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2024-04-18T09:32:41Z</dcterms:created>
  <dc:creator>Microsoft Office User</dc:creator>
</cp:coreProperties>
</file>